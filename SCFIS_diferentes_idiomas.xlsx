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jaime.badia\Desktop\"/>
    </mc:Choice>
  </mc:AlternateContent>
  <xr:revisionPtr revIDLastSave="0" documentId="8_{E2CD1D0D-9930-4DA2-A211-B4056BC0DC73}" xr6:coauthVersionLast="47" xr6:coauthVersionMax="47" xr10:uidLastSave="{00000000-0000-0000-0000-000000000000}"/>
  <bookViews>
    <workbookView xWindow="-120" yWindow="-16320" windowWidth="29040" windowHeight="15720" activeTab="2" xr2:uid="{4236E333-BD50-42D0-9CD3-D26976579A93}"/>
  </bookViews>
  <sheets>
    <sheet name="ENG" sheetId="1" r:id="rId1"/>
    <sheet name="ESP" sheetId="2" r:id="rId2"/>
    <sheet name="PT" sheetId="3" r:id="rId3"/>
    <sheet name="CHECK" sheetId="4" r:id="rId4"/>
  </sheets>
  <externalReferences>
    <externalReference r:id="rId5"/>
    <externalReference r:id="rId6"/>
    <externalReference r:id="rId7"/>
    <externalReference r:id="rId8"/>
    <externalReference r:id="rId9"/>
  </externalReferences>
  <definedNames>
    <definedName name="_xlnm._FilterDatabase" localSheetId="0" hidden="1">ENG!$A$2:$AC$179</definedName>
    <definedName name="_xlnm._FilterDatabase" localSheetId="1" hidden="1">ESP!$A$2:$AC$179</definedName>
    <definedName name="_xlnm._FilterDatabase" localSheetId="2" hidden="1">PT!$A$2:$AC$179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 i="4" l="1"/>
  <c r="E4" i="4"/>
  <c r="E5" i="4"/>
  <c r="E6" i="4"/>
  <c r="E7" i="4"/>
  <c r="E8" i="4"/>
  <c r="E9" i="4"/>
  <c r="E10" i="4"/>
  <c r="E11" i="4"/>
  <c r="E12" i="4"/>
  <c r="E13" i="4"/>
  <c r="E14" i="4"/>
  <c r="E15" i="4"/>
  <c r="E16" i="4"/>
  <c r="E17" i="4"/>
  <c r="E18" i="4"/>
  <c r="E19" i="4"/>
  <c r="E20" i="4"/>
  <c r="E21" i="4"/>
  <c r="E22" i="4"/>
  <c r="E23" i="4"/>
  <c r="E24" i="4"/>
  <c r="E25" i="4"/>
  <c r="E26" i="4"/>
  <c r="E27" i="4"/>
  <c r="E28" i="4"/>
  <c r="E29" i="4"/>
  <c r="E30" i="4"/>
  <c r="E31" i="4"/>
  <c r="E32" i="4"/>
  <c r="E33" i="4"/>
  <c r="E34" i="4"/>
  <c r="E35" i="4"/>
  <c r="E36" i="4"/>
  <c r="E37" i="4"/>
  <c r="E38" i="4"/>
  <c r="E2" i="4"/>
  <c r="D3" i="4"/>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D2" i="4"/>
  <c r="AA203" i="3"/>
  <c r="Z203" i="3"/>
  <c r="Y203" i="3"/>
  <c r="X203" i="3"/>
  <c r="W203" i="3"/>
  <c r="V203" i="3"/>
  <c r="U203" i="3"/>
  <c r="AA202" i="3"/>
  <c r="Z202" i="3"/>
  <c r="Y202" i="3"/>
  <c r="X202" i="3"/>
  <c r="W202" i="3"/>
  <c r="V202" i="3"/>
  <c r="U202" i="3"/>
  <c r="E202" i="3"/>
  <c r="C202" i="3"/>
  <c r="AA201" i="3"/>
  <c r="Z201" i="3"/>
  <c r="Y201" i="3"/>
  <c r="X201" i="3"/>
  <c r="W201" i="3"/>
  <c r="V201" i="3"/>
  <c r="U201" i="3"/>
  <c r="E201" i="3"/>
  <c r="C201" i="3"/>
  <c r="AA200" i="3"/>
  <c r="Z200" i="3"/>
  <c r="Y200" i="3"/>
  <c r="X200" i="3"/>
  <c r="W200" i="3"/>
  <c r="V200" i="3"/>
  <c r="U200" i="3"/>
  <c r="E200" i="3"/>
  <c r="C200" i="3"/>
  <c r="AA199" i="3"/>
  <c r="Z199" i="3"/>
  <c r="Y199" i="3"/>
  <c r="X199" i="3"/>
  <c r="W199" i="3"/>
  <c r="V199" i="3"/>
  <c r="U199" i="3"/>
  <c r="E199" i="3"/>
  <c r="C199" i="3"/>
  <c r="AA198" i="3"/>
  <c r="Z198" i="3"/>
  <c r="Y198" i="3"/>
  <c r="X198" i="3"/>
  <c r="W198" i="3"/>
  <c r="V198" i="3"/>
  <c r="U198" i="3"/>
  <c r="C198" i="3"/>
  <c r="AA197" i="3"/>
  <c r="Z197" i="3"/>
  <c r="Y197" i="3"/>
  <c r="X197" i="3"/>
  <c r="W197" i="3"/>
  <c r="V197" i="3"/>
  <c r="U197" i="3"/>
  <c r="E197" i="3"/>
  <c r="C197" i="3"/>
  <c r="AA196" i="3"/>
  <c r="Z196" i="3"/>
  <c r="Y196" i="3"/>
  <c r="X196" i="3"/>
  <c r="W196" i="3"/>
  <c r="V196" i="3"/>
  <c r="U196" i="3"/>
  <c r="C196" i="3"/>
  <c r="AA195" i="3"/>
  <c r="Z195" i="3"/>
  <c r="Y195" i="3"/>
  <c r="X195" i="3"/>
  <c r="W195" i="3"/>
  <c r="V195" i="3"/>
  <c r="U195" i="3"/>
  <c r="E195" i="3"/>
  <c r="C195" i="3"/>
  <c r="AA194" i="3"/>
  <c r="Z194" i="3"/>
  <c r="Y194" i="3"/>
  <c r="X194" i="3"/>
  <c r="W194" i="3"/>
  <c r="V194" i="3"/>
  <c r="U194" i="3"/>
  <c r="E194" i="3"/>
  <c r="C194" i="3"/>
  <c r="AA193" i="3"/>
  <c r="Z193" i="3"/>
  <c r="Y193" i="3"/>
  <c r="X193" i="3"/>
  <c r="W193" i="3"/>
  <c r="V193" i="3"/>
  <c r="U193" i="3"/>
  <c r="E193" i="3"/>
  <c r="C193" i="3"/>
  <c r="AA192" i="3"/>
  <c r="Z192" i="3"/>
  <c r="Y192" i="3"/>
  <c r="X192" i="3"/>
  <c r="W192" i="3"/>
  <c r="V192" i="3"/>
  <c r="U192" i="3"/>
  <c r="E192" i="3"/>
  <c r="C192" i="3"/>
  <c r="AA191" i="3"/>
  <c r="Z191" i="3"/>
  <c r="Y191" i="3"/>
  <c r="X191" i="3"/>
  <c r="W191" i="3"/>
  <c r="V191" i="3"/>
  <c r="U191" i="3"/>
  <c r="E191" i="3"/>
  <c r="C191" i="3"/>
  <c r="AA190" i="3"/>
  <c r="Z190" i="3"/>
  <c r="Y190" i="3"/>
  <c r="X190" i="3"/>
  <c r="W190" i="3"/>
  <c r="V190" i="3"/>
  <c r="U190" i="3"/>
  <c r="E190" i="3"/>
  <c r="C190" i="3"/>
  <c r="AA189" i="3"/>
  <c r="Z189" i="3"/>
  <c r="Y189" i="3"/>
  <c r="X189" i="3"/>
  <c r="W189" i="3"/>
  <c r="V189" i="3"/>
  <c r="U189" i="3"/>
  <c r="E189" i="3"/>
  <c r="C189" i="3"/>
  <c r="AA188" i="3"/>
  <c r="Z188" i="3"/>
  <c r="Y188" i="3"/>
  <c r="X188" i="3"/>
  <c r="W188" i="3"/>
  <c r="V188" i="3"/>
  <c r="U188" i="3"/>
  <c r="E188" i="3"/>
  <c r="C188" i="3"/>
  <c r="AA187" i="3"/>
  <c r="Z187" i="3"/>
  <c r="Y187" i="3"/>
  <c r="X187" i="3"/>
  <c r="W187" i="3"/>
  <c r="V187" i="3"/>
  <c r="U187" i="3"/>
  <c r="C187" i="3"/>
  <c r="AA186" i="3"/>
  <c r="Z186" i="3"/>
  <c r="Y186" i="3"/>
  <c r="X186" i="3"/>
  <c r="W186" i="3"/>
  <c r="V186" i="3"/>
  <c r="U186" i="3"/>
  <c r="E186" i="3"/>
  <c r="C186" i="3"/>
  <c r="AA185" i="3"/>
  <c r="Z185" i="3"/>
  <c r="Y185" i="3"/>
  <c r="X185" i="3"/>
  <c r="W185" i="3"/>
  <c r="V185" i="3"/>
  <c r="U185" i="3"/>
  <c r="E185" i="3"/>
  <c r="C185" i="3"/>
  <c r="AA184" i="3"/>
  <c r="Z184" i="3"/>
  <c r="Y184" i="3"/>
  <c r="X184" i="3"/>
  <c r="W184" i="3"/>
  <c r="V184" i="3"/>
  <c r="U184" i="3"/>
  <c r="E184" i="3"/>
  <c r="C184" i="3"/>
  <c r="AA183" i="3"/>
  <c r="Z183" i="3"/>
  <c r="Y183" i="3"/>
  <c r="X183" i="3"/>
  <c r="W183" i="3"/>
  <c r="V183" i="3"/>
  <c r="U183" i="3"/>
  <c r="E183" i="3"/>
  <c r="C183" i="3"/>
  <c r="AA182" i="3"/>
  <c r="Z182" i="3"/>
  <c r="Y182" i="3"/>
  <c r="X182" i="3"/>
  <c r="W182" i="3"/>
  <c r="V182" i="3"/>
  <c r="U182" i="3"/>
  <c r="E182" i="3"/>
  <c r="C182" i="3"/>
  <c r="AA181" i="3"/>
  <c r="Z181" i="3"/>
  <c r="Y181" i="3"/>
  <c r="X181" i="3"/>
  <c r="W181" i="3"/>
  <c r="V181" i="3"/>
  <c r="U181" i="3"/>
  <c r="E181" i="3"/>
  <c r="C181" i="3"/>
  <c r="AA179" i="3"/>
  <c r="C179" i="3"/>
  <c r="AA178" i="3"/>
  <c r="G178" i="3"/>
  <c r="E178" i="3"/>
  <c r="C178" i="3"/>
  <c r="AA177" i="3"/>
  <c r="G177" i="3"/>
  <c r="E177" i="3"/>
  <c r="C177" i="3"/>
  <c r="AA176" i="3"/>
  <c r="G176" i="3"/>
  <c r="E176" i="3"/>
  <c r="C176" i="3"/>
  <c r="AA175" i="3"/>
  <c r="G175" i="3"/>
  <c r="E175" i="3"/>
  <c r="C175" i="3"/>
  <c r="AA174" i="3"/>
  <c r="G174" i="3"/>
  <c r="C174" i="3"/>
  <c r="AA173" i="3"/>
  <c r="G173" i="3"/>
  <c r="C173" i="3"/>
  <c r="AA172" i="3"/>
  <c r="G172" i="3"/>
  <c r="C172" i="3"/>
  <c r="AA171" i="3"/>
  <c r="G171" i="3"/>
  <c r="C171" i="3"/>
  <c r="AA170" i="3"/>
  <c r="G170" i="3"/>
  <c r="E170" i="3"/>
  <c r="C170" i="3"/>
  <c r="AA169" i="3"/>
  <c r="G169" i="3"/>
  <c r="E169" i="3"/>
  <c r="C169" i="3"/>
  <c r="AA168" i="3"/>
  <c r="G168" i="3"/>
  <c r="E168" i="3"/>
  <c r="C168" i="3"/>
  <c r="AA167" i="3"/>
  <c r="V167" i="3"/>
  <c r="U167" i="3"/>
  <c r="G167" i="3"/>
  <c r="E167" i="3"/>
  <c r="C167" i="3"/>
  <c r="AA166" i="3"/>
  <c r="V166" i="3"/>
  <c r="U166" i="3"/>
  <c r="G166" i="3"/>
  <c r="E166" i="3"/>
  <c r="C166" i="3"/>
  <c r="AA165" i="3"/>
  <c r="U165" i="3"/>
  <c r="G165" i="3"/>
  <c r="E165" i="3"/>
  <c r="C165" i="3"/>
  <c r="AA164" i="3"/>
  <c r="V164" i="3"/>
  <c r="G164" i="3"/>
  <c r="E164" i="3"/>
  <c r="C164" i="3"/>
  <c r="AA163" i="3"/>
  <c r="Y163" i="3"/>
  <c r="X163" i="3"/>
  <c r="W163" i="3"/>
  <c r="V163" i="3"/>
  <c r="U163" i="3"/>
  <c r="G163" i="3"/>
  <c r="E163" i="3"/>
  <c r="C163" i="3"/>
  <c r="AA162" i="3"/>
  <c r="G162" i="3"/>
  <c r="E162" i="3"/>
  <c r="C162" i="3"/>
  <c r="AA161" i="3"/>
  <c r="G161" i="3"/>
  <c r="E161" i="3"/>
  <c r="C161" i="3"/>
  <c r="AA160" i="3"/>
  <c r="G160" i="3"/>
  <c r="E160" i="3"/>
  <c r="C160" i="3"/>
  <c r="AA159" i="3"/>
  <c r="G159" i="3"/>
  <c r="E159" i="3"/>
  <c r="C159" i="3"/>
  <c r="AA158" i="3"/>
  <c r="G158" i="3"/>
  <c r="E158" i="3"/>
  <c r="C158" i="3"/>
  <c r="AA157" i="3"/>
  <c r="G157" i="3"/>
  <c r="E157" i="3"/>
  <c r="C157" i="3"/>
  <c r="AA156" i="3"/>
  <c r="G156" i="3"/>
  <c r="E156" i="3"/>
  <c r="C156" i="3"/>
  <c r="AA155" i="3"/>
  <c r="G155" i="3"/>
  <c r="E155" i="3"/>
  <c r="C155" i="3"/>
  <c r="AA154" i="3"/>
  <c r="G154" i="3"/>
  <c r="E154" i="3"/>
  <c r="C154" i="3"/>
  <c r="AA153" i="3"/>
  <c r="G153" i="3"/>
  <c r="E153" i="3"/>
  <c r="C153" i="3"/>
  <c r="AA152" i="3"/>
  <c r="G152" i="3"/>
  <c r="E152" i="3"/>
  <c r="C152" i="3"/>
  <c r="AA151" i="3"/>
  <c r="G151" i="3"/>
  <c r="E151" i="3"/>
  <c r="C151" i="3"/>
  <c r="AA150" i="3"/>
  <c r="G150" i="3"/>
  <c r="E150" i="3"/>
  <c r="C150" i="3"/>
  <c r="AA149" i="3"/>
  <c r="G149" i="3"/>
  <c r="E149" i="3"/>
  <c r="C149" i="3"/>
  <c r="AA148" i="3"/>
  <c r="G148" i="3"/>
  <c r="E148" i="3"/>
  <c r="C148" i="3"/>
  <c r="AA147" i="3"/>
  <c r="G147" i="3"/>
  <c r="E147" i="3"/>
  <c r="C147" i="3"/>
  <c r="AA146" i="3"/>
  <c r="G146" i="3"/>
  <c r="E146" i="3"/>
  <c r="C146" i="3"/>
  <c r="AA145" i="3"/>
  <c r="G145" i="3"/>
  <c r="E145" i="3"/>
  <c r="C145" i="3"/>
  <c r="AA144" i="3"/>
  <c r="G144" i="3"/>
  <c r="E144" i="3"/>
  <c r="C144" i="3"/>
  <c r="AA143" i="3"/>
  <c r="G143" i="3"/>
  <c r="E143" i="3"/>
  <c r="C143" i="3"/>
  <c r="AA142" i="3"/>
  <c r="G142" i="3"/>
  <c r="E142" i="3"/>
  <c r="C142" i="3"/>
  <c r="AA141" i="3"/>
  <c r="G141" i="3"/>
  <c r="E141" i="3"/>
  <c r="C141" i="3"/>
  <c r="AA140" i="3"/>
  <c r="G140" i="3"/>
  <c r="E140" i="3"/>
  <c r="C140" i="3"/>
  <c r="AA139" i="3"/>
  <c r="G139" i="3"/>
  <c r="E139" i="3"/>
  <c r="C139" i="3"/>
  <c r="AA138" i="3"/>
  <c r="G138" i="3"/>
  <c r="E138" i="3"/>
  <c r="C138" i="3"/>
  <c r="AA137" i="3"/>
  <c r="G137" i="3"/>
  <c r="E137" i="3"/>
  <c r="C137" i="3"/>
  <c r="AA136" i="3"/>
  <c r="G136" i="3"/>
  <c r="E136" i="3"/>
  <c r="C136" i="3"/>
  <c r="AA135" i="3"/>
  <c r="G135" i="3"/>
  <c r="E135" i="3"/>
  <c r="C135" i="3"/>
  <c r="AA134" i="3"/>
  <c r="G134" i="3"/>
  <c r="E134" i="3"/>
  <c r="C134" i="3"/>
  <c r="AA133" i="3"/>
  <c r="E133" i="3"/>
  <c r="C133" i="3"/>
  <c r="AA132" i="3"/>
  <c r="G132" i="3"/>
  <c r="E132" i="3"/>
  <c r="C132" i="3"/>
  <c r="AA131" i="3"/>
  <c r="G131" i="3"/>
  <c r="E131" i="3"/>
  <c r="C131" i="3"/>
  <c r="AA130" i="3"/>
  <c r="G130" i="3"/>
  <c r="E130" i="3"/>
  <c r="C130" i="3"/>
  <c r="AA129" i="3"/>
  <c r="G129" i="3"/>
  <c r="E129" i="3"/>
  <c r="C129" i="3"/>
  <c r="AA128" i="3"/>
  <c r="G128" i="3"/>
  <c r="E128" i="3"/>
  <c r="C128" i="3"/>
  <c r="AA127" i="3"/>
  <c r="G127" i="3"/>
  <c r="E127" i="3"/>
  <c r="C127" i="3"/>
  <c r="AA126" i="3"/>
  <c r="G126" i="3"/>
  <c r="E126" i="3"/>
  <c r="C126" i="3"/>
  <c r="AA125" i="3"/>
  <c r="G125" i="3"/>
  <c r="E125" i="3"/>
  <c r="C125" i="3"/>
  <c r="AA124" i="3"/>
  <c r="G124" i="3"/>
  <c r="E124" i="3"/>
  <c r="C124" i="3"/>
  <c r="AA123" i="3"/>
  <c r="G123" i="3"/>
  <c r="E123" i="3"/>
  <c r="C123" i="3"/>
  <c r="AA122" i="3"/>
  <c r="G122" i="3"/>
  <c r="E122" i="3"/>
  <c r="C122" i="3"/>
  <c r="AA121" i="3"/>
  <c r="G121" i="3"/>
  <c r="E121" i="3"/>
  <c r="C121" i="3"/>
  <c r="AA120" i="3"/>
  <c r="G120" i="3"/>
  <c r="E120" i="3"/>
  <c r="C120" i="3"/>
  <c r="AA119" i="3"/>
  <c r="G119" i="3"/>
  <c r="E119" i="3"/>
  <c r="C119" i="3"/>
  <c r="AA118" i="3"/>
  <c r="G118" i="3"/>
  <c r="E118" i="3"/>
  <c r="C118" i="3"/>
  <c r="AA117" i="3"/>
  <c r="G117" i="3"/>
  <c r="E117" i="3"/>
  <c r="C117" i="3"/>
  <c r="AA116" i="3"/>
  <c r="G116" i="3"/>
  <c r="E116" i="3"/>
  <c r="C116" i="3"/>
  <c r="AA115" i="3"/>
  <c r="G115" i="3"/>
  <c r="E115" i="3"/>
  <c r="C115" i="3"/>
  <c r="AA114" i="3"/>
  <c r="G114" i="3"/>
  <c r="E114" i="3"/>
  <c r="C114" i="3"/>
  <c r="AA113" i="3"/>
  <c r="G113" i="3"/>
  <c r="E113" i="3"/>
  <c r="C113" i="3"/>
  <c r="AA112" i="3"/>
  <c r="G112" i="3"/>
  <c r="E112" i="3"/>
  <c r="C112" i="3"/>
  <c r="AA111" i="3"/>
  <c r="G111" i="3"/>
  <c r="E111" i="3"/>
  <c r="C111" i="3"/>
  <c r="AA110" i="3"/>
  <c r="G110" i="3"/>
  <c r="E110" i="3"/>
  <c r="C110" i="3"/>
  <c r="AA109" i="3"/>
  <c r="G109" i="3"/>
  <c r="E109" i="3"/>
  <c r="C109" i="3"/>
  <c r="AA108" i="3"/>
  <c r="G108" i="3"/>
  <c r="E108" i="3"/>
  <c r="C108" i="3"/>
  <c r="AA107" i="3"/>
  <c r="G107" i="3"/>
  <c r="E107" i="3"/>
  <c r="C107" i="3"/>
  <c r="AA106" i="3"/>
  <c r="G106" i="3"/>
  <c r="E106" i="3"/>
  <c r="C106" i="3"/>
  <c r="AA105" i="3"/>
  <c r="G105" i="3"/>
  <c r="E105" i="3"/>
  <c r="C105" i="3"/>
  <c r="AA104" i="3"/>
  <c r="G104" i="3"/>
  <c r="E104" i="3"/>
  <c r="C104" i="3"/>
  <c r="AA103" i="3"/>
  <c r="G103" i="3"/>
  <c r="E103" i="3"/>
  <c r="C103" i="3"/>
  <c r="AA102" i="3"/>
  <c r="G102" i="3"/>
  <c r="E102" i="3"/>
  <c r="C102" i="3"/>
  <c r="AA101" i="3"/>
  <c r="G101" i="3"/>
  <c r="E101" i="3"/>
  <c r="C101" i="3"/>
  <c r="AA100" i="3"/>
  <c r="G100" i="3"/>
  <c r="E100" i="3"/>
  <c r="C100" i="3"/>
  <c r="AA99" i="3"/>
  <c r="G99" i="3"/>
  <c r="E99" i="3"/>
  <c r="C99" i="3"/>
  <c r="AA98" i="3"/>
  <c r="G98" i="3"/>
  <c r="E98" i="3"/>
  <c r="C98" i="3"/>
  <c r="AA97" i="3"/>
  <c r="G97" i="3"/>
  <c r="E97" i="3"/>
  <c r="C97" i="3"/>
  <c r="AA96" i="3"/>
  <c r="G96" i="3"/>
  <c r="E96" i="3"/>
  <c r="C96" i="3"/>
  <c r="AA95" i="3"/>
  <c r="G95" i="3"/>
  <c r="E95" i="3"/>
  <c r="C95" i="3"/>
  <c r="AA94" i="3"/>
  <c r="G94" i="3"/>
  <c r="E94" i="3"/>
  <c r="C94" i="3"/>
  <c r="AA93" i="3"/>
  <c r="G93" i="3"/>
  <c r="E93" i="3"/>
  <c r="C93" i="3"/>
  <c r="AA92" i="3"/>
  <c r="G92" i="3"/>
  <c r="E92" i="3"/>
  <c r="C92" i="3"/>
  <c r="AA91" i="3"/>
  <c r="G91" i="3"/>
  <c r="E91" i="3"/>
  <c r="C91" i="3"/>
  <c r="AA90" i="3"/>
  <c r="G90" i="3"/>
  <c r="E90" i="3"/>
  <c r="C90" i="3"/>
  <c r="AA89" i="3"/>
  <c r="G89" i="3"/>
  <c r="E89" i="3"/>
  <c r="C89" i="3"/>
  <c r="AA88" i="3"/>
  <c r="G88" i="3"/>
  <c r="E88" i="3"/>
  <c r="C88" i="3"/>
  <c r="AA87" i="3"/>
  <c r="G87" i="3"/>
  <c r="E87" i="3"/>
  <c r="C87" i="3"/>
  <c r="AA86" i="3"/>
  <c r="G86" i="3"/>
  <c r="E86" i="3"/>
  <c r="C86" i="3"/>
  <c r="AA85" i="3"/>
  <c r="G85" i="3"/>
  <c r="E85" i="3"/>
  <c r="C85" i="3"/>
  <c r="AA84" i="3"/>
  <c r="G84" i="3"/>
  <c r="E84" i="3"/>
  <c r="C84" i="3"/>
  <c r="AA83" i="3"/>
  <c r="G83" i="3"/>
  <c r="E83" i="3"/>
  <c r="C83" i="3"/>
  <c r="AA82" i="3"/>
  <c r="E82" i="3"/>
  <c r="C82" i="3"/>
  <c r="AA81" i="3"/>
  <c r="G81" i="3"/>
  <c r="E81" i="3"/>
  <c r="C81" i="3"/>
  <c r="AA80" i="3"/>
  <c r="G80" i="3"/>
  <c r="E80" i="3"/>
  <c r="C80" i="3"/>
  <c r="AA79" i="3"/>
  <c r="G79" i="3"/>
  <c r="E79" i="3"/>
  <c r="C79" i="3"/>
  <c r="AA78" i="3"/>
  <c r="G78" i="3"/>
  <c r="E78" i="3"/>
  <c r="C78" i="3"/>
  <c r="AA77" i="3"/>
  <c r="G77" i="3"/>
  <c r="E77" i="3"/>
  <c r="C77" i="3"/>
  <c r="AA76" i="3"/>
  <c r="G76" i="3"/>
  <c r="E76" i="3"/>
  <c r="C76" i="3"/>
  <c r="AA75" i="3"/>
  <c r="G75" i="3"/>
  <c r="E75" i="3"/>
  <c r="C75" i="3"/>
  <c r="AA74" i="3"/>
  <c r="G74" i="3"/>
  <c r="E74" i="3"/>
  <c r="C74" i="3"/>
  <c r="AA73" i="3"/>
  <c r="G73" i="3"/>
  <c r="E73" i="3"/>
  <c r="C73" i="3"/>
  <c r="AA72" i="3"/>
  <c r="G72" i="3"/>
  <c r="E72" i="3"/>
  <c r="C72" i="3"/>
  <c r="AA71" i="3"/>
  <c r="G71" i="3"/>
  <c r="E71" i="3"/>
  <c r="C71" i="3"/>
  <c r="AA70" i="3"/>
  <c r="G70" i="3"/>
  <c r="E70" i="3"/>
  <c r="C70" i="3"/>
  <c r="AA69" i="3"/>
  <c r="G69" i="3"/>
  <c r="E69" i="3"/>
  <c r="C69" i="3"/>
  <c r="AA68" i="3"/>
  <c r="G68" i="3"/>
  <c r="E68" i="3"/>
  <c r="C68" i="3"/>
  <c r="AA67" i="3"/>
  <c r="G67" i="3"/>
  <c r="E67" i="3"/>
  <c r="C67" i="3"/>
  <c r="AA66" i="3"/>
  <c r="E66" i="3"/>
  <c r="C66" i="3"/>
  <c r="AA65" i="3"/>
  <c r="G65" i="3"/>
  <c r="E65" i="3"/>
  <c r="C65" i="3"/>
  <c r="AA64" i="3"/>
  <c r="G64" i="3"/>
  <c r="E64" i="3"/>
  <c r="C64" i="3"/>
  <c r="AA63" i="3"/>
  <c r="G63" i="3"/>
  <c r="E63" i="3"/>
  <c r="C63" i="3"/>
  <c r="AA62" i="3"/>
  <c r="G62" i="3"/>
  <c r="E62" i="3"/>
  <c r="C62" i="3"/>
  <c r="AA61" i="3"/>
  <c r="G61" i="3"/>
  <c r="E61" i="3"/>
  <c r="C61" i="3"/>
  <c r="AA60" i="3"/>
  <c r="G60" i="3"/>
  <c r="E60" i="3"/>
  <c r="C60" i="3"/>
  <c r="AA59" i="3"/>
  <c r="G59" i="3"/>
  <c r="E59" i="3"/>
  <c r="C59" i="3"/>
  <c r="AA58" i="3"/>
  <c r="G58" i="3"/>
  <c r="E58" i="3"/>
  <c r="C58" i="3"/>
  <c r="AA57" i="3"/>
  <c r="G57" i="3"/>
  <c r="E57" i="3"/>
  <c r="C57" i="3"/>
  <c r="AA56" i="3"/>
  <c r="G56" i="3"/>
  <c r="E56" i="3"/>
  <c r="C56" i="3"/>
  <c r="AA55" i="3"/>
  <c r="G55" i="3"/>
  <c r="E55" i="3"/>
  <c r="C55" i="3"/>
  <c r="AA54" i="3"/>
  <c r="G54" i="3"/>
  <c r="E54" i="3"/>
  <c r="C54" i="3"/>
  <c r="AA53" i="3"/>
  <c r="G53" i="3"/>
  <c r="E53" i="3"/>
  <c r="C53" i="3"/>
  <c r="AA52" i="3"/>
  <c r="G52" i="3"/>
  <c r="E52" i="3"/>
  <c r="C52" i="3"/>
  <c r="AA51" i="3"/>
  <c r="G51" i="3"/>
  <c r="E51" i="3"/>
  <c r="C51" i="3"/>
  <c r="AA50" i="3"/>
  <c r="G50" i="3"/>
  <c r="E50" i="3"/>
  <c r="C50" i="3"/>
  <c r="AA49" i="3"/>
  <c r="G49" i="3"/>
  <c r="E49" i="3"/>
  <c r="C49" i="3"/>
  <c r="AA48" i="3"/>
  <c r="G48" i="3"/>
  <c r="E48" i="3"/>
  <c r="C48" i="3"/>
  <c r="AA47" i="3"/>
  <c r="G47" i="3"/>
  <c r="E47" i="3"/>
  <c r="C47" i="3"/>
  <c r="AA46" i="3"/>
  <c r="G46" i="3"/>
  <c r="E46" i="3"/>
  <c r="C46" i="3"/>
  <c r="AA45" i="3"/>
  <c r="G45" i="3"/>
  <c r="E45" i="3"/>
  <c r="C45" i="3"/>
  <c r="AA44" i="3"/>
  <c r="G44" i="3"/>
  <c r="E44" i="3"/>
  <c r="C44" i="3"/>
  <c r="AA43" i="3"/>
  <c r="G43" i="3"/>
  <c r="E43" i="3"/>
  <c r="C43" i="3"/>
  <c r="AA42" i="3"/>
  <c r="G42" i="3"/>
  <c r="E42" i="3"/>
  <c r="C42" i="3"/>
  <c r="AA41" i="3"/>
  <c r="G41" i="3"/>
  <c r="E41" i="3"/>
  <c r="C41" i="3"/>
  <c r="AA40" i="3"/>
  <c r="G40" i="3"/>
  <c r="E40" i="3"/>
  <c r="C40" i="3"/>
  <c r="AA39" i="3"/>
  <c r="G39" i="3"/>
  <c r="E39" i="3"/>
  <c r="C39" i="3"/>
  <c r="AA38" i="3"/>
  <c r="G38" i="3"/>
  <c r="E38" i="3"/>
  <c r="C38" i="3"/>
  <c r="AA37" i="3"/>
  <c r="G37" i="3"/>
  <c r="E37" i="3"/>
  <c r="C37" i="3"/>
  <c r="AA36" i="3"/>
  <c r="G36" i="3"/>
  <c r="E36" i="3"/>
  <c r="C36" i="3"/>
  <c r="AA35" i="3"/>
  <c r="G35" i="3"/>
  <c r="E35" i="3"/>
  <c r="C35" i="3"/>
  <c r="AA34" i="3"/>
  <c r="G34" i="3"/>
  <c r="E34" i="3"/>
  <c r="C34" i="3"/>
  <c r="AA33" i="3"/>
  <c r="G33" i="3"/>
  <c r="E33" i="3"/>
  <c r="C33" i="3"/>
  <c r="AA32" i="3"/>
  <c r="G32" i="3"/>
  <c r="E32" i="3"/>
  <c r="C32" i="3"/>
  <c r="AA31" i="3"/>
  <c r="G31" i="3"/>
  <c r="E31" i="3"/>
  <c r="C31" i="3"/>
  <c r="AA30" i="3"/>
  <c r="G30" i="3"/>
  <c r="E30" i="3"/>
  <c r="C30" i="3"/>
  <c r="AA29" i="3"/>
  <c r="G29" i="3"/>
  <c r="E29" i="3"/>
  <c r="C29" i="3"/>
  <c r="AA28" i="3"/>
  <c r="G28" i="3"/>
  <c r="E28" i="3"/>
  <c r="C28" i="3"/>
  <c r="AA27" i="3"/>
  <c r="G27" i="3"/>
  <c r="E27" i="3"/>
  <c r="C27" i="3"/>
  <c r="AA26" i="3"/>
  <c r="G26" i="3"/>
  <c r="E26" i="3"/>
  <c r="C26" i="3"/>
  <c r="AA25" i="3"/>
  <c r="G25" i="3"/>
  <c r="E25" i="3"/>
  <c r="C25" i="3"/>
  <c r="AA24" i="3"/>
  <c r="G24" i="3"/>
  <c r="E24" i="3"/>
  <c r="C24" i="3"/>
  <c r="AA23" i="3"/>
  <c r="G23" i="3"/>
  <c r="E23" i="3"/>
  <c r="C23" i="3"/>
  <c r="AA22" i="3"/>
  <c r="G22" i="3"/>
  <c r="E22" i="3"/>
  <c r="C22" i="3"/>
  <c r="AA21" i="3"/>
  <c r="G21" i="3"/>
  <c r="E21" i="3"/>
  <c r="C21" i="3"/>
  <c r="AA20" i="3"/>
  <c r="G20" i="3"/>
  <c r="E20" i="3"/>
  <c r="C20" i="3"/>
  <c r="AA19" i="3"/>
  <c r="G19" i="3"/>
  <c r="E19" i="3"/>
  <c r="C19" i="3"/>
  <c r="AA18" i="3"/>
  <c r="G18" i="3"/>
  <c r="E18" i="3"/>
  <c r="C18" i="3"/>
  <c r="AA17" i="3"/>
  <c r="G17" i="3"/>
  <c r="E17" i="3"/>
  <c r="C17" i="3"/>
  <c r="AA16" i="3"/>
  <c r="G16" i="3"/>
  <c r="E16" i="3"/>
  <c r="C16" i="3"/>
  <c r="AA15" i="3"/>
  <c r="G15" i="3"/>
  <c r="E15" i="3"/>
  <c r="C15" i="3"/>
  <c r="AA14" i="3"/>
  <c r="G14" i="3"/>
  <c r="E14" i="3"/>
  <c r="C14" i="3"/>
  <c r="AA13" i="3"/>
  <c r="G13" i="3"/>
  <c r="E13" i="3"/>
  <c r="C13" i="3"/>
  <c r="AA12" i="3"/>
  <c r="G12" i="3"/>
  <c r="E12" i="3"/>
  <c r="C12" i="3"/>
  <c r="AA11" i="3"/>
  <c r="G11" i="3"/>
  <c r="E11" i="3"/>
  <c r="C11" i="3"/>
  <c r="AA10" i="3"/>
  <c r="G10" i="3"/>
  <c r="E10" i="3"/>
  <c r="C10" i="3"/>
  <c r="AA9" i="3"/>
  <c r="G9" i="3"/>
  <c r="E9" i="3"/>
  <c r="C9" i="3"/>
  <c r="AA8" i="3"/>
  <c r="G8" i="3"/>
  <c r="E8" i="3"/>
  <c r="C8" i="3"/>
  <c r="AA7" i="3"/>
  <c r="G7" i="3"/>
  <c r="E7" i="3"/>
  <c r="C7" i="3"/>
  <c r="AA6" i="3"/>
  <c r="G6" i="3"/>
  <c r="E6" i="3"/>
  <c r="C6" i="3"/>
  <c r="AA5" i="3"/>
  <c r="G5" i="3"/>
  <c r="E5" i="3"/>
  <c r="C5" i="3"/>
  <c r="AA4" i="3"/>
  <c r="G4" i="3"/>
  <c r="E4" i="3"/>
  <c r="C4" i="3"/>
  <c r="AA203" i="2" l="1"/>
  <c r="Z203" i="2"/>
  <c r="Y203" i="2"/>
  <c r="X203" i="2"/>
  <c r="W203" i="2"/>
  <c r="V203" i="2"/>
  <c r="U203" i="2"/>
  <c r="AA202" i="2"/>
  <c r="Z202" i="2"/>
  <c r="Y202" i="2"/>
  <c r="X202" i="2"/>
  <c r="W202" i="2"/>
  <c r="V202" i="2"/>
  <c r="U202" i="2"/>
  <c r="E202" i="2"/>
  <c r="AA201" i="2"/>
  <c r="Z201" i="2"/>
  <c r="Y201" i="2"/>
  <c r="X201" i="2"/>
  <c r="W201" i="2"/>
  <c r="V201" i="2"/>
  <c r="U201" i="2"/>
  <c r="E201" i="2"/>
  <c r="AA200" i="2"/>
  <c r="Z200" i="2"/>
  <c r="Y200" i="2"/>
  <c r="X200" i="2"/>
  <c r="W200" i="2"/>
  <c r="V200" i="2"/>
  <c r="U200" i="2"/>
  <c r="E200" i="2"/>
  <c r="AA199" i="2"/>
  <c r="Z199" i="2"/>
  <c r="Y199" i="2"/>
  <c r="X199" i="2"/>
  <c r="W199" i="2"/>
  <c r="V199" i="2"/>
  <c r="U199" i="2"/>
  <c r="E199" i="2"/>
  <c r="AA198" i="2"/>
  <c r="Z198" i="2"/>
  <c r="Y198" i="2"/>
  <c r="X198" i="2"/>
  <c r="W198" i="2"/>
  <c r="V198" i="2"/>
  <c r="U198" i="2"/>
  <c r="AA197" i="2"/>
  <c r="Z197" i="2"/>
  <c r="Y197" i="2"/>
  <c r="X197" i="2"/>
  <c r="W197" i="2"/>
  <c r="V197" i="2"/>
  <c r="U197" i="2"/>
  <c r="E197" i="2"/>
  <c r="AA196" i="2"/>
  <c r="Z196" i="2"/>
  <c r="Y196" i="2"/>
  <c r="X196" i="2"/>
  <c r="W196" i="2"/>
  <c r="V196" i="2"/>
  <c r="U196" i="2"/>
  <c r="AA195" i="2"/>
  <c r="Z195" i="2"/>
  <c r="Y195" i="2"/>
  <c r="X195" i="2"/>
  <c r="W195" i="2"/>
  <c r="V195" i="2"/>
  <c r="U195" i="2"/>
  <c r="E195" i="2"/>
  <c r="AA194" i="2"/>
  <c r="Z194" i="2"/>
  <c r="Y194" i="2"/>
  <c r="X194" i="2"/>
  <c r="W194" i="2"/>
  <c r="V194" i="2"/>
  <c r="U194" i="2"/>
  <c r="E194" i="2"/>
  <c r="AA193" i="2"/>
  <c r="Z193" i="2"/>
  <c r="Y193" i="2"/>
  <c r="X193" i="2"/>
  <c r="W193" i="2"/>
  <c r="V193" i="2"/>
  <c r="U193" i="2"/>
  <c r="E193" i="2"/>
  <c r="AA192" i="2"/>
  <c r="Z192" i="2"/>
  <c r="Y192" i="2"/>
  <c r="X192" i="2"/>
  <c r="W192" i="2"/>
  <c r="V192" i="2"/>
  <c r="U192" i="2"/>
  <c r="E192" i="2"/>
  <c r="AA191" i="2"/>
  <c r="Z191" i="2"/>
  <c r="Y191" i="2"/>
  <c r="X191" i="2"/>
  <c r="W191" i="2"/>
  <c r="V191" i="2"/>
  <c r="U191" i="2"/>
  <c r="E191" i="2"/>
  <c r="AA190" i="2"/>
  <c r="Z190" i="2"/>
  <c r="Y190" i="2"/>
  <c r="X190" i="2"/>
  <c r="W190" i="2"/>
  <c r="V190" i="2"/>
  <c r="U190" i="2"/>
  <c r="E190" i="2"/>
  <c r="AA189" i="2"/>
  <c r="Z189" i="2"/>
  <c r="Y189" i="2"/>
  <c r="X189" i="2"/>
  <c r="W189" i="2"/>
  <c r="V189" i="2"/>
  <c r="U189" i="2"/>
  <c r="E189" i="2"/>
  <c r="AA188" i="2"/>
  <c r="Z188" i="2"/>
  <c r="Y188" i="2"/>
  <c r="X188" i="2"/>
  <c r="W188" i="2"/>
  <c r="V188" i="2"/>
  <c r="U188" i="2"/>
  <c r="E188" i="2"/>
  <c r="C188" i="2"/>
  <c r="AA187" i="2"/>
  <c r="Z187" i="2"/>
  <c r="Y187" i="2"/>
  <c r="X187" i="2"/>
  <c r="W187" i="2"/>
  <c r="V187" i="2"/>
  <c r="U187" i="2"/>
  <c r="C187" i="2"/>
  <c r="AA186" i="2"/>
  <c r="Z186" i="2"/>
  <c r="Y186" i="2"/>
  <c r="X186" i="2"/>
  <c r="W186" i="2"/>
  <c r="V186" i="2"/>
  <c r="U186" i="2"/>
  <c r="E186" i="2"/>
  <c r="C186" i="2"/>
  <c r="AA185" i="2"/>
  <c r="Z185" i="2"/>
  <c r="Y185" i="2"/>
  <c r="X185" i="2"/>
  <c r="W185" i="2"/>
  <c r="V185" i="2"/>
  <c r="U185" i="2"/>
  <c r="E185" i="2"/>
  <c r="C185" i="2"/>
  <c r="AA184" i="2"/>
  <c r="Z184" i="2"/>
  <c r="Y184" i="2"/>
  <c r="X184" i="2"/>
  <c r="W184" i="2"/>
  <c r="V184" i="2"/>
  <c r="U184" i="2"/>
  <c r="E184" i="2"/>
  <c r="C184" i="2"/>
  <c r="AA183" i="2"/>
  <c r="Z183" i="2"/>
  <c r="Y183" i="2"/>
  <c r="X183" i="2"/>
  <c r="W183" i="2"/>
  <c r="V183" i="2"/>
  <c r="U183" i="2"/>
  <c r="E183" i="2"/>
  <c r="C183" i="2"/>
  <c r="AA182" i="2"/>
  <c r="Z182" i="2"/>
  <c r="Y182" i="2"/>
  <c r="X182" i="2"/>
  <c r="W182" i="2"/>
  <c r="V182" i="2"/>
  <c r="U182" i="2"/>
  <c r="E182" i="2"/>
  <c r="C182" i="2"/>
  <c r="AA181" i="2"/>
  <c r="Z181" i="2"/>
  <c r="Y181" i="2"/>
  <c r="X181" i="2"/>
  <c r="W181" i="2"/>
  <c r="V181" i="2"/>
  <c r="U181" i="2"/>
  <c r="E181" i="2"/>
  <c r="C181" i="2"/>
  <c r="AA179" i="2"/>
  <c r="C179" i="2"/>
  <c r="AA178" i="2"/>
  <c r="G178" i="2"/>
  <c r="E178" i="2"/>
  <c r="C178" i="2"/>
  <c r="AA177" i="2"/>
  <c r="G177" i="2"/>
  <c r="E177" i="2"/>
  <c r="C177" i="2"/>
  <c r="AA176" i="2"/>
  <c r="G176" i="2"/>
  <c r="E176" i="2"/>
  <c r="C176" i="2"/>
  <c r="AA175" i="2"/>
  <c r="G175" i="2"/>
  <c r="E175" i="2"/>
  <c r="C175" i="2"/>
  <c r="AA174" i="2"/>
  <c r="G174" i="2"/>
  <c r="E174" i="2"/>
  <c r="C174" i="2"/>
  <c r="AA173" i="2"/>
  <c r="G173" i="2"/>
  <c r="E173" i="2"/>
  <c r="C173" i="2"/>
  <c r="AA172" i="2"/>
  <c r="G172" i="2"/>
  <c r="E172" i="2"/>
  <c r="C172" i="2"/>
  <c r="AA171" i="2"/>
  <c r="G171" i="2"/>
  <c r="E171" i="2"/>
  <c r="C171" i="2"/>
  <c r="AA170" i="2"/>
  <c r="G170" i="2"/>
  <c r="E170" i="2"/>
  <c r="C170" i="2"/>
  <c r="AA169" i="2"/>
  <c r="G169" i="2"/>
  <c r="E169" i="2"/>
  <c r="C169" i="2"/>
  <c r="AA168" i="2"/>
  <c r="G168" i="2"/>
  <c r="E168" i="2"/>
  <c r="C168" i="2"/>
  <c r="AA167" i="2"/>
  <c r="G167" i="2"/>
  <c r="E167" i="2"/>
  <c r="C167" i="2"/>
  <c r="AA166" i="2"/>
  <c r="G166" i="2"/>
  <c r="E166" i="2"/>
  <c r="C166" i="2"/>
  <c r="AA165" i="2"/>
  <c r="G165" i="2"/>
  <c r="E165" i="2"/>
  <c r="C165" i="2"/>
  <c r="AA164" i="2"/>
  <c r="G164" i="2"/>
  <c r="E164" i="2"/>
  <c r="C164" i="2"/>
  <c r="AA163" i="2"/>
  <c r="Y163" i="2"/>
  <c r="X163" i="2"/>
  <c r="W163" i="2"/>
  <c r="V163" i="2"/>
  <c r="U163" i="2"/>
  <c r="G163" i="2"/>
  <c r="E163" i="2"/>
  <c r="C163" i="2"/>
  <c r="AA162" i="2"/>
  <c r="G162" i="2"/>
  <c r="E162" i="2"/>
  <c r="C162" i="2"/>
  <c r="AA161" i="2"/>
  <c r="G161" i="2"/>
  <c r="E161" i="2"/>
  <c r="C161" i="2"/>
  <c r="AA160" i="2"/>
  <c r="G160" i="2"/>
  <c r="E160" i="2"/>
  <c r="C160" i="2"/>
  <c r="AA159" i="2"/>
  <c r="G159" i="2"/>
  <c r="E159" i="2"/>
  <c r="C159" i="2"/>
  <c r="AA158" i="2"/>
  <c r="G158" i="2"/>
  <c r="E158" i="2"/>
  <c r="C158" i="2"/>
  <c r="AA157" i="2"/>
  <c r="G157" i="2"/>
  <c r="E157" i="2"/>
  <c r="C157" i="2"/>
  <c r="AA156" i="2"/>
  <c r="G156" i="2"/>
  <c r="E156" i="2"/>
  <c r="C156" i="2"/>
  <c r="AA155" i="2"/>
  <c r="G155" i="2"/>
  <c r="E155" i="2"/>
  <c r="C155" i="2"/>
  <c r="AA154" i="2"/>
  <c r="G154" i="2"/>
  <c r="E154" i="2"/>
  <c r="C154" i="2"/>
  <c r="G153" i="2"/>
  <c r="E153" i="2"/>
  <c r="C153" i="2"/>
  <c r="AA152" i="2"/>
  <c r="G152" i="2"/>
  <c r="E152" i="2"/>
  <c r="C152" i="2"/>
  <c r="AA151" i="2"/>
  <c r="G151" i="2"/>
  <c r="E151" i="2"/>
  <c r="C151" i="2"/>
  <c r="AA150" i="2"/>
  <c r="G150" i="2"/>
  <c r="E150" i="2"/>
  <c r="C150" i="2"/>
  <c r="AA149" i="2"/>
  <c r="G149" i="2"/>
  <c r="E149" i="2"/>
  <c r="C149" i="2"/>
  <c r="AA148" i="2"/>
  <c r="G148" i="2"/>
  <c r="E148" i="2"/>
  <c r="C148" i="2"/>
  <c r="AA147" i="2"/>
  <c r="G147" i="2"/>
  <c r="E147" i="2"/>
  <c r="C147" i="2"/>
  <c r="AA146" i="2"/>
  <c r="G146" i="2"/>
  <c r="E146" i="2"/>
  <c r="C146" i="2"/>
  <c r="AA145" i="2"/>
  <c r="G145" i="2"/>
  <c r="E145" i="2"/>
  <c r="C145" i="2"/>
  <c r="AA144" i="2"/>
  <c r="G144" i="2"/>
  <c r="E144" i="2"/>
  <c r="C144" i="2"/>
  <c r="AA143" i="2"/>
  <c r="G143" i="2"/>
  <c r="E143" i="2"/>
  <c r="C143" i="2"/>
  <c r="AA142" i="2"/>
  <c r="G142" i="2"/>
  <c r="E142" i="2"/>
  <c r="C142" i="2"/>
  <c r="AA141" i="2"/>
  <c r="G141" i="2"/>
  <c r="E141" i="2"/>
  <c r="C141" i="2"/>
  <c r="AA140" i="2"/>
  <c r="G140" i="2"/>
  <c r="E140" i="2"/>
  <c r="C140" i="2"/>
  <c r="AA139" i="2"/>
  <c r="G139" i="2"/>
  <c r="E139" i="2"/>
  <c r="C139" i="2"/>
  <c r="AA138" i="2"/>
  <c r="G138" i="2"/>
  <c r="E138" i="2"/>
  <c r="C138" i="2"/>
  <c r="AA137" i="2"/>
  <c r="G137" i="2"/>
  <c r="E137" i="2"/>
  <c r="C137" i="2"/>
  <c r="AA136" i="2"/>
  <c r="G136" i="2"/>
  <c r="E136" i="2"/>
  <c r="C136" i="2"/>
  <c r="AA135" i="2"/>
  <c r="G135" i="2"/>
  <c r="E135" i="2"/>
  <c r="C135" i="2"/>
  <c r="AA134" i="2"/>
  <c r="G134" i="2"/>
  <c r="E134" i="2"/>
  <c r="C134" i="2"/>
  <c r="AA133" i="2"/>
  <c r="G133" i="2"/>
  <c r="E133" i="2"/>
  <c r="C133" i="2"/>
  <c r="AA132" i="2"/>
  <c r="G132" i="2"/>
  <c r="E132" i="2"/>
  <c r="C132" i="2"/>
  <c r="AA131" i="2"/>
  <c r="G131" i="2"/>
  <c r="E131" i="2"/>
  <c r="C131" i="2"/>
  <c r="AA130" i="2"/>
  <c r="G130" i="2"/>
  <c r="E130" i="2"/>
  <c r="C130" i="2"/>
  <c r="AA129" i="2"/>
  <c r="G129" i="2"/>
  <c r="E129" i="2"/>
  <c r="C129" i="2"/>
  <c r="AA128" i="2"/>
  <c r="G128" i="2"/>
  <c r="E128" i="2"/>
  <c r="C128" i="2"/>
  <c r="AA127" i="2"/>
  <c r="G127" i="2"/>
  <c r="E127" i="2"/>
  <c r="C127" i="2"/>
  <c r="AA126" i="2"/>
  <c r="G126" i="2"/>
  <c r="E126" i="2"/>
  <c r="C126" i="2"/>
  <c r="AA125" i="2"/>
  <c r="G125" i="2"/>
  <c r="E125" i="2"/>
  <c r="C125" i="2"/>
  <c r="AA124" i="2"/>
  <c r="G124" i="2"/>
  <c r="E124" i="2"/>
  <c r="C124" i="2"/>
  <c r="AA123" i="2"/>
  <c r="G123" i="2"/>
  <c r="E123" i="2"/>
  <c r="C123" i="2"/>
  <c r="AA122" i="2"/>
  <c r="G122" i="2"/>
  <c r="E122" i="2"/>
  <c r="C122" i="2"/>
  <c r="AA121" i="2"/>
  <c r="G121" i="2"/>
  <c r="E121" i="2"/>
  <c r="C121" i="2"/>
  <c r="AA120" i="2"/>
  <c r="G120" i="2"/>
  <c r="E120" i="2"/>
  <c r="C120" i="2"/>
  <c r="AA119" i="2"/>
  <c r="G119" i="2"/>
  <c r="E119" i="2"/>
  <c r="C119" i="2"/>
  <c r="AA118" i="2"/>
  <c r="G118" i="2"/>
  <c r="E118" i="2"/>
  <c r="C118" i="2"/>
  <c r="AA117" i="2"/>
  <c r="G117" i="2"/>
  <c r="E117" i="2"/>
  <c r="C117" i="2"/>
  <c r="AA116" i="2"/>
  <c r="G116" i="2"/>
  <c r="E116" i="2"/>
  <c r="C116" i="2"/>
  <c r="AA115" i="2"/>
  <c r="G115" i="2"/>
  <c r="E115" i="2"/>
  <c r="C115" i="2"/>
  <c r="AA114" i="2"/>
  <c r="G114" i="2"/>
  <c r="E114" i="2"/>
  <c r="C114" i="2"/>
  <c r="AA113" i="2"/>
  <c r="G113" i="2"/>
  <c r="E113" i="2"/>
  <c r="C113" i="2"/>
  <c r="AA112" i="2"/>
  <c r="G112" i="2"/>
  <c r="E112" i="2"/>
  <c r="C112" i="2"/>
  <c r="AA111" i="2"/>
  <c r="G111" i="2"/>
  <c r="E111" i="2"/>
  <c r="C111" i="2"/>
  <c r="AA110" i="2"/>
  <c r="G110" i="2"/>
  <c r="E110" i="2"/>
  <c r="C110" i="2"/>
  <c r="AA109" i="2"/>
  <c r="G109" i="2"/>
  <c r="E109" i="2"/>
  <c r="C109" i="2"/>
  <c r="AA108" i="2"/>
  <c r="G108" i="2"/>
  <c r="E108" i="2"/>
  <c r="C108" i="2"/>
  <c r="AA107" i="2"/>
  <c r="G107" i="2"/>
  <c r="E107" i="2"/>
  <c r="C107" i="2"/>
  <c r="AA106" i="2"/>
  <c r="G106" i="2"/>
  <c r="E106" i="2"/>
  <c r="C106" i="2"/>
  <c r="AA105" i="2"/>
  <c r="G105" i="2"/>
  <c r="E105" i="2"/>
  <c r="C105" i="2"/>
  <c r="AA104" i="2"/>
  <c r="G104" i="2"/>
  <c r="E104" i="2"/>
  <c r="C104" i="2"/>
  <c r="AA103" i="2"/>
  <c r="G103" i="2"/>
  <c r="E103" i="2"/>
  <c r="C103" i="2"/>
  <c r="AA102" i="2"/>
  <c r="G102" i="2"/>
  <c r="E102" i="2"/>
  <c r="C102" i="2"/>
  <c r="AA101" i="2"/>
  <c r="G101" i="2"/>
  <c r="E101" i="2"/>
  <c r="C101" i="2"/>
  <c r="AA100" i="2"/>
  <c r="G100" i="2"/>
  <c r="E100" i="2"/>
  <c r="C100" i="2"/>
  <c r="AA99" i="2"/>
  <c r="G99" i="2"/>
  <c r="E99" i="2"/>
  <c r="C99" i="2"/>
  <c r="AA98" i="2"/>
  <c r="G98" i="2"/>
  <c r="E98" i="2"/>
  <c r="C98" i="2"/>
  <c r="AA97" i="2"/>
  <c r="G97" i="2"/>
  <c r="E97" i="2"/>
  <c r="C97" i="2"/>
  <c r="AA96" i="2"/>
  <c r="G96" i="2"/>
  <c r="E96" i="2"/>
  <c r="C96" i="2"/>
  <c r="AA95" i="2"/>
  <c r="G95" i="2"/>
  <c r="E95" i="2"/>
  <c r="C95" i="2"/>
  <c r="AA94" i="2"/>
  <c r="G94" i="2"/>
  <c r="E94" i="2"/>
  <c r="C94" i="2"/>
  <c r="AA93" i="2"/>
  <c r="G93" i="2"/>
  <c r="E93" i="2"/>
  <c r="C93" i="2"/>
  <c r="AA92" i="2"/>
  <c r="G92" i="2"/>
  <c r="E92" i="2"/>
  <c r="C92" i="2"/>
  <c r="AA91" i="2"/>
  <c r="G91" i="2"/>
  <c r="E91" i="2"/>
  <c r="C91" i="2"/>
  <c r="AA90" i="2"/>
  <c r="G90" i="2"/>
  <c r="E90" i="2"/>
  <c r="C90" i="2"/>
  <c r="AA89" i="2"/>
  <c r="G89" i="2"/>
  <c r="E89" i="2"/>
  <c r="C89" i="2"/>
  <c r="AA88" i="2"/>
  <c r="G88" i="2"/>
  <c r="E88" i="2"/>
  <c r="C88" i="2"/>
  <c r="AA87" i="2"/>
  <c r="G87" i="2"/>
  <c r="E87" i="2"/>
  <c r="C87" i="2"/>
  <c r="AA86" i="2"/>
  <c r="G86" i="2"/>
  <c r="E86" i="2"/>
  <c r="C86" i="2"/>
  <c r="AA85" i="2"/>
  <c r="G85" i="2"/>
  <c r="E85" i="2"/>
  <c r="C85" i="2"/>
  <c r="AA84" i="2"/>
  <c r="G84" i="2"/>
  <c r="E84" i="2"/>
  <c r="C84" i="2"/>
  <c r="AA83" i="2"/>
  <c r="G83" i="2"/>
  <c r="E83" i="2"/>
  <c r="C83" i="2"/>
  <c r="AA82" i="2"/>
  <c r="G82" i="2"/>
  <c r="E82" i="2"/>
  <c r="C82" i="2"/>
  <c r="AA81" i="2"/>
  <c r="G81" i="2"/>
  <c r="E81" i="2"/>
  <c r="C81" i="2"/>
  <c r="AA80" i="2"/>
  <c r="G80" i="2"/>
  <c r="E80" i="2"/>
  <c r="C80" i="2"/>
  <c r="AA79" i="2"/>
  <c r="G79" i="2"/>
  <c r="E79" i="2"/>
  <c r="C79" i="2"/>
  <c r="AA78" i="2"/>
  <c r="G78" i="2"/>
  <c r="E78" i="2"/>
  <c r="C78" i="2"/>
  <c r="AA77" i="2"/>
  <c r="G77" i="2"/>
  <c r="E77" i="2"/>
  <c r="C77" i="2"/>
  <c r="AA76" i="2"/>
  <c r="G76" i="2"/>
  <c r="E76" i="2"/>
  <c r="C76" i="2"/>
  <c r="AA75" i="2"/>
  <c r="G75" i="2"/>
  <c r="E75" i="2"/>
  <c r="C75" i="2"/>
  <c r="AA74" i="2"/>
  <c r="G74" i="2"/>
  <c r="E74" i="2"/>
  <c r="C74" i="2"/>
  <c r="AA73" i="2"/>
  <c r="G73" i="2"/>
  <c r="E73" i="2"/>
  <c r="C73" i="2"/>
  <c r="AA72" i="2"/>
  <c r="G72" i="2"/>
  <c r="E72" i="2"/>
  <c r="C72" i="2"/>
  <c r="AA71" i="2"/>
  <c r="G71" i="2"/>
  <c r="E71" i="2"/>
  <c r="C71" i="2"/>
  <c r="AA70" i="2"/>
  <c r="G70" i="2"/>
  <c r="E70" i="2"/>
  <c r="C70" i="2"/>
  <c r="AA69" i="2"/>
  <c r="G69" i="2"/>
  <c r="E69" i="2"/>
  <c r="C69" i="2"/>
  <c r="AA68" i="2"/>
  <c r="G68" i="2"/>
  <c r="E68" i="2"/>
  <c r="C68" i="2"/>
  <c r="AA67" i="2"/>
  <c r="G67" i="2"/>
  <c r="E67" i="2"/>
  <c r="C67" i="2"/>
  <c r="AA66" i="2"/>
  <c r="G66" i="2"/>
  <c r="E66" i="2"/>
  <c r="C66" i="2"/>
  <c r="AA65" i="2"/>
  <c r="G65" i="2"/>
  <c r="E65" i="2"/>
  <c r="C65" i="2"/>
  <c r="AA64" i="2"/>
  <c r="G64" i="2"/>
  <c r="E64" i="2"/>
  <c r="C64" i="2"/>
  <c r="AA63" i="2"/>
  <c r="G63" i="2"/>
  <c r="E63" i="2"/>
  <c r="C63" i="2"/>
  <c r="AA62" i="2"/>
  <c r="G62" i="2"/>
  <c r="E62" i="2"/>
  <c r="C62" i="2"/>
  <c r="AA61" i="2"/>
  <c r="G61" i="2"/>
  <c r="E61" i="2"/>
  <c r="C61" i="2"/>
  <c r="AA60" i="2"/>
  <c r="G60" i="2"/>
  <c r="E60" i="2"/>
  <c r="C60" i="2"/>
  <c r="AA59" i="2"/>
  <c r="G59" i="2"/>
  <c r="E59" i="2"/>
  <c r="C59" i="2"/>
  <c r="AA58" i="2"/>
  <c r="G58" i="2"/>
  <c r="E58" i="2"/>
  <c r="C58" i="2"/>
  <c r="AA57" i="2"/>
  <c r="G57" i="2"/>
  <c r="E57" i="2"/>
  <c r="C57" i="2"/>
  <c r="AA56" i="2"/>
  <c r="G56" i="2"/>
  <c r="E56" i="2"/>
  <c r="C56" i="2"/>
  <c r="AA55" i="2"/>
  <c r="G55" i="2"/>
  <c r="E55" i="2"/>
  <c r="C55" i="2"/>
  <c r="AA54" i="2"/>
  <c r="G54" i="2"/>
  <c r="E54" i="2"/>
  <c r="C54" i="2"/>
  <c r="AA53" i="2"/>
  <c r="G53" i="2"/>
  <c r="E53" i="2"/>
  <c r="C53" i="2"/>
  <c r="AA52" i="2"/>
  <c r="G52" i="2"/>
  <c r="E52" i="2"/>
  <c r="C52" i="2"/>
  <c r="AA51" i="2"/>
  <c r="G51" i="2"/>
  <c r="E51" i="2"/>
  <c r="C51" i="2"/>
  <c r="AA50" i="2"/>
  <c r="G50" i="2"/>
  <c r="E50" i="2"/>
  <c r="C50" i="2"/>
  <c r="AA49" i="2"/>
  <c r="G49" i="2"/>
  <c r="E49" i="2"/>
  <c r="C49" i="2"/>
  <c r="AA48" i="2"/>
  <c r="G48" i="2"/>
  <c r="E48" i="2"/>
  <c r="C48" i="2"/>
  <c r="AA47" i="2"/>
  <c r="G47" i="2"/>
  <c r="E47" i="2"/>
  <c r="C47" i="2"/>
  <c r="AA46" i="2"/>
  <c r="G46" i="2"/>
  <c r="E46" i="2"/>
  <c r="C46" i="2"/>
  <c r="AA45" i="2"/>
  <c r="G45" i="2"/>
  <c r="E45" i="2"/>
  <c r="C45" i="2"/>
  <c r="AA44" i="2"/>
  <c r="G44" i="2"/>
  <c r="E44" i="2"/>
  <c r="C44" i="2"/>
  <c r="AA43" i="2"/>
  <c r="G43" i="2"/>
  <c r="E43" i="2"/>
  <c r="C43" i="2"/>
  <c r="AA42" i="2"/>
  <c r="G42" i="2"/>
  <c r="E42" i="2"/>
  <c r="C42" i="2"/>
  <c r="AA41" i="2"/>
  <c r="G41" i="2"/>
  <c r="E41" i="2"/>
  <c r="C41" i="2"/>
  <c r="AA40" i="2"/>
  <c r="G40" i="2"/>
  <c r="E40" i="2"/>
  <c r="C40" i="2"/>
  <c r="AA39" i="2"/>
  <c r="G39" i="2"/>
  <c r="E39" i="2"/>
  <c r="C39" i="2"/>
  <c r="AA38" i="2"/>
  <c r="G38" i="2"/>
  <c r="E38" i="2"/>
  <c r="C38" i="2"/>
  <c r="AA37" i="2"/>
  <c r="G37" i="2"/>
  <c r="E37" i="2"/>
  <c r="C37" i="2"/>
  <c r="AA36" i="2"/>
  <c r="G36" i="2"/>
  <c r="E36" i="2"/>
  <c r="C36" i="2"/>
  <c r="AA35" i="2"/>
  <c r="G35" i="2"/>
  <c r="E35" i="2"/>
  <c r="C35" i="2"/>
  <c r="AA34" i="2"/>
  <c r="G34" i="2"/>
  <c r="E34" i="2"/>
  <c r="C34" i="2"/>
  <c r="AA33" i="2"/>
  <c r="G33" i="2"/>
  <c r="E33" i="2"/>
  <c r="C33" i="2"/>
  <c r="AA32" i="2"/>
  <c r="G32" i="2"/>
  <c r="E32" i="2"/>
  <c r="C32" i="2"/>
  <c r="AA31" i="2"/>
  <c r="G31" i="2"/>
  <c r="E31" i="2"/>
  <c r="C31" i="2"/>
  <c r="AA30" i="2"/>
  <c r="G30" i="2"/>
  <c r="E30" i="2"/>
  <c r="C30" i="2"/>
  <c r="AA29" i="2"/>
  <c r="G29" i="2"/>
  <c r="E29" i="2"/>
  <c r="C29" i="2"/>
  <c r="AA28" i="2"/>
  <c r="G28" i="2"/>
  <c r="E28" i="2"/>
  <c r="C28" i="2"/>
  <c r="AA27" i="2"/>
  <c r="G27" i="2"/>
  <c r="E27" i="2"/>
  <c r="C27" i="2"/>
  <c r="AA26" i="2"/>
  <c r="G26" i="2"/>
  <c r="E26" i="2"/>
  <c r="C26" i="2"/>
  <c r="AA25" i="2"/>
  <c r="G25" i="2"/>
  <c r="E25" i="2"/>
  <c r="C25" i="2"/>
  <c r="AA24" i="2"/>
  <c r="G24" i="2"/>
  <c r="E24" i="2"/>
  <c r="C24" i="2"/>
  <c r="AA23" i="2"/>
  <c r="G23" i="2"/>
  <c r="E23" i="2"/>
  <c r="C23" i="2"/>
  <c r="AA22" i="2"/>
  <c r="G22" i="2"/>
  <c r="E22" i="2"/>
  <c r="C22" i="2"/>
  <c r="AA21" i="2"/>
  <c r="G21" i="2"/>
  <c r="E21" i="2"/>
  <c r="C21" i="2"/>
  <c r="AA20" i="2"/>
  <c r="G20" i="2"/>
  <c r="E20" i="2"/>
  <c r="C20" i="2"/>
  <c r="AA19" i="2"/>
  <c r="G19" i="2"/>
  <c r="E19" i="2"/>
  <c r="C19" i="2"/>
  <c r="AA18" i="2"/>
  <c r="G18" i="2"/>
  <c r="E18" i="2"/>
  <c r="C18" i="2"/>
  <c r="AA17" i="2"/>
  <c r="G17" i="2"/>
  <c r="E17" i="2"/>
  <c r="C17" i="2"/>
  <c r="AA16" i="2"/>
  <c r="G16" i="2"/>
  <c r="E16" i="2"/>
  <c r="C16" i="2"/>
  <c r="AA15" i="2"/>
  <c r="G15" i="2"/>
  <c r="E15" i="2"/>
  <c r="C15" i="2"/>
  <c r="AA14" i="2"/>
  <c r="G14" i="2"/>
  <c r="E14" i="2"/>
  <c r="C14" i="2"/>
  <c r="AA13" i="2"/>
  <c r="G13" i="2"/>
  <c r="E13" i="2"/>
  <c r="C13" i="2"/>
  <c r="AA12" i="2"/>
  <c r="G12" i="2"/>
  <c r="E12" i="2"/>
  <c r="C12" i="2"/>
  <c r="AA11" i="2"/>
  <c r="G11" i="2"/>
  <c r="E11" i="2"/>
  <c r="C11" i="2"/>
  <c r="AA10" i="2"/>
  <c r="G10" i="2"/>
  <c r="E10" i="2"/>
  <c r="C10" i="2"/>
  <c r="AA9" i="2"/>
  <c r="G9" i="2"/>
  <c r="E9" i="2"/>
  <c r="C9" i="2"/>
  <c r="AA8" i="2"/>
  <c r="G8" i="2"/>
  <c r="E8" i="2"/>
  <c r="C8" i="2"/>
  <c r="AA7" i="2"/>
  <c r="G7" i="2"/>
  <c r="E7" i="2"/>
  <c r="C7" i="2"/>
  <c r="AA6" i="2"/>
  <c r="G6" i="2"/>
  <c r="E6" i="2"/>
  <c r="C6" i="2"/>
  <c r="AA5" i="2"/>
  <c r="G5" i="2"/>
  <c r="E5" i="2"/>
  <c r="C5" i="2"/>
  <c r="AA4" i="2"/>
  <c r="G4" i="2"/>
  <c r="E4" i="2"/>
  <c r="C4" i="2"/>
  <c r="AA203" i="1"/>
  <c r="Z203" i="1"/>
  <c r="Y203" i="1"/>
  <c r="X203" i="1"/>
  <c r="W203" i="1"/>
  <c r="V203" i="1"/>
  <c r="U203" i="1"/>
  <c r="AA202" i="1"/>
  <c r="Z202" i="1"/>
  <c r="Y202" i="1"/>
  <c r="X202" i="1"/>
  <c r="W202" i="1"/>
  <c r="V202" i="1"/>
  <c r="U202" i="1"/>
  <c r="E202" i="1"/>
  <c r="AA201" i="1"/>
  <c r="Z201" i="1"/>
  <c r="Y201" i="1"/>
  <c r="X201" i="1"/>
  <c r="W201" i="1"/>
  <c r="V201" i="1"/>
  <c r="U201" i="1"/>
  <c r="E201" i="1"/>
  <c r="AA200" i="1"/>
  <c r="Z200" i="1"/>
  <c r="Y200" i="1"/>
  <c r="X200" i="1"/>
  <c r="W200" i="1"/>
  <c r="V200" i="1"/>
  <c r="U200" i="1"/>
  <c r="E200" i="1"/>
  <c r="AA199" i="1"/>
  <c r="Z199" i="1"/>
  <c r="Y199" i="1"/>
  <c r="X199" i="1"/>
  <c r="W199" i="1"/>
  <c r="V199" i="1"/>
  <c r="U199" i="1"/>
  <c r="E199" i="1"/>
  <c r="AA198" i="1"/>
  <c r="Z198" i="1"/>
  <c r="Y198" i="1"/>
  <c r="X198" i="1"/>
  <c r="W198" i="1"/>
  <c r="V198" i="1"/>
  <c r="U198" i="1"/>
  <c r="AA197" i="1"/>
  <c r="Z197" i="1"/>
  <c r="Y197" i="1"/>
  <c r="X197" i="1"/>
  <c r="W197" i="1"/>
  <c r="V197" i="1"/>
  <c r="U197" i="1"/>
  <c r="E197" i="1"/>
  <c r="AA196" i="1"/>
  <c r="Z196" i="1"/>
  <c r="Y196" i="1"/>
  <c r="X196" i="1"/>
  <c r="W196" i="1"/>
  <c r="V196" i="1"/>
  <c r="U196" i="1"/>
  <c r="E196" i="1"/>
  <c r="AA195" i="1"/>
  <c r="Z195" i="1"/>
  <c r="Y195" i="1"/>
  <c r="X195" i="1"/>
  <c r="W195" i="1"/>
  <c r="V195" i="1"/>
  <c r="U195" i="1"/>
  <c r="E195" i="1"/>
  <c r="AA194" i="1"/>
  <c r="Z194" i="1"/>
  <c r="Y194" i="1"/>
  <c r="X194" i="1"/>
  <c r="W194" i="1"/>
  <c r="V194" i="1"/>
  <c r="U194" i="1"/>
  <c r="E194" i="1"/>
  <c r="AA193" i="1"/>
  <c r="Z193" i="1"/>
  <c r="Y193" i="1"/>
  <c r="X193" i="1"/>
  <c r="W193" i="1"/>
  <c r="V193" i="1"/>
  <c r="U193" i="1"/>
  <c r="E193" i="1"/>
  <c r="AA192" i="1"/>
  <c r="Z192" i="1"/>
  <c r="Y192" i="1"/>
  <c r="X192" i="1"/>
  <c r="W192" i="1"/>
  <c r="V192" i="1"/>
  <c r="U192" i="1"/>
  <c r="E192" i="1"/>
  <c r="AA191" i="1"/>
  <c r="Z191" i="1"/>
  <c r="Y191" i="1"/>
  <c r="X191" i="1"/>
  <c r="W191" i="1"/>
  <c r="V191" i="1"/>
  <c r="U191" i="1"/>
  <c r="E191" i="1"/>
  <c r="AA190" i="1"/>
  <c r="Z190" i="1"/>
  <c r="Y190" i="1"/>
  <c r="X190" i="1"/>
  <c r="W190" i="1"/>
  <c r="V190" i="1"/>
  <c r="U190" i="1"/>
  <c r="E190" i="1"/>
  <c r="AA189" i="1"/>
  <c r="Z189" i="1"/>
  <c r="Y189" i="1"/>
  <c r="X189" i="1"/>
  <c r="W189" i="1"/>
  <c r="V189" i="1"/>
  <c r="U189" i="1"/>
  <c r="E189" i="1"/>
  <c r="AA188" i="1"/>
  <c r="Z188" i="1"/>
  <c r="Y188" i="1"/>
  <c r="X188" i="1"/>
  <c r="W188" i="1"/>
  <c r="V188" i="1"/>
  <c r="U188" i="1"/>
  <c r="E188" i="1"/>
  <c r="AA187" i="1"/>
  <c r="Z187" i="1"/>
  <c r="Y187" i="1"/>
  <c r="X187" i="1"/>
  <c r="W187" i="1"/>
  <c r="V187" i="1"/>
  <c r="U187" i="1"/>
  <c r="AA186" i="1"/>
  <c r="Z186" i="1"/>
  <c r="Y186" i="1"/>
  <c r="X186" i="1"/>
  <c r="W186" i="1"/>
  <c r="V186" i="1"/>
  <c r="U186" i="1"/>
  <c r="E186" i="1"/>
  <c r="AA185" i="1"/>
  <c r="Z185" i="1"/>
  <c r="Y185" i="1"/>
  <c r="X185" i="1"/>
  <c r="W185" i="1"/>
  <c r="V185" i="1"/>
  <c r="U185" i="1"/>
  <c r="E185" i="1"/>
  <c r="AA184" i="1"/>
  <c r="Z184" i="1"/>
  <c r="Y184" i="1"/>
  <c r="X184" i="1"/>
  <c r="W184" i="1"/>
  <c r="V184" i="1"/>
  <c r="U184" i="1"/>
  <c r="E184" i="1"/>
  <c r="AA183" i="1"/>
  <c r="Z183" i="1"/>
  <c r="Y183" i="1"/>
  <c r="X183" i="1"/>
  <c r="W183" i="1"/>
  <c r="V183" i="1"/>
  <c r="U183" i="1"/>
  <c r="E183" i="1"/>
  <c r="AA182" i="1"/>
  <c r="Z182" i="1"/>
  <c r="Y182" i="1"/>
  <c r="X182" i="1"/>
  <c r="W182" i="1"/>
  <c r="V182" i="1"/>
  <c r="U182" i="1"/>
  <c r="E182" i="1"/>
  <c r="AA181" i="1"/>
  <c r="Z181" i="1"/>
  <c r="Y181" i="1"/>
  <c r="X181" i="1"/>
  <c r="W181" i="1"/>
  <c r="V181" i="1"/>
  <c r="U181" i="1"/>
  <c r="E181" i="1"/>
  <c r="AA179" i="1"/>
  <c r="G179" i="1"/>
  <c r="E179" i="1"/>
  <c r="AA178" i="1"/>
  <c r="G178" i="1"/>
  <c r="E178" i="1"/>
  <c r="C178" i="1"/>
  <c r="AA177" i="1"/>
  <c r="G177" i="1"/>
  <c r="E177" i="1"/>
  <c r="C177" i="1"/>
  <c r="AA176" i="1"/>
  <c r="G176" i="1"/>
  <c r="E176" i="1"/>
  <c r="C176" i="1"/>
  <c r="AA175" i="1"/>
  <c r="G175" i="1"/>
  <c r="E175" i="1"/>
  <c r="C175" i="1"/>
  <c r="AA174" i="1"/>
  <c r="G174" i="1"/>
  <c r="E174" i="1"/>
  <c r="C174" i="1"/>
  <c r="AA173" i="1"/>
  <c r="G173" i="1"/>
  <c r="E173" i="1"/>
  <c r="C173" i="1"/>
  <c r="AA172" i="1"/>
  <c r="G172" i="1"/>
  <c r="E172" i="1"/>
  <c r="C172" i="1"/>
  <c r="AA171" i="1"/>
  <c r="G171" i="1"/>
  <c r="E171" i="1"/>
  <c r="C171" i="1"/>
  <c r="AA170" i="1"/>
  <c r="G170" i="1"/>
  <c r="E170" i="1"/>
  <c r="C170" i="1"/>
  <c r="AA169" i="1"/>
  <c r="G169" i="1"/>
  <c r="E169" i="1"/>
  <c r="C169" i="1"/>
  <c r="AA168" i="1"/>
  <c r="G168" i="1"/>
  <c r="E168" i="1"/>
  <c r="C168" i="1"/>
  <c r="AA167" i="1"/>
  <c r="G167" i="1"/>
  <c r="E167" i="1"/>
  <c r="C167" i="1"/>
  <c r="AA166" i="1"/>
  <c r="G166" i="1"/>
  <c r="E166" i="1"/>
  <c r="C166" i="1"/>
  <c r="AA165" i="1"/>
  <c r="G165" i="1"/>
  <c r="E165" i="1"/>
  <c r="C165" i="1"/>
  <c r="AA164" i="1"/>
  <c r="G164" i="1"/>
  <c r="E164" i="1"/>
  <c r="C164" i="1"/>
  <c r="AA163" i="1"/>
  <c r="Y163" i="1"/>
  <c r="X163" i="1"/>
  <c r="W163" i="1"/>
  <c r="V163" i="1"/>
  <c r="U163" i="1"/>
  <c r="G163" i="1"/>
  <c r="E163" i="1"/>
  <c r="C163" i="1"/>
  <c r="AA162" i="1"/>
  <c r="G162" i="1"/>
  <c r="E162" i="1"/>
  <c r="C162" i="1"/>
  <c r="AA161" i="1"/>
  <c r="G161" i="1"/>
  <c r="E161" i="1"/>
  <c r="C161" i="1"/>
  <c r="AA160" i="1"/>
  <c r="G160" i="1"/>
  <c r="E160" i="1"/>
  <c r="C160" i="1"/>
  <c r="AA159" i="1"/>
  <c r="G159" i="1"/>
  <c r="E159" i="1"/>
  <c r="C159" i="1"/>
  <c r="AA158" i="1"/>
  <c r="G158" i="1"/>
  <c r="E158" i="1"/>
  <c r="C158" i="1"/>
  <c r="AA157" i="1"/>
  <c r="G157" i="1"/>
  <c r="E157" i="1"/>
  <c r="C157" i="1"/>
  <c r="AA156" i="1"/>
  <c r="G156" i="1"/>
  <c r="E156" i="1"/>
  <c r="C156" i="1"/>
  <c r="AA155" i="1"/>
  <c r="G155" i="1"/>
  <c r="E155" i="1"/>
  <c r="C155" i="1"/>
  <c r="AA154" i="1"/>
  <c r="G154" i="1"/>
  <c r="E154" i="1"/>
  <c r="C154" i="1"/>
  <c r="AA153" i="1"/>
  <c r="G153" i="1"/>
  <c r="E153" i="1"/>
  <c r="C153" i="1"/>
  <c r="AA152" i="1"/>
  <c r="G152" i="1"/>
  <c r="E152" i="1"/>
  <c r="C152" i="1"/>
  <c r="AA151" i="1"/>
  <c r="G151" i="1"/>
  <c r="E151" i="1"/>
  <c r="C151" i="1"/>
  <c r="AA150" i="1"/>
  <c r="G150" i="1"/>
  <c r="E150" i="1"/>
  <c r="C150" i="1"/>
  <c r="AA149" i="1"/>
  <c r="G149" i="1"/>
  <c r="E149" i="1"/>
  <c r="C149" i="1"/>
  <c r="AA148" i="1"/>
  <c r="G148" i="1"/>
  <c r="E148" i="1"/>
  <c r="C148" i="1"/>
  <c r="AA147" i="1"/>
  <c r="G147" i="1"/>
  <c r="E147" i="1"/>
  <c r="C147" i="1"/>
  <c r="AA146" i="1"/>
  <c r="G146" i="1"/>
  <c r="E146" i="1"/>
  <c r="C146" i="1"/>
  <c r="AA145" i="1"/>
  <c r="G145" i="1"/>
  <c r="E145" i="1"/>
  <c r="C145" i="1"/>
  <c r="AA144" i="1"/>
  <c r="G144" i="1"/>
  <c r="E144" i="1"/>
  <c r="C144" i="1"/>
  <c r="AA143" i="1"/>
  <c r="G143" i="1"/>
  <c r="E143" i="1"/>
  <c r="C143" i="1"/>
  <c r="AA142" i="1"/>
  <c r="G142" i="1"/>
  <c r="E142" i="1"/>
  <c r="C142" i="1"/>
  <c r="AA141" i="1"/>
  <c r="G141" i="1"/>
  <c r="E141" i="1"/>
  <c r="C141" i="1"/>
  <c r="AA140" i="1"/>
  <c r="G140" i="1"/>
  <c r="E140" i="1"/>
  <c r="C140" i="1"/>
  <c r="AA139" i="1"/>
  <c r="G139" i="1"/>
  <c r="E139" i="1"/>
  <c r="C139" i="1"/>
  <c r="AA138" i="1"/>
  <c r="G138" i="1"/>
  <c r="E138" i="1"/>
  <c r="C138" i="1"/>
  <c r="AA137" i="1"/>
  <c r="G137" i="1"/>
  <c r="E137" i="1"/>
  <c r="C137" i="1"/>
  <c r="AA136" i="1"/>
  <c r="G136" i="1"/>
  <c r="E136" i="1"/>
  <c r="C136" i="1"/>
  <c r="AA135" i="1"/>
  <c r="G135" i="1"/>
  <c r="E135" i="1"/>
  <c r="C135" i="1"/>
  <c r="AA134" i="1"/>
  <c r="G134" i="1"/>
  <c r="E134" i="1"/>
  <c r="C134" i="1"/>
  <c r="AA133" i="1"/>
  <c r="E133" i="1"/>
  <c r="C133" i="1"/>
  <c r="AA132" i="1"/>
  <c r="G132" i="1"/>
  <c r="E132" i="1"/>
  <c r="C132" i="1"/>
  <c r="AA131" i="1"/>
  <c r="G131" i="1"/>
  <c r="E131" i="1"/>
  <c r="C131" i="1"/>
  <c r="AA130" i="1"/>
  <c r="G130" i="1"/>
  <c r="E130" i="1"/>
  <c r="C130" i="1"/>
  <c r="AA129" i="1"/>
  <c r="G129" i="1"/>
  <c r="E129" i="1"/>
  <c r="C129" i="1"/>
  <c r="AA128" i="1"/>
  <c r="G128" i="1"/>
  <c r="E128" i="1"/>
  <c r="C128" i="1"/>
  <c r="AA127" i="1"/>
  <c r="G127" i="1"/>
  <c r="E127" i="1"/>
  <c r="C127" i="1"/>
  <c r="AA126" i="1"/>
  <c r="G126" i="1"/>
  <c r="E126" i="1"/>
  <c r="C126" i="1"/>
  <c r="AA125" i="1"/>
  <c r="G125" i="1"/>
  <c r="E125" i="1"/>
  <c r="C125" i="1"/>
  <c r="AA124" i="1"/>
  <c r="G124" i="1"/>
  <c r="E124" i="1"/>
  <c r="C124" i="1"/>
  <c r="AA123" i="1"/>
  <c r="G123" i="1"/>
  <c r="E123" i="1"/>
  <c r="C123" i="1"/>
  <c r="AA122" i="1"/>
  <c r="G122" i="1"/>
  <c r="E122" i="1"/>
  <c r="C122" i="1"/>
  <c r="AA121" i="1"/>
  <c r="G121" i="1"/>
  <c r="E121" i="1"/>
  <c r="C121" i="1"/>
  <c r="AA120" i="1"/>
  <c r="G120" i="1"/>
  <c r="E120" i="1"/>
  <c r="C120" i="1"/>
  <c r="AA119" i="1"/>
  <c r="G119" i="1"/>
  <c r="E119" i="1"/>
  <c r="C119" i="1"/>
  <c r="AA118" i="1"/>
  <c r="G118" i="1"/>
  <c r="E118" i="1"/>
  <c r="C118" i="1"/>
  <c r="AA117" i="1"/>
  <c r="G117" i="1"/>
  <c r="E117" i="1"/>
  <c r="C117" i="1"/>
  <c r="AA116" i="1"/>
  <c r="G116" i="1"/>
  <c r="E116" i="1"/>
  <c r="C116" i="1"/>
  <c r="AA115" i="1"/>
  <c r="G115" i="1"/>
  <c r="E115" i="1"/>
  <c r="C115" i="1"/>
  <c r="AA114" i="1"/>
  <c r="G114" i="1"/>
  <c r="E114" i="1"/>
  <c r="C114" i="1"/>
  <c r="AA113" i="1"/>
  <c r="G113" i="1"/>
  <c r="E113" i="1"/>
  <c r="C113" i="1"/>
  <c r="AA112" i="1"/>
  <c r="G112" i="1"/>
  <c r="E112" i="1"/>
  <c r="C112" i="1"/>
  <c r="AA111" i="1"/>
  <c r="G111" i="1"/>
  <c r="E111" i="1"/>
  <c r="C111" i="1"/>
  <c r="AA110" i="1"/>
  <c r="G110" i="1"/>
  <c r="E110" i="1"/>
  <c r="C110" i="1"/>
  <c r="AA109" i="1"/>
  <c r="G109" i="1"/>
  <c r="E109" i="1"/>
  <c r="C109" i="1"/>
  <c r="AA108" i="1"/>
  <c r="G108" i="1"/>
  <c r="E108" i="1"/>
  <c r="C108" i="1"/>
  <c r="AA107" i="1"/>
  <c r="G107" i="1"/>
  <c r="E107" i="1"/>
  <c r="C107" i="1"/>
  <c r="AA106" i="1"/>
  <c r="G106" i="1"/>
  <c r="E106" i="1"/>
  <c r="C106" i="1"/>
  <c r="AA105" i="1"/>
  <c r="G105" i="1"/>
  <c r="E105" i="1"/>
  <c r="C105" i="1"/>
  <c r="AA104" i="1"/>
  <c r="G104" i="1"/>
  <c r="E104" i="1"/>
  <c r="C104" i="1"/>
  <c r="AA103" i="1"/>
  <c r="G103" i="1"/>
  <c r="E103" i="1"/>
  <c r="C103" i="1"/>
  <c r="AA102" i="1"/>
  <c r="G102" i="1"/>
  <c r="E102" i="1"/>
  <c r="C102" i="1"/>
  <c r="AA101" i="1"/>
  <c r="G101" i="1"/>
  <c r="E101" i="1"/>
  <c r="C101" i="1"/>
  <c r="AA100" i="1"/>
  <c r="G100" i="1"/>
  <c r="E100" i="1"/>
  <c r="C100" i="1"/>
  <c r="AA99" i="1"/>
  <c r="G99" i="1"/>
  <c r="E99" i="1"/>
  <c r="C99" i="1"/>
  <c r="AA98" i="1"/>
  <c r="G98" i="1"/>
  <c r="E98" i="1"/>
  <c r="C98" i="1"/>
  <c r="AA97" i="1"/>
  <c r="G97" i="1"/>
  <c r="E97" i="1"/>
  <c r="C97" i="1"/>
  <c r="AA96" i="1"/>
  <c r="G96" i="1"/>
  <c r="E96" i="1"/>
  <c r="C96" i="1"/>
  <c r="AA95" i="1"/>
  <c r="G95" i="1"/>
  <c r="E95" i="1"/>
  <c r="C95" i="1"/>
  <c r="AA94" i="1"/>
  <c r="G94" i="1"/>
  <c r="E94" i="1"/>
  <c r="C94" i="1"/>
  <c r="AA93" i="1"/>
  <c r="G93" i="1"/>
  <c r="E93" i="1"/>
  <c r="C93" i="1"/>
  <c r="AA92" i="1"/>
  <c r="G92" i="1"/>
  <c r="E92" i="1"/>
  <c r="C92" i="1"/>
  <c r="AA91" i="1"/>
  <c r="G91" i="1"/>
  <c r="E91" i="1"/>
  <c r="C91" i="1"/>
  <c r="AA90" i="1"/>
  <c r="G90" i="1"/>
  <c r="E90" i="1"/>
  <c r="C90" i="1"/>
  <c r="AA89" i="1"/>
  <c r="G89" i="1"/>
  <c r="E89" i="1"/>
  <c r="C89" i="1"/>
  <c r="AA88" i="1"/>
  <c r="G88" i="1"/>
  <c r="E88" i="1"/>
  <c r="C88" i="1"/>
  <c r="AA87" i="1"/>
  <c r="G87" i="1"/>
  <c r="E87" i="1"/>
  <c r="C87" i="1"/>
  <c r="AA86" i="1"/>
  <c r="G86" i="1"/>
  <c r="E86" i="1"/>
  <c r="C86" i="1"/>
  <c r="AA85" i="1"/>
  <c r="G85" i="1"/>
  <c r="E85" i="1"/>
  <c r="C85" i="1"/>
  <c r="AA84" i="1"/>
  <c r="G84" i="1"/>
  <c r="E84" i="1"/>
  <c r="C84" i="1"/>
  <c r="AA83" i="1"/>
  <c r="G83" i="1"/>
  <c r="E83" i="1"/>
  <c r="C83" i="1"/>
  <c r="AA82" i="1"/>
  <c r="G82" i="1"/>
  <c r="E82" i="1"/>
  <c r="C82" i="1"/>
  <c r="AA81" i="1"/>
  <c r="G81" i="1"/>
  <c r="E81" i="1"/>
  <c r="C81" i="1"/>
  <c r="AA80" i="1"/>
  <c r="G80" i="1"/>
  <c r="E80" i="1"/>
  <c r="C80" i="1"/>
  <c r="AA79" i="1"/>
  <c r="G79" i="1"/>
  <c r="E79" i="1"/>
  <c r="C79" i="1"/>
  <c r="AA78" i="1"/>
  <c r="G78" i="1"/>
  <c r="E78" i="1"/>
  <c r="C78" i="1"/>
  <c r="AA77" i="1"/>
  <c r="G77" i="1"/>
  <c r="E77" i="1"/>
  <c r="C77" i="1"/>
  <c r="AA76" i="1"/>
  <c r="G76" i="1"/>
  <c r="E76" i="1"/>
  <c r="C76" i="1"/>
  <c r="AA75" i="1"/>
  <c r="G75" i="1"/>
  <c r="E75" i="1"/>
  <c r="C75" i="1"/>
  <c r="AA74" i="1"/>
  <c r="G74" i="1"/>
  <c r="E74" i="1"/>
  <c r="C74" i="1"/>
  <c r="AA73" i="1"/>
  <c r="G73" i="1"/>
  <c r="E73" i="1"/>
  <c r="C73" i="1"/>
  <c r="AA72" i="1"/>
  <c r="G72" i="1"/>
  <c r="E72" i="1"/>
  <c r="C72" i="1"/>
  <c r="AA71" i="1"/>
  <c r="G71" i="1"/>
  <c r="E71" i="1"/>
  <c r="C71" i="1"/>
  <c r="AA70" i="1"/>
  <c r="G70" i="1"/>
  <c r="E70" i="1"/>
  <c r="C70" i="1"/>
  <c r="AA69" i="1"/>
  <c r="G69" i="1"/>
  <c r="E69" i="1"/>
  <c r="C69" i="1"/>
  <c r="AA68" i="1"/>
  <c r="G68" i="1"/>
  <c r="E68" i="1"/>
  <c r="C68" i="1"/>
  <c r="AA67" i="1"/>
  <c r="G67" i="1"/>
  <c r="E67" i="1"/>
  <c r="C67" i="1"/>
  <c r="AA66" i="1"/>
  <c r="G66" i="1"/>
  <c r="E66" i="1"/>
  <c r="C66" i="1"/>
  <c r="AA65" i="1"/>
  <c r="G65" i="1"/>
  <c r="E65" i="1"/>
  <c r="C65" i="1"/>
  <c r="AA64" i="1"/>
  <c r="G64" i="1"/>
  <c r="E64" i="1"/>
  <c r="C64" i="1"/>
  <c r="AA63" i="1"/>
  <c r="G63" i="1"/>
  <c r="E63" i="1"/>
  <c r="C63" i="1"/>
  <c r="AA62" i="1"/>
  <c r="G62" i="1"/>
  <c r="E62" i="1"/>
  <c r="C62" i="1"/>
  <c r="AA61" i="1"/>
  <c r="G61" i="1"/>
  <c r="E61" i="1"/>
  <c r="C61" i="1"/>
  <c r="AA60" i="1"/>
  <c r="G60" i="1"/>
  <c r="E60" i="1"/>
  <c r="C60" i="1"/>
  <c r="AA59" i="1"/>
  <c r="G59" i="1"/>
  <c r="E59" i="1"/>
  <c r="C59" i="1"/>
  <c r="AA58" i="1"/>
  <c r="G58" i="1"/>
  <c r="E58" i="1"/>
  <c r="C58" i="1"/>
  <c r="AA57" i="1"/>
  <c r="G57" i="1"/>
  <c r="E57" i="1"/>
  <c r="C57" i="1"/>
  <c r="AA56" i="1"/>
  <c r="G56" i="1"/>
  <c r="E56" i="1"/>
  <c r="C56" i="1"/>
  <c r="AA55" i="1"/>
  <c r="G55" i="1"/>
  <c r="E55" i="1"/>
  <c r="C55" i="1"/>
  <c r="AA54" i="1"/>
  <c r="G54" i="1"/>
  <c r="E54" i="1"/>
  <c r="C54" i="1"/>
  <c r="AA53" i="1"/>
  <c r="G53" i="1"/>
  <c r="E53" i="1"/>
  <c r="C53" i="1"/>
  <c r="AA52" i="1"/>
  <c r="G52" i="1"/>
  <c r="E52" i="1"/>
  <c r="C52" i="1"/>
  <c r="AA51" i="1"/>
  <c r="G51" i="1"/>
  <c r="E51" i="1"/>
  <c r="C51" i="1"/>
  <c r="AA50" i="1"/>
  <c r="G50" i="1"/>
  <c r="E50" i="1"/>
  <c r="C50" i="1"/>
  <c r="AA49" i="1"/>
  <c r="G49" i="1"/>
  <c r="E49" i="1"/>
  <c r="C49" i="1"/>
  <c r="AA48" i="1"/>
  <c r="G48" i="1"/>
  <c r="E48" i="1"/>
  <c r="C48" i="1"/>
  <c r="AA47" i="1"/>
  <c r="G47" i="1"/>
  <c r="E47" i="1"/>
  <c r="C47" i="1"/>
  <c r="AA46" i="1"/>
  <c r="G46" i="1"/>
  <c r="E46" i="1"/>
  <c r="C46" i="1"/>
  <c r="AA45" i="1"/>
  <c r="G45" i="1"/>
  <c r="E45" i="1"/>
  <c r="C45" i="1"/>
  <c r="AA44" i="1"/>
  <c r="G44" i="1"/>
  <c r="E44" i="1"/>
  <c r="C44" i="1"/>
  <c r="AA43" i="1"/>
  <c r="G43" i="1"/>
  <c r="E43" i="1"/>
  <c r="C43" i="1"/>
  <c r="AA42" i="1"/>
  <c r="G42" i="1"/>
  <c r="E42" i="1"/>
  <c r="C42" i="1"/>
  <c r="AA41" i="1"/>
  <c r="G41" i="1"/>
  <c r="E41" i="1"/>
  <c r="C41" i="1"/>
  <c r="AA40" i="1"/>
  <c r="G40" i="1"/>
  <c r="E40" i="1"/>
  <c r="C40" i="1"/>
  <c r="AA39" i="1"/>
  <c r="G39" i="1"/>
  <c r="E39" i="1"/>
  <c r="C39" i="1"/>
  <c r="AA38" i="1"/>
  <c r="G38" i="1"/>
  <c r="E38" i="1"/>
  <c r="C38" i="1"/>
  <c r="AA37" i="1"/>
  <c r="G37" i="1"/>
  <c r="E37" i="1"/>
  <c r="C37" i="1"/>
  <c r="AA36" i="1"/>
  <c r="G36" i="1"/>
  <c r="E36" i="1"/>
  <c r="C36" i="1"/>
  <c r="AA35" i="1"/>
  <c r="G35" i="1"/>
  <c r="E35" i="1"/>
  <c r="C35" i="1"/>
  <c r="AA34" i="1"/>
  <c r="G34" i="1"/>
  <c r="E34" i="1"/>
  <c r="C34" i="1"/>
  <c r="AA33" i="1"/>
  <c r="G33" i="1"/>
  <c r="E33" i="1"/>
  <c r="C33" i="1"/>
  <c r="AA32" i="1"/>
  <c r="G32" i="1"/>
  <c r="E32" i="1"/>
  <c r="C32" i="1"/>
  <c r="AA31" i="1"/>
  <c r="G31" i="1"/>
  <c r="E31" i="1"/>
  <c r="C31" i="1"/>
  <c r="AA30" i="1"/>
  <c r="G30" i="1"/>
  <c r="E30" i="1"/>
  <c r="C30" i="1"/>
  <c r="AA29" i="1"/>
  <c r="G29" i="1"/>
  <c r="E29" i="1"/>
  <c r="C29" i="1"/>
  <c r="AA28" i="1"/>
  <c r="G28" i="1"/>
  <c r="E28" i="1"/>
  <c r="C28" i="1"/>
  <c r="AA27" i="1"/>
  <c r="G27" i="1"/>
  <c r="E27" i="1"/>
  <c r="C27" i="1"/>
  <c r="AA26" i="1"/>
  <c r="G26" i="1"/>
  <c r="E26" i="1"/>
  <c r="C26" i="1"/>
  <c r="AA25" i="1"/>
  <c r="G25" i="1"/>
  <c r="E25" i="1"/>
  <c r="C25" i="1"/>
  <c r="AA24" i="1"/>
  <c r="G24" i="1"/>
  <c r="E24" i="1"/>
  <c r="C24" i="1"/>
  <c r="AA23" i="1"/>
  <c r="G23" i="1"/>
  <c r="E23" i="1"/>
  <c r="C23" i="1"/>
  <c r="AA22" i="1"/>
  <c r="G22" i="1"/>
  <c r="E22" i="1"/>
  <c r="C22" i="1"/>
  <c r="AA21" i="1"/>
  <c r="G21" i="1"/>
  <c r="E21" i="1"/>
  <c r="C21" i="1"/>
  <c r="AA20" i="1"/>
  <c r="G20" i="1"/>
  <c r="E20" i="1"/>
  <c r="C20" i="1"/>
  <c r="AA19" i="1"/>
  <c r="G19" i="1"/>
  <c r="E19" i="1"/>
  <c r="C19" i="1"/>
  <c r="AA18" i="1"/>
  <c r="G18" i="1"/>
  <c r="E18" i="1"/>
  <c r="C18" i="1"/>
  <c r="AA17" i="1"/>
  <c r="G17" i="1"/>
  <c r="E17" i="1"/>
  <c r="C17" i="1"/>
  <c r="AA16" i="1"/>
  <c r="G16" i="1"/>
  <c r="E16" i="1"/>
  <c r="C16" i="1"/>
  <c r="AA15" i="1"/>
  <c r="G15" i="1"/>
  <c r="E15" i="1"/>
  <c r="C15" i="1"/>
  <c r="AA14" i="1"/>
  <c r="G14" i="1"/>
  <c r="E14" i="1"/>
  <c r="C14" i="1"/>
  <c r="AA13" i="1"/>
  <c r="G13" i="1"/>
  <c r="E13" i="1"/>
  <c r="C13" i="1"/>
  <c r="AA12" i="1"/>
  <c r="G12" i="1"/>
  <c r="E12" i="1"/>
  <c r="C12" i="1"/>
  <c r="AA11" i="1"/>
  <c r="G11" i="1"/>
  <c r="E11" i="1"/>
  <c r="C11" i="1"/>
  <c r="AA10" i="1"/>
  <c r="G10" i="1"/>
  <c r="E10" i="1"/>
  <c r="C10" i="1"/>
  <c r="AA9" i="1"/>
  <c r="G9" i="1"/>
  <c r="E9" i="1"/>
  <c r="C9" i="1"/>
  <c r="AA8" i="1"/>
  <c r="G8" i="1"/>
  <c r="E8" i="1"/>
  <c r="C8" i="1"/>
  <c r="AA7" i="1"/>
  <c r="G7" i="1"/>
  <c r="E7" i="1"/>
  <c r="C7" i="1"/>
  <c r="AA6" i="1"/>
  <c r="G6" i="1"/>
  <c r="E6" i="1"/>
  <c r="C6" i="1"/>
  <c r="AA5" i="1"/>
  <c r="G5" i="1"/>
  <c r="E5" i="1"/>
  <c r="C5" i="1"/>
  <c r="AA4" i="1"/>
  <c r="G4" i="1"/>
  <c r="E4" i="1"/>
  <c r="C4" i="1"/>
</calcChain>
</file>

<file path=xl/sharedStrings.xml><?xml version="1.0" encoding="utf-8"?>
<sst xmlns="http://schemas.openxmlformats.org/spreadsheetml/2006/main" count="9788" uniqueCount="4035">
  <si>
    <t>Levels SFICS</t>
  </si>
  <si>
    <t>EU Taxonomy Activity</t>
  </si>
  <si>
    <t>CS Criteria</t>
  </si>
  <si>
    <t>Social Metrics</t>
  </si>
  <si>
    <t>EU Taxonomy Objectives</t>
  </si>
  <si>
    <t>SAN Specific</t>
  </si>
  <si>
    <t>Level 1 Code</t>
  </si>
  <si>
    <t>SFICS L1</t>
  </si>
  <si>
    <t>Level 2 Code</t>
  </si>
  <si>
    <t>SFICS L2</t>
  </si>
  <si>
    <t>Level 3 Code</t>
  </si>
  <si>
    <t>SFICS L3</t>
  </si>
  <si>
    <t>SFICS L3 w/codes</t>
  </si>
  <si>
    <t>SFICS w/codes</t>
  </si>
  <si>
    <t xml:space="preserve">SFICS </t>
  </si>
  <si>
    <t>Criteria</t>
  </si>
  <si>
    <t>Front</t>
  </si>
  <si>
    <t>Description</t>
  </si>
  <si>
    <t>SAN Specific Criteria</t>
  </si>
  <si>
    <t>EU Taxonomy Criteria</t>
  </si>
  <si>
    <t>Target Population</t>
  </si>
  <si>
    <t>Impact Metrics</t>
  </si>
  <si>
    <t>SDGs (SFICS L1)</t>
  </si>
  <si>
    <t>Mitigación</t>
  </si>
  <si>
    <t>Adaptación</t>
  </si>
  <si>
    <t>Agua</t>
  </si>
  <si>
    <t>Economía circular</t>
  </si>
  <si>
    <t>Pollution</t>
  </si>
  <si>
    <t>Biodiversity</t>
  </si>
  <si>
    <t>Green</t>
  </si>
  <si>
    <t>Social</t>
  </si>
  <si>
    <t>Tablas</t>
  </si>
  <si>
    <t>Energy</t>
  </si>
  <si>
    <t>Renewable energy</t>
  </si>
  <si>
    <t>Solar photovoltaic - Electricity generation</t>
  </si>
  <si>
    <t>A.1.1. Solar photovoltaic - Electricity generation</t>
  </si>
  <si>
    <t>A.1.1. Electricity generation using solar photovoltaic technology</t>
  </si>
  <si>
    <t>Electricity generation using solar photovoltaic technology</t>
  </si>
  <si>
    <t>Construction or operation of electricity generation facilities that produce electricity using solar photovoltaic (PV) technology</t>
  </si>
  <si>
    <r>
      <rPr>
        <b/>
        <sz val="8"/>
        <rFont val="Santander Text"/>
        <family val="2"/>
      </rPr>
      <t xml:space="preserve">What is it? </t>
    </r>
    <r>
      <rPr>
        <sz val="8"/>
        <rFont val="Santander Text"/>
        <family val="2"/>
      </rPr>
      <t xml:space="preserve">Construction or operation of electricity generation facilities that produce electricity using solar photovoltaic (PV) technology. 
</t>
    </r>
    <r>
      <rPr>
        <b/>
        <sz val="8"/>
        <rFont val="Santander Text"/>
        <family val="2"/>
      </rPr>
      <t>Recommended evidence:</t>
    </r>
    <r>
      <rPr>
        <sz val="8"/>
        <rFont val="Santander Text"/>
        <family val="2"/>
      </rPr>
      <t xml:space="preserve"> Invoice, environmental impact assessment, executive project.</t>
    </r>
  </si>
  <si>
    <t>Not Applicable</t>
  </si>
  <si>
    <t>Meets ALL applicable criteria _
1. Construction or operation of electricity generation facilities that produce electricity using solar photovoltaic (PV) technology. _</t>
  </si>
  <si>
    <t>7) Affordable and clean energy
9) Industry, innovation and infrastructure
13) Climate action</t>
  </si>
  <si>
    <t>Own performance</t>
  </si>
  <si>
    <t>Concentrated solar power (CSP) - Electricity generation</t>
  </si>
  <si>
    <t>A.1.2. Concentrated solar power (CSP) - Electricity generation</t>
  </si>
  <si>
    <t>A.1.2. Electricity generation using concentrated solar power (CSP) technology</t>
  </si>
  <si>
    <t>Electricity generation using concentrated solar power (CSP) technology</t>
  </si>
  <si>
    <t>Construction or operation of electricity generation facilities that produce electricity using concentrated solar power (CSP) technology</t>
  </si>
  <si>
    <r>
      <rPr>
        <b/>
        <sz val="8"/>
        <rFont val="Santander Text"/>
        <family val="2"/>
      </rPr>
      <t xml:space="preserve">What is it? </t>
    </r>
    <r>
      <rPr>
        <sz val="8"/>
        <rFont val="Santander Text"/>
        <family val="2"/>
      </rPr>
      <t xml:space="preserve">Construction or operation of electricity generation facilities that produce electricity using concentrated solar power (CSP) technology.
</t>
    </r>
    <r>
      <rPr>
        <b/>
        <sz val="8"/>
        <rFont val="Santander Text"/>
        <family val="2"/>
      </rPr>
      <t>Recommended evidence:</t>
    </r>
    <r>
      <rPr>
        <sz val="8"/>
        <rFont val="Santander Text"/>
        <family val="2"/>
      </rPr>
      <t xml:space="preserve"> Invoice, environmental impact assessment, executive project.</t>
    </r>
  </si>
  <si>
    <t>Meets ALL applicable criteria _
1. Construction or operation of electricity generation facilities that produce electricity using concentrated solar power (CSP) technology.</t>
  </si>
  <si>
    <t>Wind power - Electricity generation</t>
  </si>
  <si>
    <t>A.1.3. Wind power - Electricity generation</t>
  </si>
  <si>
    <t>A.1.3. Electricity generation from wind power</t>
  </si>
  <si>
    <t>Electricity generation from wind power</t>
  </si>
  <si>
    <t>Construction or operation of electricity generation facilities that produce electricity using wind power technology</t>
  </si>
  <si>
    <r>
      <rPr>
        <b/>
        <sz val="8"/>
        <rFont val="Santander Text"/>
        <family val="2"/>
      </rPr>
      <t xml:space="preserve">What is it? </t>
    </r>
    <r>
      <rPr>
        <sz val="8"/>
        <rFont val="Santander Text"/>
        <family val="2"/>
      </rPr>
      <t xml:space="preserve">Construction or operation of electricity generation facilities that produce electricity using wind power technology.
</t>
    </r>
    <r>
      <rPr>
        <b/>
        <sz val="8"/>
        <rFont val="Santander Text"/>
        <family val="2"/>
      </rPr>
      <t>Recommended evidence:</t>
    </r>
    <r>
      <rPr>
        <sz val="8"/>
        <rFont val="Santander Text"/>
        <family val="2"/>
      </rPr>
      <t xml:space="preserve"> Invoice, environmental impact assessment, executive project.</t>
    </r>
  </si>
  <si>
    <t>Meets ALL applicable criteria _
1. Construction or operation of electricity generation facilities that produce electricity using wind power technology.</t>
  </si>
  <si>
    <t>Ocean energy technologies - Electricity generation</t>
  </si>
  <si>
    <t>A.1.4. Ocean energy technologies - Electricity generation</t>
  </si>
  <si>
    <t>A.1.4. Electricity generation from ocean energy technologies</t>
  </si>
  <si>
    <t>Electricity generation from ocean energy technologies</t>
  </si>
  <si>
    <t>Construction or operation of electricity generation facilities that produce electricity from ocean power or tidal energy</t>
  </si>
  <si>
    <r>
      <rPr>
        <b/>
        <sz val="8"/>
        <rFont val="Santander Text"/>
        <family val="2"/>
      </rPr>
      <t xml:space="preserve">What is it? </t>
    </r>
    <r>
      <rPr>
        <sz val="8"/>
        <rFont val="Santander Text"/>
        <family val="2"/>
      </rPr>
      <t>Construction or operation of electricity generation facilities that produce electricity from ocean power or tidal energy.
Recommended evidence: Invoice, environmental impact assessment, executive project.</t>
    </r>
  </si>
  <si>
    <t xml:space="preserve">Meets ALL applicable criteria _
1. Construction or operation of electricity generation facilities that produce electricity from ocean power or tidal energy. </t>
  </si>
  <si>
    <t>Hydropower - Electricity generation</t>
  </si>
  <si>
    <t>A.1.5. Hydropower - Electricity generation</t>
  </si>
  <si>
    <t>A.1.5. Electricity generation from hydropower</t>
  </si>
  <si>
    <t>Electricity generation from hydropower</t>
  </si>
  <si>
    <t>Construction or operation of electricity generation facilities that produce electricity from hydropower</t>
  </si>
  <si>
    <r>
      <rPr>
        <b/>
        <sz val="8"/>
        <rFont val="Santander Text"/>
        <family val="2"/>
      </rPr>
      <t>What is it?</t>
    </r>
    <r>
      <rPr>
        <sz val="8"/>
        <rFont val="Santander Text"/>
        <family val="2"/>
      </rPr>
      <t xml:space="preserve"> Construction or operation of electricity generation facilities that produce electricity from hydropower.
</t>
    </r>
  </si>
  <si>
    <r>
      <rPr>
        <sz val="8"/>
        <color rgb="FF000000"/>
        <rFont val="Santander Text"/>
      </rPr>
      <t xml:space="preserve">Meets </t>
    </r>
    <r>
      <rPr>
        <sz val="8"/>
        <color rgb="FFFF0000"/>
        <rFont val="Santander Text"/>
      </rPr>
      <t>ONE</t>
    </r>
    <r>
      <rPr>
        <sz val="8"/>
        <color rgb="FF000000"/>
        <rFont val="Santander Text"/>
      </rPr>
      <t xml:space="preserve"> applicable criteria _
4. Complies with #3 and the calculation is made using any recognised certification (e.g. PAS 2050). _
</t>
    </r>
    <r>
      <rPr>
        <sz val="8"/>
        <color rgb="FFFF0000"/>
        <rFont val="Santander Text"/>
      </rPr>
      <t xml:space="preserve">5. Repowering or developing new pumped storage facilities over existing hydropower stations </t>
    </r>
    <r>
      <rPr>
        <strike/>
        <sz val="8"/>
        <color rgb="FFFF0000"/>
        <rFont val="Santander Text"/>
        <family val="2"/>
      </rPr>
      <t>could also be considered</t>
    </r>
    <r>
      <rPr>
        <sz val="8"/>
        <color rgb="FFFF0000"/>
        <rFont val="Santander Text"/>
      </rPr>
      <t>, provided they meet environmental requirements and have the necessary licenses to operate.</t>
    </r>
    <r>
      <rPr>
        <sz val="8"/>
        <color rgb="FF000000"/>
        <rFont val="Santander Text"/>
      </rPr>
      <t>_</t>
    </r>
  </si>
  <si>
    <r>
      <t xml:space="preserve">Meets ONE applicable criterion _
1. Run-of-river with no artificial or low storage capacity _
2. Power density above 5W/m2 _
3. Lifecycle emissions below 100gCO2e/kWh &amp; GHG emissions verified by a third party and calculated using ONE: 
a. ISO 14067:2018
b. ISO 14064-1:2018
c. G-res tool
</t>
    </r>
    <r>
      <rPr>
        <strike/>
        <sz val="8"/>
        <color rgb="FFFF0000"/>
        <rFont val="Santander Text"/>
        <family val="2"/>
      </rPr>
      <t>d. EPA Energy Star Certificate _</t>
    </r>
  </si>
  <si>
    <t>Geothermal energy - Electricity generation</t>
  </si>
  <si>
    <t>A.1.6. Geothermal energy - Electricity generation</t>
  </si>
  <si>
    <t xml:space="preserve">A.1.6. Electricity generation from geothermal energy </t>
  </si>
  <si>
    <t>Electricity generation from geothermal energy</t>
  </si>
  <si>
    <t>Construction or operation of electricity generation facilities that produce electricity from geothermal energy</t>
  </si>
  <si>
    <r>
      <t xml:space="preserve">What is it? </t>
    </r>
    <r>
      <rPr>
        <sz val="8"/>
        <rFont val="Santander Text"/>
        <family val="2"/>
      </rPr>
      <t>Construction or operation of electricity generation facilities that produce electricity from geothermal energy.</t>
    </r>
  </si>
  <si>
    <t>Meets ALL applicable criteria _
1. Direct emissions below 100gCO2e/kWh._
4. Complies with #3 and the calculation is made using any recognised certification (e.g. PAS 2050). _</t>
  </si>
  <si>
    <t xml:space="preserve">Meets ALL applicable criteria _
1. Direct emissions below 100gCO2e/kWh. _
2. Quantified lifecycle emissions verified by independent third party or EPA Energy Star Certificate. _
3. Lifecycle emissions savings verified by a third party and calculated using ONE: 
a. ISO 14067:2018
b. ISO 14064-1:2018 _
</t>
  </si>
  <si>
    <t>Solar energy - Cogeneration heat/cool/power</t>
  </si>
  <si>
    <t>A.1.17. Solar energy - Cogeneration heat/cool/power</t>
  </si>
  <si>
    <t>A.1.17. Cogeneration of heat/cool and power from solar energy</t>
  </si>
  <si>
    <t>Cogeneration of heat/cool and power from solar energy</t>
  </si>
  <si>
    <t>Construction and operation of facilities co-generating electricity and heat/cool from solar energy</t>
  </si>
  <si>
    <r>
      <rPr>
        <b/>
        <sz val="8"/>
        <rFont val="Santander Text"/>
        <family val="2"/>
      </rPr>
      <t xml:space="preserve">What is it? </t>
    </r>
    <r>
      <rPr>
        <sz val="8"/>
        <rFont val="Santander Text"/>
        <family val="2"/>
      </rPr>
      <t xml:space="preserve">Construction and operation of facilities co-generating electricity and heat/cool from solar energy.
</t>
    </r>
  </si>
  <si>
    <t xml:space="preserve">Meets ALL applicable criteria _
1. Construction and operation of facilities co-generating electricity and heat/cool from solar energy. _
</t>
  </si>
  <si>
    <t>Geothermal energy - Cogeneration heat/cool/power</t>
  </si>
  <si>
    <t>A.1.18. Geothermal energy - Cogeneration heat/cool/power</t>
  </si>
  <si>
    <t xml:space="preserve">A.1.18. Cogeneration of heat/cool and power from geothermal energy </t>
  </si>
  <si>
    <t xml:space="preserve">Cogeneration of heat/cool and power from geothermal energy </t>
  </si>
  <si>
    <t>Cogeneration of heat/cool and power from geothermal energy</t>
  </si>
  <si>
    <t>Construction and operation of facilities co-generating electricity and heat/cool from geothermal energy</t>
  </si>
  <si>
    <r>
      <rPr>
        <b/>
        <sz val="8"/>
        <rFont val="Santander Text"/>
        <family val="2"/>
      </rPr>
      <t xml:space="preserve">What is it? </t>
    </r>
    <r>
      <rPr>
        <sz val="8"/>
        <rFont val="Santander Text"/>
        <family val="2"/>
      </rPr>
      <t>Construction and operation of facilities co-generating electricity and heat/cool from geothermal energy.</t>
    </r>
  </si>
  <si>
    <t>Meets ALL applicable criteria _
1. Life-cycle GHG emissions from the combined generation of heat/cool and power from geothermal energy lower than 100 gCO2e/kWh. _
3. Complies with #1 and the calculation is made using any recognised certification (e.g. PAS 2050, EPA Energy Star Certificate), verified by an independent, third party. _</t>
  </si>
  <si>
    <t>Meets ALL applicable criteria _
1. Life-cycle GHG emissions from the combined generation of heat/cool and power from geothermal energy lower than 100 gCO2e/kWh. _
2. Lifecycle emissions verified by a third party and calculated using ONE: 
a. ISO 14067:2018
b. ISO 14064-1:2018 _</t>
  </si>
  <si>
    <t>Solar thermal - Production of heat/cool</t>
  </si>
  <si>
    <t>A.1.21. Solar thermal - Production of heat/cool</t>
  </si>
  <si>
    <t>A.1.21. Production of heat/cool from solar thermal heating</t>
  </si>
  <si>
    <t>Production of heat/cool from solar thermal heating</t>
  </si>
  <si>
    <t>Construction or operation of facilities for generating heat / cool through solar thermal heating technology</t>
  </si>
  <si>
    <r>
      <rPr>
        <b/>
        <sz val="8"/>
        <rFont val="Santander Text"/>
        <family val="2"/>
      </rPr>
      <t>What is it?</t>
    </r>
    <r>
      <rPr>
        <sz val="8"/>
        <rFont val="Santander Text"/>
        <family val="2"/>
      </rPr>
      <t xml:space="preserve"> Construction or operation of facilities for generating heat / cool through solar thermal heating technology.</t>
    </r>
  </si>
  <si>
    <t>Meets ALL applicable criteria _
1. The heating / cooling systems are powered by solar thermal heating._</t>
  </si>
  <si>
    <t>Geothermal energy - Production of heat/cool</t>
  </si>
  <si>
    <t>A.1.22. Geothermal energy - Production of heat/cool</t>
  </si>
  <si>
    <t>A.1.22. Production of heat/cool from geothermal energy</t>
  </si>
  <si>
    <t>Production of heat/cool from geothermal energy</t>
  </si>
  <si>
    <t>Construction or operation of facilities for generating heat / cool through geothermal heating technology</t>
  </si>
  <si>
    <r>
      <rPr>
        <b/>
        <sz val="8"/>
        <rFont val="Santander Text"/>
        <family val="2"/>
      </rPr>
      <t xml:space="preserve">What is it? </t>
    </r>
    <r>
      <rPr>
        <sz val="8"/>
        <rFont val="Santander Text"/>
        <family val="2"/>
      </rPr>
      <t>Construction or operation of facilities for generating heat / cool through geothermal heating technology.</t>
    </r>
  </si>
  <si>
    <t>Meets ALL applicable criteria _
2. Complies with #1 and the calculation is made using any recognised certification (e.g. PAS 2050, EPA Energy Star Certificate). _</t>
  </si>
  <si>
    <t>Meets ALL applicable criteria _
1. Lifecycle emissions lower tan 100gCO2e/kWh verified by a third party and calculated using ONE: 
ISO 14067:2018
ISO 14064-1:2018 _</t>
  </si>
  <si>
    <t>Renewable fuels, bioenergy and waste heat</t>
  </si>
  <si>
    <t>Renewable fuels- Electricity generation</t>
  </si>
  <si>
    <t>A.1.7. Renewable fuels- Electricity generation</t>
  </si>
  <si>
    <t xml:space="preserve">A.1.7. Electricity generation from renewable non-fossil gaseous and liquid fuels </t>
  </si>
  <si>
    <t xml:space="preserve">Electricity generation from renewable non-fossil gaseous and liquid fuels </t>
  </si>
  <si>
    <t>Electricity generation from renewable non-fossil gaseous and liquid fuels</t>
  </si>
  <si>
    <t>Producing electricity using renewable gaseous and liquid fuels</t>
  </si>
  <si>
    <r>
      <rPr>
        <b/>
        <sz val="8"/>
        <rFont val="Santander Text"/>
        <family val="2"/>
      </rPr>
      <t>What is it?</t>
    </r>
    <r>
      <rPr>
        <sz val="8"/>
        <rFont val="Santander Text"/>
        <family val="2"/>
      </rPr>
      <t xml:space="preserve"> Producing electricity using renewable gaseous and liquid fuels.
</t>
    </r>
    <r>
      <rPr>
        <b/>
        <sz val="8"/>
        <rFont val="Santander Text"/>
        <family val="2"/>
      </rPr>
      <t xml:space="preserve">What is it not? </t>
    </r>
    <r>
      <rPr>
        <sz val="8"/>
        <rFont val="Santander Text"/>
        <family val="2"/>
      </rPr>
      <t>Producing electricity exclusively from biomass, biogas or bioliquids.</t>
    </r>
  </si>
  <si>
    <t>Meets ALL applicable criteria _
2. Complies with #1 and the calculation is made using any recognised certification (e.g. PAS 2050). _
3. Methane emissions reporting complies with ONE: 
a. At construction - Physical emissions and methane measurement and monitoring equipment. 
b. At construction - Leak detection and repair program.
c. At operation – Physical measure of methane is reported and leak is eliminated. _
5. CO2 leakage of carbon transport certified with standards accepted by Santander. _
6. Sources produced from agricultural biomass shall NOT be obtained from high biodiversity valued land or derive from unsustainable production such as natural reserves. _
8. Use of biomethane fuel, GOO certified, is accepted as an alternative to physical piped connection. _</t>
  </si>
  <si>
    <t>Meets ALL applicable criteria _
1. Lifecycle emissions below 100gCO2e/kWh verified by a third party and calculated using ONE: 
a. ISO 14067:2018
b. ISO 14064-1:2018 _
3. Methane emissions reporting complies with ONE: 
At construction - Physical emissions and methane measurement and monitoring equipment. 
At construction - Leak detection and repair program.
At operation – Physical measure of methane is reported and leak is eliminated. _
4. CO2 leakage of carbon transport below 0.5%, carbon capture comply with standards and its technologies enable a power generation-related activity. _
6. Sources produced from agricultural biomass shall NOT be obtained from high biodiversity valued land or derive from unsustainable production such as natural reserves. _
7. The production of hydrogen, steel, cement, and chemicals operate within the allowed carbon intensity threshold (e.g. Steel: hot metal = 1.331 tCO2e/t product; electric Arc Furnace (EAF) high alloy steel = 0.266 tCO2e/t product). _</t>
  </si>
  <si>
    <t>Bioenergy - Electricity generation</t>
  </si>
  <si>
    <t>A.1.8. Bioenergy - Electricity generation</t>
  </si>
  <si>
    <t>A.1.8. Electricity generation from bioenergy</t>
  </si>
  <si>
    <t>Electricity generation from bioenergy</t>
  </si>
  <si>
    <t>Producing electricity exclusively from biomass, biogas or bioliquids</t>
  </si>
  <si>
    <r>
      <rPr>
        <b/>
        <sz val="8"/>
        <rFont val="Santander Text"/>
        <family val="2"/>
      </rPr>
      <t xml:space="preserve">What is it? </t>
    </r>
    <r>
      <rPr>
        <sz val="8"/>
        <rFont val="Santander Text"/>
        <family val="2"/>
      </rPr>
      <t xml:space="preserve">Producing electricity exclusively from biomass, biogas or bioliquids.
</t>
    </r>
    <r>
      <rPr>
        <b/>
        <sz val="8"/>
        <rFont val="Santander Text"/>
        <family val="2"/>
      </rPr>
      <t>What is it not?</t>
    </r>
    <r>
      <rPr>
        <sz val="8"/>
        <rFont val="Santander Text"/>
        <family val="2"/>
      </rPr>
      <t xml:space="preserve"> Generating electricity generation from blending of renewable fuels with biogas or bioliquids.
</t>
    </r>
    <r>
      <rPr>
        <b/>
        <sz val="8"/>
        <rFont val="Santander Text"/>
        <family val="2"/>
      </rPr>
      <t>Recommended evidence</t>
    </r>
    <r>
      <rPr>
        <sz val="8"/>
        <rFont val="Santander Text"/>
        <family val="2"/>
      </rPr>
      <t>: International Sustainability &amp; Carbon Certification (ISCC) Solid Biomass (NL).</t>
    </r>
  </si>
  <si>
    <r>
      <rPr>
        <sz val="8"/>
        <color rgb="FF000000"/>
        <rFont val="Santander Text"/>
      </rPr>
      <t xml:space="preserve">Meets ONE applicable criterion _
2. Feedstock subject to Santander ESCC Risk evaluation (result of 2,8 or above) (for Brazil only – or any other country where an equivalent assessment can be performed)_
3. Feedstock specifically certified by ISCC Plus or RSB Biomass with ONE:
a. Lifecycle GHG emissions intensity is below 100gCO2e / kwh.
b. Lifecycle emissions at least 65% lower tan fossil fuel baseline. _
</t>
    </r>
    <r>
      <rPr>
        <sz val="8"/>
        <color rgb="FFFF0000"/>
        <rFont val="Santander Text"/>
      </rPr>
      <t>7. Non-hazardous biomass feedstock must:
- Avoid landfill disposal.
- Be sourced from an official waste management company, or from sustainably certified sources (e.g., PEFC/FSC), or be a by-product/waste from an internal manufacturing process.
- Undergo an additional Environmental and Social assessment to confirm no conditioms exist that could hinder the tagging process. _</t>
    </r>
  </si>
  <si>
    <t>Meets ALL applicable criteria _
1. Feedstock complies with ONE of the following criteria (Not aplicable to installations with total rated termal input below 2MW using gaseous biomass fuels):
a. Certificates available (ONE)
      - 2BSvs
     - Better Biomass
      -Bonsucro EU
     - ISCC EU
     - KZR INiG system
     - REDcert
     - Red Tractor
     - RSB EU RED
     - SQC
      - TASCC
      - UFAS
      - SURE
      - SBP
       - EPA Energy Star Certificate
       - AACS  
b. Complies with ALL the following:
- Biofuels, bioliquids and biomass fuels must NOT be produced using high biodiversity value lands / material or derive from unsustainable production.
- Greenhouse emissions savings over 80% in relation to fuel baseline. _
4. 
-Total rated thermal input of 50-100 MV and high-efficiency cogeneration technology. 
- In case of electricity-only installations, energy efficient level with best available techniques. _
5. Total rated thermal input above 100 MW complying with ONE:
a. The activity attains electrical efficiency of +36%.
b. Applies highly efficient combined heat and power efficiency.
c. Uses carbon capture and storage technology with CO2 leakage limited to &lt;0.5% and carbon sequestration compliant with standards. _
6. Anaerobic generation: biogas directly used for electricity or heat generation / upgraded to bio-methane / used as vehicle or ship fuel / used as feedstock in chemical industry. _</t>
  </si>
  <si>
    <t>Manufacture Biogas/Biofuels for transport</t>
  </si>
  <si>
    <t>A.1.13. Manufacture Biogas/Biofuels for transport</t>
  </si>
  <si>
    <t>A.1.13. Manufacture of biogas and biofuels for use in transport and of bioliquids</t>
  </si>
  <si>
    <t>Manufacture of biogas and biofuels for use in transport and of bioliquids</t>
  </si>
  <si>
    <t>Manufacture of biogas or biofuels for use in transport and of bioliquids</t>
  </si>
  <si>
    <r>
      <rPr>
        <b/>
        <sz val="8"/>
        <rFont val="Santander Text"/>
        <family val="2"/>
      </rPr>
      <t>What is it?</t>
    </r>
    <r>
      <rPr>
        <sz val="8"/>
        <rFont val="Santander Text"/>
        <family val="2"/>
      </rPr>
      <t xml:space="preserve"> Manufacture of biogas or biofuels for use in transport and of bioliquids.</t>
    </r>
  </si>
  <si>
    <t>Meets ONE applicable criterion _
2. Feedstock certificate complies with ONE, verifying EITHER GHG emissions intensity below 100gCO2e/kWh or lifecycle emissions savings over 65%. _
3. (BR): Renovabio as certification OR Feedstock subject to Santander ESCC Risk evaluations (For Brazil only). _</t>
  </si>
  <si>
    <t>Meets ALL applicable criteria _
1. Feedstock complies with ONE of the following criteria (Not aplicable to installations with total rated termal input below 2MW using gaseous biomass fuels):
a. Certificates available (ONE)
  a. 2BSvs
  b. Better Biomass
  c. ISCC EU
  d. KZR INiG system
  e. REDcert
  f. RSB EU RED
  g. SURE
  h. SBP
  i. AACS
b. Complies with ALL the following:
- Biofuels, bioliquids and biomass fuels must not be produced using high biodiversity value or reserved lands / material or derive from unsustainable production.
- Greenhouse emissions savings over 65% in relation to fuel baseline. _
4. Does NOT consist of food-and-feed crops. _
5. Includes use of ethanol ONLY if it is made from cellulose or hemicellulose through second generation technologies. _
6. CO2 leakage of carbon transport methods below 0.5 %, and carbon sequestration sites comply with ISO 27914:2017. _
7. Anaerobic generation: biogas directly used for electricity or heat generation / upgraded to bio-methane / used as vehicle or ship fuel / used as feedstock in chemical industry. _</t>
  </si>
  <si>
    <t>Renewable fuels - Cogeneration heat/cool/power</t>
  </si>
  <si>
    <t>A.1.19. Renewable fuels - Cogeneration heat/cool/power</t>
  </si>
  <si>
    <t xml:space="preserve">A.1.19. Cogeneration of heat/cool and power from renewable non-fossil gaseous and liquid fuels </t>
  </si>
  <si>
    <t xml:space="preserve">Cogeneration of heat/cool and power from renewable non-fossil gaseous and liquid fuels </t>
  </si>
  <si>
    <t>Cogeneration of heat/cool and power from renewable non-fossil gaseous and liquid fuels</t>
  </si>
  <si>
    <t>Construction and operation of facilities co-generating electricity and heat/cool  from renewable fuels</t>
  </si>
  <si>
    <r>
      <rPr>
        <b/>
        <sz val="8"/>
        <rFont val="Santander Text"/>
        <family val="2"/>
      </rPr>
      <t>What is it?</t>
    </r>
    <r>
      <rPr>
        <sz val="8"/>
        <rFont val="Santander Text"/>
        <family val="2"/>
      </rPr>
      <t xml:space="preserve"> Combined heat/cool and power generation facilities using gaseous and liquid fuels of renewable origin.
What is it not? Cogeneration of heat/cool and power from the exclusive use of biogas and bio-liquid fuels.</t>
    </r>
  </si>
  <si>
    <t>Meets ALL applicable criteria_
3. Life-cycle GHG emissions from the combined generation of heat/cool and power from gaseous fuels lower than 100 gCO2e/kWh; verified by an independent, third party and calculated based on project-specific data using locally or internationally recognized certifications. _
4. Methane emissions reporting complies with ONE: 
a. At construction - Physical emissions and methane measurement and monitoring equipment. 
b. At construction - Leak detection and repair program.
c. At operation – Physical measure of methane is reported and leak is eliminated. _
7. CO2 leakage of carbon transport and sequestration certified based on accepted standards to Santander. _
9. Biofuels, bioliquids and biomass fuels must NOT be produced using high biodiversity value lands / material or derive from usustainable production. _
10. GOO certificates on the use of biomethane fuel are accepted as an alternative to a physical piped connection. _</t>
  </si>
  <si>
    <t xml:space="preserve">Meets ALL applicable criteria _
1. Lifecycle GHG emissions savings of:
73.4% for hydrogen, being lower than 3tCO2e/Th2. 
70% for hydrogen-based synthetic fuels relative to a fossil fuel comparator of 94g CO2e/MJ. _
2. Lifecycle emissions verified by a third party and calculated using ONE: 
a. ISO 14067:2018
b. ISO 14064-1:2018 _
4. Methane emissions reporting complies with ONE: 
a.At construction - Physical emissions and methane measurement and monitoring equipment. 
b. At construction - Leak detection and repair program.
c. At operation – Physical measure of methane is reported and leak is eliminated. _
5.  CO2 leakage of carbon transport methods below 0.5 %, and carbon sequestration sites comply with ISO 27914:2017. _
6. Carbon capture technologies enable a power generation-related activity. _
8. Production of hydrogen, steel, cement, and chemicals operate within the allowed carbon intensity threshold (e.g. Steel- hot metal = 1.331 tCO2e/t product; electric Arc Furnace (EAF) high alloy steel = 0.266 tCO2e/t product). _
9. Biofuels, bioliquids and biomass fuels must NOT be produced using high biodiversity value lands / material or derive from usustainable production. _
</t>
  </si>
  <si>
    <t>Bioenergy - Cogeneration heat/cool/power</t>
  </si>
  <si>
    <t>A.1.20. Bioenergy - Cogeneration heat/cool/power</t>
  </si>
  <si>
    <t>A.1.20. Cogeneration of heat/cool and power from bioenergy</t>
  </si>
  <si>
    <t>Cogeneration of heat/cool and power from bioenergy</t>
  </si>
  <si>
    <t>Construction and operation of facilities co-generating electricity and heat/cool form bioenergy</t>
  </si>
  <si>
    <r>
      <rPr>
        <b/>
        <sz val="8"/>
        <rFont val="Santander Text"/>
        <family val="2"/>
      </rPr>
      <t>What is it?</t>
    </r>
    <r>
      <rPr>
        <sz val="8"/>
        <rFont val="Santander Text"/>
        <family val="2"/>
      </rPr>
      <t xml:space="preserve"> Cogeneration of heat/cool and power exclusively from biomass, biogas or bioliquids.
</t>
    </r>
    <r>
      <rPr>
        <b/>
        <sz val="8"/>
        <rFont val="Santander Text"/>
        <family val="2"/>
      </rPr>
      <t>What is it not?</t>
    </r>
    <r>
      <rPr>
        <sz val="8"/>
        <rFont val="Santander Text"/>
        <family val="2"/>
      </rPr>
      <t xml:space="preserve"> Cogeneration from blending of renewable fuels with biogas or bioliquids.</t>
    </r>
  </si>
  <si>
    <r>
      <rPr>
        <sz val="8"/>
        <color rgb="FF000000"/>
        <rFont val="Santander Text"/>
      </rPr>
      <t>Meets ONE applicable criterion _
3.</t>
    </r>
    <r>
      <rPr>
        <strike/>
        <sz val="8"/>
        <color rgb="FFFF0000"/>
        <rFont val="Santander Text"/>
        <family val="2"/>
      </rPr>
      <t xml:space="preserve"> Feedstock certificate complies with ONE, verifying EITHER GHG emissions intensity below 100gCO2e/kWh or lifecycle emissions savings over 65%. _ </t>
    </r>
    <r>
      <rPr>
        <sz val="8"/>
        <color rgb="FFFF0000"/>
        <rFont val="Santander Text"/>
        <family val="2"/>
      </rPr>
      <t>Feedstock subject to Santander ESCC Risk evaluations (For Brazil only)_
4. Feedstock is certified by ISCC Plus or RSB Biomass with:
A. Lifecycle GHG emissions intensity is below 100g CO2 e/kWh or 
B. Lifecycle emissions at least 65% lower_</t>
    </r>
    <r>
      <rPr>
        <strike/>
        <sz val="8"/>
        <color rgb="FFFF0000"/>
        <rFont val="Santander Text"/>
        <family val="2"/>
      </rPr>
      <t xml:space="preserve">
4. BR): Renovabio as certification OR Feedstock subject to Santander ESCC Risk evaluations (For Brazil only). _</t>
    </r>
    <r>
      <rPr>
        <sz val="8"/>
        <color rgb="FF000000"/>
        <rFont val="Santander Text"/>
      </rPr>
      <t xml:space="preserve">
</t>
    </r>
    <r>
      <rPr>
        <sz val="8"/>
        <color rgb="FFFF0000"/>
        <rFont val="Santander Text"/>
        <family val="2"/>
      </rPr>
      <t>5. Non-hazardous biomass feedstock that avoids landfill disposal, sourced from an official waste 
management company, or originated from well-managed forests or sustainably certified 
sources such as PEFC/FSC, or derived as a by-product or waste from an internal manufacturing 
process. An additional Environmental and Social assessment is required to ensure that no 
conditions are present that could hinder the tagging process._</t>
    </r>
  </si>
  <si>
    <t>Meets ALL applicable criteria _
1. Feedstock complies with ONE of the following criteria (Not aplicable to installations with total rated termal input below 2MW using gaseous biomass fuels):
a. Certificates available (ONE)
    - 2BSvs
     -Better Biomass
     -Bonsucro EU
     -ISCC EU
     -KZR INiG system
     -REDcert
     -Red Tractor
     -RSB EU RED
     -SQC
     -TASCC
     -UFAS
     -SURE
     -SBP
    - AACS
b. Complies with ALL the following:
- Biofuels, bioliquids and biomass fuels must NOT be produced using high biodiversity value lands / material or derive from unsustainable production.
- Greenhouse emissions savings over 80% in relation to fuel baseline. _
2. Anaerobic generation: biogas directly used for electricity or heat generation / upgraded to bio-methane / used as vehicle or ship fuel / used as feedstock in chemical industry. _</t>
  </si>
  <si>
    <t>Renewable fuels - Production of heat/cool</t>
  </si>
  <si>
    <t>A.1.23. Renewable fuels - Production of heat/cool</t>
  </si>
  <si>
    <t>A.1.23. Production of heat/cool from renewable non-fossil gaseous and liquid fuels</t>
  </si>
  <si>
    <t>Production of heat/cool from renewable non-fossil gaseous and liquid fuels</t>
  </si>
  <si>
    <t>Construction and operation of heat generation facilities that produce heat/cool using gaseous and liquid fuels of renewable origin</t>
  </si>
  <si>
    <r>
      <rPr>
        <b/>
        <sz val="8"/>
        <rFont val="Santander Text"/>
        <family val="2"/>
      </rPr>
      <t xml:space="preserve">What is it? </t>
    </r>
    <r>
      <rPr>
        <sz val="8"/>
        <rFont val="Santander Text"/>
        <family val="2"/>
      </rPr>
      <t xml:space="preserve">Construction and operation of heat generation facilities that produce heat/cool using gaseous and liquid fuels of renewable origin.
</t>
    </r>
    <r>
      <rPr>
        <b/>
        <sz val="8"/>
        <rFont val="Santander Text"/>
        <family val="2"/>
      </rPr>
      <t>What is it not?</t>
    </r>
    <r>
      <rPr>
        <sz val="8"/>
        <rFont val="Santander Text"/>
        <family val="2"/>
      </rPr>
      <t xml:space="preserve"> Production of heat/cool from the exclusive use of biogas and bio-liquid fuels.</t>
    </r>
  </si>
  <si>
    <t xml:space="preserve">Meets ALL applicable criteria _
2. Complies with #1 and the calculation is made using any recognised certification (e.g. PAS 2050). _
3. Reporting complies with ONE: 
a. At construction - Physical emissions and methane measurement and monitoring equipment. 
b- At construction - Leak detection and repair program.
c. At operation – Physical measure of methane is reported and leak is eliminated. _
6. CO2 leakage of carbon transport and sequestration certified based on accepted standards to Santander. _
8.  Biofuels, bioliquids and biomass fuels must NOT be produced using high biodiversity value or reserved lands / material or derive from usustainable production. _
9. GOO certificates on the use of biomethane fuel are accepted as an alternative to a physical piped connection. _
</t>
  </si>
  <si>
    <t>Meets ALL applicable criteria _
1. Lifecycle emissions lower tan 100gCO2e/kWh verified by a third party and calculated using ONE: 
a. ISO 14064-1:2018
b. ISO 14067:2018 _
3. Methane emissions reporting complies with ONE: 
a. At construction - Physical emissions and methane measurement and monitoring equipment. 
b. At construction - Leak detection and repair program.
c. At operation – Physical measure of methane is reported and leak is eliminated. _
4. CO2 leakage of carbon transport methods below 0.5 %, and carbon sequestration sites comply with ISO 27914:2017. _
5. Carbon capture technologies enable a power generation-related activity _
7. Production of hydrogen, steel, cement, and chemicals operate within the allowed carbon intensity threshold (e.g. Steel- hot metal = 1.331 tCO2e/t product; electric Arc Furnace (EAF) high alloy steel = 0.266 tCO2e/t product). _
8. Biofuels, bioliquids and biomass fuels must NOT be produced using high biodiversity value or reserved lands / material or derive from usustainable production. _</t>
  </si>
  <si>
    <t>Bioenergy - Production of heat/cool</t>
  </si>
  <si>
    <t>A.1.24. Bioenergy - Production of heat/cool</t>
  </si>
  <si>
    <t>A.1.24. Production of heat/cool from bioenergy</t>
  </si>
  <si>
    <t>Production of heat/cool from bioenergy</t>
  </si>
  <si>
    <t>Construction and operation of facilities that produce heat/cool exclusively from biomass, biogas or bioliquids</t>
  </si>
  <si>
    <r>
      <rPr>
        <b/>
        <sz val="8"/>
        <rFont val="Santander Text"/>
        <family val="2"/>
      </rPr>
      <t>What is it?</t>
    </r>
    <r>
      <rPr>
        <sz val="8"/>
        <rFont val="Santander Text"/>
        <family val="2"/>
      </rPr>
      <t xml:space="preserve"> Construction and operation of facilities that produce heat/cool exclusively from biomass, biogas or bioliquids.
</t>
    </r>
    <r>
      <rPr>
        <b/>
        <sz val="8"/>
        <rFont val="Santander Text"/>
        <family val="2"/>
      </rPr>
      <t>What is it not?</t>
    </r>
    <r>
      <rPr>
        <sz val="8"/>
        <rFont val="Santander Text"/>
        <family val="2"/>
      </rPr>
      <t xml:space="preserve"> Production of heat/cool from blending of renewable fuels with biogas or bioliquids.</t>
    </r>
  </si>
  <si>
    <t>Meets ALL applicable criteria _
1. Feedstock complies with ONE of the following criteria (Not aplicable to installations with total rated termal input below 2MW using gaseous biomass fuels):
a. Certificates available (ONE)
  a. 2BSvs
  b. Better Biomass
  c. Bonsucro EU
  d. ISCC EU
  e. KZR INiG system
  f. REDcert
  g. Red Tractor
  h. RSB EU RED
  i. SQC
  j. TASCC
  k. UFAS
  l. SURE
  m. SBP
  n. AACS
b. Complies with ALL the following:
- Biofuels, bioliquids and biomass fuels must NOT be produced using high biodiversity value lands / material or derive from unsustainable production.
- Greenhouse emissions savings over 80% in relation to fuel baseline. _
2. Anaerobic generation: biogas directly used for electricity or heat generation / upgraded to bio-methane / used as vehicle or ship fuel / used as feedstock in chemical industry. _</t>
  </si>
  <si>
    <t>Waste heat - Production of heat/cool</t>
  </si>
  <si>
    <t>A.1.25. Waste heat - Production of heat/cool</t>
  </si>
  <si>
    <t>A.1.25. Production of heat/cool using waste heat</t>
  </si>
  <si>
    <t>Production of heat/cool using waste heat</t>
  </si>
  <si>
    <t>Production of heat/cool using waste/heat</t>
  </si>
  <si>
    <t>Construction and operation of facilities that produce heat/cool using waste heat</t>
  </si>
  <si>
    <r>
      <rPr>
        <b/>
        <sz val="8"/>
        <rFont val="Santander Text"/>
        <family val="2"/>
      </rPr>
      <t xml:space="preserve">What is it? </t>
    </r>
    <r>
      <rPr>
        <sz val="8"/>
        <rFont val="Santander Text"/>
        <family val="2"/>
      </rPr>
      <t>Construction and operation of facilities that produce heat/cool using waste heat.</t>
    </r>
  </si>
  <si>
    <t>Meets ALL applicable criteria _
2. The activity produces electricity from waste heat.</t>
  </si>
  <si>
    <t>Meets ALL applicable criteria _
1. Compliant with the definition: Construction and operation of facilities that produce heat/cool using waste heat. _</t>
  </si>
  <si>
    <t>Transmission and distribution</t>
  </si>
  <si>
    <t>Transmission and distribution of electricity</t>
  </si>
  <si>
    <t>A.1.9. Transmission and distribution of electricity</t>
  </si>
  <si>
    <t>Transmission systems that transport the electricity on the extra and high-voltage interconnected system</t>
  </si>
  <si>
    <t xml:space="preserve">a) Transmission systems that transport the electricity on the extra and high-voltage interconnected system.
b) Distribution systems that transport electricity on high-voltage, medium-voltage, and low-voltage distribution systems.
</t>
  </si>
  <si>
    <t>Meets ONE applicable criterion _
1. Infrastructure or any equipment criteria complies with ONE:
a. More than 67 % of newly enabled generation capacity in the system below 100 g CO2e/kWh.
b. Average system grid emissions factor below 100 g CO2e/kWh, over a rolling five-year period.
c. The system is the interconnected European system. _
2. Meets ONE of those eligible activities:
a. Building or repair of grid infrastructure with average system grid emissions factor of less than 100gCO2e/kWh over a rolling five-year period.
b. Equipment / infrastructure to increase generation or use of renewable electricity.
c. Construction and operation of EV charging stations and supporting electric infrastructure for the electrification of transport, subject to compliance with the technical criteria defined within the Transportation sector on the following activities:
-Infrastructure for rail transport.
-Infrastructure enabling low-carbon road transport and public transport.
-Infrastructure enabling low carbon water transport.
-Low carbon airport infrastructure. _
3. -Transmission and distribution transformers. 
     -For medium power transformers with highest voltage for equipment not exceeding 36 kV, with AAA0 level requirements on no-load losses set out in standard EN 50588-1. _
4.   -Increase the controllability and observability of the electricity system. 
       -Enable the development and integration of renewable energy sources. _</t>
  </si>
  <si>
    <t>Enabling</t>
  </si>
  <si>
    <t>Networks for renewable/low-carbon gases</t>
  </si>
  <si>
    <t>A.1.14. Networks for renewable/low-carbon gases</t>
  </si>
  <si>
    <t>A.1.14. Transmission and distribution networks for renewable and low-carbon gases</t>
  </si>
  <si>
    <t>Transmission and distribution networks for renewable and low carbon gases</t>
  </si>
  <si>
    <t>Transmission and distribution networks for renewable and low-carbon gases</t>
  </si>
  <si>
    <t>Networks for low-carbon carbon gases distribution</t>
  </si>
  <si>
    <t>1) Conversion, repurposing or retrofit of gas networks for the transmission and distribution of renewable and low-carbon gases.
2) Construction or operation of transmission and distribution pipelines dedicated to the transport of hydrogen or other low-carbon gases.</t>
  </si>
  <si>
    <t>Meets ALL applicable criteria _
1. Complies with ONE eligible activity:
a. New transmission and distribution networks dedicated to hydrogen or other low-carbon gases.
b. Conversion/repurposing of existing natural gas networks to 100% hydrogen.
c. Retrofit of gas transmission and distribution networks that enables the integration of hydrogen and other low carbon gases in the network. _
2. Includes leak detection and repair of existing gas pipelines and other network elements to reduce methane leakage. _</t>
  </si>
  <si>
    <t>District heating/cooling distribution</t>
  </si>
  <si>
    <t>A.1.15. District heating/cooling distribution</t>
  </si>
  <si>
    <t>Pipelines and associated infrastructure for distribution of heating and cooling, ending at the sub-station or heat exchanger</t>
  </si>
  <si>
    <r>
      <rPr>
        <b/>
        <sz val="8"/>
        <rFont val="Santander Text"/>
        <family val="2"/>
      </rPr>
      <t>What is it?</t>
    </r>
    <r>
      <rPr>
        <sz val="8"/>
        <rFont val="Santander Text"/>
        <family val="2"/>
      </rPr>
      <t xml:space="preserve"> Pipelines and associated infrastructure for distribution of heating and cooling, ending at the sub-station or heat exchanger.</t>
    </r>
  </si>
  <si>
    <t>Meets ONE applicable criterion
1. If the activity relates to CONSTRUCTION: the system adheres to efficient distinct heating and cooling standards. _
2.  If the activity relates to REFURBISHMENT: The efficient district heating / cooling system starts within a 3-year period as underpinned by a contractual obligation. _
3. Eligible activities: 
a. Modification to lower temperature regimes.
b. Advanced pilot systems. _</t>
  </si>
  <si>
    <t>Storage</t>
  </si>
  <si>
    <t>Electricity</t>
  </si>
  <si>
    <t>A.1.10. Electricity</t>
  </si>
  <si>
    <t>A.1.10. Storage of electricity</t>
  </si>
  <si>
    <t>Storage of electricity</t>
  </si>
  <si>
    <t>Facilities that store energy and return it later in the form of electricity, including pumped hydropower, electrochemical and mechanical storage</t>
  </si>
  <si>
    <r>
      <rPr>
        <b/>
        <sz val="8"/>
        <rFont val="Santander Text"/>
        <family val="2"/>
      </rPr>
      <t xml:space="preserve">What is it? </t>
    </r>
    <r>
      <rPr>
        <sz val="8"/>
        <rFont val="Santander Text"/>
        <family val="2"/>
      </rPr>
      <t>Facilities that store energy and return it later in the form of electricity, including pumped hydropower, electrochemical and mechanical storage.</t>
    </r>
  </si>
  <si>
    <t>Meets ALL applicable criteria _
1. It complies with the definition, where the activity includes chemical energy storage, the medium of storage (such as hydrogen or ammonia) complies with the Manufacturing requirements technical criteria. _</t>
  </si>
  <si>
    <t>Thermal energy</t>
  </si>
  <si>
    <t>A.1.11. Thermal energy</t>
  </si>
  <si>
    <t>A.1.11. Storage of thermal energy</t>
  </si>
  <si>
    <t>Storage of thermal energy</t>
  </si>
  <si>
    <t>Facilities that store thermal energy and return it later in the form of thermal energy or other energy vectors</t>
  </si>
  <si>
    <r>
      <t xml:space="preserve">What is it? </t>
    </r>
    <r>
      <rPr>
        <sz val="8"/>
        <rFont val="Santander Text"/>
        <family val="2"/>
      </rPr>
      <t>Facilities that store thermal energy and return it later in the form of thermal energy or other energy vectors.</t>
    </r>
  </si>
  <si>
    <t>Meets ALL applicable criteria _
1. The activity stores thermal energy, including Underground Thermal Energy Storage (UTES) or Aquifer Thermal Energy Storage (ATES)._</t>
  </si>
  <si>
    <t>Hydrogen</t>
  </si>
  <si>
    <t>A.1.12. Hydrogen</t>
  </si>
  <si>
    <t>A.1.12. Storage of hydrogen</t>
  </si>
  <si>
    <t>Storage of hydrogen</t>
  </si>
  <si>
    <t>Construction and operation of facilities that store hydrogen and return it later.</t>
  </si>
  <si>
    <r>
      <rPr>
        <b/>
        <sz val="8"/>
        <rFont val="Santander Text"/>
        <family val="2"/>
      </rPr>
      <t>What is it?</t>
    </r>
    <r>
      <rPr>
        <sz val="8"/>
        <rFont val="Santander Text"/>
        <family val="2"/>
      </rPr>
      <t xml:space="preserve"> Construction and operation of facilities that store hydrogen and return it later.</t>
    </r>
  </si>
  <si>
    <t>Meets ONE applicable criteria _
1. Complies with ONE eligible activity:
a. Construction of hydrogen storage facilities.
b. Conversion of existing underground gas storage facilities into storage facilities dedicated to hydrogen-storage.
c. Operation of hydrogen storage facilities. _
2. Hydrogen stored in the facility: Lifecycle GHG emissions savings of 73.4% for hydrogen, being lower than 3tCO2e/tH2 and 70% for hydrogen-based synthetic fuels relative to a fossil fuel comparator of 94g CO2e/MJ.  _
4. Hydrogen stored in the facility’s quantified life-cycle GHG emission savings are verified by an independent third party and calculated using any internationally or locally recognized certifications. _
6. CO2 leakage of carbon transport methods and carbon sequestration sites comply with standards accepted by Santander. _</t>
  </si>
  <si>
    <t>Meets ALL applicable criteria _
1. Meets ONE eligible activity: 
a. Construction of hydrogen storage facilities. 
b. Conversion of existing underground gas storage facilities into storage facilities dedicated to hydrogen storage. 
c. Operation of hydrogen storage facilities. _
2. 
- Hydrogen stored in facilities: Life cycle greenhouse gas emissions of 73.4% for hydrogen, being less than 3tCO2e/Th2 and 70% for hydrogen-based synthetic fuels compared to a fossil fuel comparator of 94g CO2e/MJ.  _
3. The stored hydrogen facilitates a quantified lifecycle greenhouse gas emission savings of the installation to be verified by an independent third party and calculated using: 
- ISO 14067:2018
- ISO 14064- 1:2018 _
5. CO2 leakage from carbon transport methods below 0.5 % and carbon sequestration sites comply with ISO 27914:2017. _</t>
  </si>
  <si>
    <t>Electric heat pumps installation and operation</t>
  </si>
  <si>
    <t>A.1.16. Electric heat pumps installation and operation</t>
  </si>
  <si>
    <t>A.1.16. Installation and operation of electric heat pumps</t>
  </si>
  <si>
    <t>Installation and operation of electric heat pumps</t>
  </si>
  <si>
    <t>Meets ALL applicable criteria _
2. Electric heat pumps (air-source aerothermia, or ground-source / water-source)._</t>
  </si>
  <si>
    <t>Meets ALL applicable criteria _
1. The installation and operation of electric heat pumps complies with refrigerant threshold: Global Warming Potential does not exceed 675._</t>
  </si>
  <si>
    <t>Nuclear &amp; Fossil gaseous fuels</t>
  </si>
  <si>
    <t>Nuclear power - Produce energy with minimal waste</t>
  </si>
  <si>
    <t>A.1.26. Nuclear power - Produce energy with minimal waste</t>
  </si>
  <si>
    <t>A.1.26. Pre-commercial stages of advanced technologies to produce energy from nuclear processes with minimal waste from the fuel cycle</t>
  </si>
  <si>
    <t>Pre-commercial stages of advanced technologies to produce energy from nuclear processes with minimal waste from the fuel cycle</t>
  </si>
  <si>
    <t xml:space="preserve">Innovative electricity generation facilities, licensed by Member States’ competent authorities in accordance with applicable national law, that produce energy from nuclear processes with minimal waste from the fuel cycle. </t>
  </si>
  <si>
    <r>
      <rPr>
        <b/>
        <sz val="8"/>
        <rFont val="Santander Text"/>
        <family val="2"/>
      </rPr>
      <t>What is it?</t>
    </r>
    <r>
      <rPr>
        <sz val="8"/>
        <rFont val="Santander Text"/>
        <family val="2"/>
      </rPr>
      <t xml:space="preserve"> Innovative electricity generation facilities, licensed by Member States’ competent authorities in accordance with applicable national law, that produce energy from nuclear processes with minimal waste from the fuel cycle. </t>
    </r>
  </si>
  <si>
    <t>Meets ALL applicable criteria _
2. For non-EU countries, same as EU taxonomy consistent criteria excepting compliance with LTO</t>
  </si>
  <si>
    <t>Meets ALL applicable criteria _
1. The project (including research, development, demonstration or deployment of innovative nuclear electricity generation facilities/ technologies) has a license to operate from an EU Member._</t>
  </si>
  <si>
    <t>Transition</t>
  </si>
  <si>
    <t>Nuclear power - Construction / safe operation</t>
  </si>
  <si>
    <t>A.1.27. Nuclear power - Construction / safe operation</t>
  </si>
  <si>
    <t>A.1.27. Construction and safe operation of new nuclear power plants, for the generation of electricity and/or heat, including for hydrogen production, using best-available technologies</t>
  </si>
  <si>
    <t>Construction and safe operation of new nuclear power plants, for the generation of electricity and/or heat, including for hydrogen production, using best-available technologies</t>
  </si>
  <si>
    <t>Construction and safe operation of new nuclear power plants for the generation of electricity and/or heat, including for hydrogen production using best available technologies</t>
  </si>
  <si>
    <t>Construction and safe operation of new nuclear power installations with construction issued by 2045 according to applicable national law, to produce/process electricity or heat, including industrial processes such as hydrogen production (new nuclear installations), and their safety upgrades.</t>
  </si>
  <si>
    <r>
      <rPr>
        <b/>
        <sz val="8"/>
        <rFont val="Santander Text"/>
        <family val="2"/>
      </rPr>
      <t xml:space="preserve">What is it? </t>
    </r>
    <r>
      <rPr>
        <sz val="8"/>
        <rFont val="Santander Text"/>
        <family val="2"/>
      </rPr>
      <t>Construction and safe operation of new nuclear power installations with construction issued by 2045 according to applicable national law, to produce/process electricity or heat, including industrial processes such as hydrogen production (new nuclear installations), and their safety upgrades.</t>
    </r>
  </si>
  <si>
    <t xml:space="preserve">Meets ALL applicable criteria _
2. For non-EU countries, same as EU taxonomy consistent criteria excepting compliance with LTO
</t>
  </si>
  <si>
    <t>Meets ALL applicable criteria _
1. The construction and safe operation of new nuclear installations to produce electricity or process heat have a license to operate from an EU Member. _</t>
  </si>
  <si>
    <t>Nuclear power - Electricity generation</t>
  </si>
  <si>
    <t>A.1.28. Nuclear power - Electricity generation</t>
  </si>
  <si>
    <t>A.1.28. Electricity generation from nuclear energy in existing installations</t>
  </si>
  <si>
    <t>Electricity generation from nuclear energy in existing installations</t>
  </si>
  <si>
    <t>Authorised by 2040 extension of existing nuclear installations according to applicable national law, of the service time of safe operation of nuclear power plants.</t>
  </si>
  <si>
    <r>
      <rPr>
        <b/>
        <sz val="8"/>
        <rFont val="Santander Text"/>
        <family val="2"/>
      </rPr>
      <t>What is it?</t>
    </r>
    <r>
      <rPr>
        <sz val="8"/>
        <rFont val="Santander Text"/>
        <family val="2"/>
      </rPr>
      <t xml:space="preserve"> Authorised by 2040 extension of existing nuclear installations according to applicable national law, of the service time of safe operation of nuclear power plants.</t>
    </r>
  </si>
  <si>
    <t xml:space="preserve">Meets ALL applicable criteria _
1. The modification of existing nuclear installations project, for the purposes of extension, has a license to operate from an EU Member </t>
  </si>
  <si>
    <t>Fossil gaseous fuels - Electricity generation</t>
  </si>
  <si>
    <t>A.1.29. Fossil gaseous fuels - Electricity generation</t>
  </si>
  <si>
    <t>A.1.29. Electricity generation from fossil gaseous fuels</t>
  </si>
  <si>
    <t>Electricity generation from fossil gaseous fuels</t>
  </si>
  <si>
    <t>Electricity generation facilities that produce electricity using fossil gaseous fuels</t>
  </si>
  <si>
    <r>
      <rPr>
        <b/>
        <sz val="8"/>
        <rFont val="Santander Text"/>
        <family val="2"/>
      </rPr>
      <t>What is it?</t>
    </r>
    <r>
      <rPr>
        <sz val="8"/>
        <rFont val="Santander Text"/>
        <family val="2"/>
      </rPr>
      <t xml:space="preserve"> Electricity generation facilities that produce electricity using fossil gaseous fuels.
</t>
    </r>
    <r>
      <rPr>
        <b/>
        <sz val="8"/>
        <rFont val="Santander Text"/>
        <family val="2"/>
      </rPr>
      <t>What is it not?</t>
    </r>
    <r>
      <rPr>
        <sz val="8"/>
        <rFont val="Santander Text"/>
        <family val="2"/>
      </rPr>
      <t xml:space="preserve"> Electricity generation from the exclusive use of renewable non-fossil gaseous and liquid fuels.</t>
    </r>
  </si>
  <si>
    <t xml:space="preserve">Meets ALL applicable criteria _
7. For non-EU countries, same as EU taxonomy consistent criteria excepting compliance with LTO
</t>
  </si>
  <si>
    <t>Meets ALL applicable criteria _
1.Lifecycle emissions lower tan 100gCO2e/kWh verified by a third party and calculated using ONE: 
a. ISO 14067:2018
b. ISO 14064-1:2018 _
2. CO2 leakage of carbon transport methods below 0.5 %. _ 
3. Carbon sequestration sites comply with ISO 27914:2017 _
4.  The production of hydrogen, steel, cement, and chemicals operate within the allowed carbon intensity threshold (e.g. Steel: hot metal = 1.331 tCO2e/t product; electric Arc Furnace (EAF) high alloy steel = 0.266 tCO2e/t product). _
5. If #1, #2, #3 and #4 do not apply, in case of construction permit granted by Dec 31st 2030, meets ALL the following:
a. Direct GHG emissions lower than 270gCO2e/kWh OR annual emissions exceeds of the facility’s capacity over 20 years are lower than 550kgCO2e/kWh average.
b. Replacement leads to a 55% reduction of GHG emissions over new installation capacity lifetime.
c. Public, subject to stakeholders’ consultation assessment stating that the power to be replaced cannot be generated from renewable energy sources in cost, feasibility an effectiveness terms.
d. The activity replaces another high emitting electricity one which uses solid or liquid fossil fuels.
e. New production capacity does not exceed the prior one by more than 15%. 
f. Full renewable / low-carbon gaseous fuels use commitment approved plan by Dec 31st 2035. _
6. Complies with ONE of the following additional criteria:
a. At construction - Physical emissions and methane measurement and monitoring equipment. 
b. At construction - Methan leak detection and repair program.
c. At operation – Physical measure of methane is reported and leak is eliminated. _</t>
  </si>
  <si>
    <t>Fossil gaseous fuels - Production of heat/cool</t>
  </si>
  <si>
    <t>A.1.30. Fossil gaseous fuels - Production of heat/cool</t>
  </si>
  <si>
    <t>A.1.30. Production of heat/cool from fossil gaseous fuels in an efficient district heating and cooling system</t>
  </si>
  <si>
    <t>Production of heat/cool from fossil gaseous fuels in an efficient district heating and cooling system</t>
  </si>
  <si>
    <t>Construction, refurbishment, and operation of heat generation facilities that produce heat/cool using fossil gaseous fuels connected to efficient district heating and cooling.</t>
  </si>
  <si>
    <r>
      <rPr>
        <b/>
        <sz val="8"/>
        <rFont val="Santander Text"/>
        <family val="2"/>
      </rPr>
      <t xml:space="preserve">What is it? </t>
    </r>
    <r>
      <rPr>
        <sz val="8"/>
        <rFont val="Santander Text"/>
        <family val="2"/>
      </rPr>
      <t xml:space="preserve">Construction, refurbishment, and operation of heat generation facilities that produce heat/cool using fossil gaseous fuels connected to efficient district heating and cooling.
</t>
    </r>
    <r>
      <rPr>
        <b/>
        <sz val="8"/>
        <rFont val="Santander Text"/>
        <family val="2"/>
      </rPr>
      <t>What is it not?</t>
    </r>
    <r>
      <rPr>
        <sz val="8"/>
        <rFont val="Santander Text"/>
        <family val="2"/>
      </rPr>
      <t xml:space="preserve"> Production of heat/cool in an efficient district heating from the exclusive use of renewable non-fossil gaseous and liquid fuels and biogas and bioliquid fuels.</t>
    </r>
  </si>
  <si>
    <t>Meets ALL applicable criteria _
7. For non-EU countries, same as EU taxonomy consistent criteria excepting compliance with LTO</t>
  </si>
  <si>
    <t>Meets ALL applicable criteria _
1. Lifecycle emissions lower tan 100gCO2e/kWh verified by a third party and calculated using ONE: 
a. ISO 14067:2018
b. ISO 14064-1:2018 _
2. CO2 leakage of carbon transport methods below 0.5 %. _
3. Carbon sequestration sites comply with ISO 27914:2017. _
4. The production of hydrogen, steel, cement, and chemicals operate within the allowed carbon intensity threshold (e.g. Steel: hot metal = 1.331 tCO2e/t product; electric Arc Furnace (EAF) high alloy steel = 0.266 tCO2e/t product). _
5. If #1, #2, #3 and #4 do not apply, in case of construction permit granted by Dec 31st 2030, meets ALL the following:
a. Direct GHG emissions lower than 270gCO2e/kWh OR annual emissions exceeds of the facility’s capacity over 20 years are lower than 550kgCO2e/kWh average.
b. Replacement leads to a 55% reduction of GHG emissions over new installation capacity lifetime.
c. Public, subject to stakeholders’ consultation assessment stating that the power to be replaced cannot be generated from renewable energy sources in cost, feasibility an effectiveness terms.
d. The activity replaces another high emitting electricity one which uses solid or liquid fossil fuels.
e. New production capacity does not exceed the prior one by more than 15%. 
f. Full renewable / low-carbon gaseous fuels use commitment approved plan by Dec 31st 2035. _
6. Complies with ONE of the following additional criteria:
a. At construction - Physical emissions and methane measurement and monitoring equipment. 
b. At construction - Methane leak detection and repair program.
c. At operation – Physical measure of methane is reported and leak is eliminated. _</t>
  </si>
  <si>
    <t>Fossil gaseous fuels - Co-generation of heat/cool and power</t>
  </si>
  <si>
    <t>A.1.31. Fossil gaseous fuels - Co-generation of heat/cool and power</t>
  </si>
  <si>
    <t xml:space="preserve">A.1.31. High-efficiency co-generation of heat/cool and power from fossil gaseous fuels </t>
  </si>
  <si>
    <t xml:space="preserve">High-efficiency co-generation of heat/cool and power from fossil gaseous fuels </t>
  </si>
  <si>
    <t>High-efficiency co-generation of heat/cool and power from fossil gaseous fuels</t>
  </si>
  <si>
    <t>Construction, refurbishment, and operation of combined heat/cool and power generation facilities using fossil gaseous fuels</t>
  </si>
  <si>
    <r>
      <rPr>
        <b/>
        <sz val="8"/>
        <rFont val="Santander Text"/>
        <family val="2"/>
      </rPr>
      <t>What is it?</t>
    </r>
    <r>
      <rPr>
        <sz val="8"/>
        <rFont val="Santander Text"/>
        <family val="2"/>
      </rPr>
      <t xml:space="preserve"> Construction, refurbishment, and operation of combined heat/cool and power generation facilities using fossil gaseous fuels.
</t>
    </r>
    <r>
      <rPr>
        <b/>
        <sz val="8"/>
        <rFont val="Santander Text"/>
        <family val="2"/>
      </rPr>
      <t>What is it not?</t>
    </r>
    <r>
      <rPr>
        <sz val="8"/>
        <rFont val="Santander Text"/>
        <family val="2"/>
      </rPr>
      <t xml:space="preserve"> High-efficiency co-generation of heat/cool and power from the exclusive use of renewable non-fossil gaseous and liquid fuels.</t>
    </r>
  </si>
  <si>
    <t>Meets ALL applicable criteria _
1. Lifecycle emissions lower tan 100gCO2e/kWh verified by a third party and calculated using ONE: 
a. ISO 14067:2018
b. ISO 14064-1:2018 _
2. CO2 leakage of carbon transport methods below 0.5 %.  _
3. Carbon sequestration sites comply with ISO 27914:2017 _
4. The production of hydrogen, steel, cement, and chemicals operate within the allowed carbon intensity threshold (e.g. Steel: hot metal = 1.331 tCO2e/t product; electric Arc Furnace (EAF) high alloy steel = 0.266 tCO2e/t product). _
5. If #1, #2, #3 and #4 do not apply, in case of construction permit granted by Dec 31st 2030, meets ALL the following:
a. Direct GHG emissions lower than 270gCO2e/kWh OR annual emissions exceeds of the facility’s capacity over 20 years are lower than 550kgCO2e/kWh average.
b. Replacement leads to a 55% reduction of GHG emissions over new installation capacity lifetime.
c. Public, subject to stakeholders’ consultation assessment stating that the power to be replaced cannot be generated from renewable energy sources in cost, feasibility an effectiveness terms.
d. The activity replaces another high emitting electricity one which uses solid or liquid fossil fuels.
e. New production capacity does not exceed the prior one by more than 15%. 
f. Full renewable / low-carbon gaseous fuels use commitment approved plan by Dec 31st 2035. _
6. Complies with ONE of the following additional criteria:
a. At construction - Physical emissions and methane measurement and monitoring equipment. 
b. At construction - Methane leak detection and repair program.
c. At operation – Physical measure of methane is reported and leak is eliminated. _</t>
  </si>
  <si>
    <t xml:space="preserve">Renewable Energy Procurement </t>
  </si>
  <si>
    <t xml:space="preserve">A.1.32 Renewable Energy Procurement </t>
  </si>
  <si>
    <t xml:space="preserve">A.1.32. Renewable Energy Procurement </t>
  </si>
  <si>
    <t>NA</t>
  </si>
  <si>
    <t>Procurement of energy coming from renewable sources</t>
  </si>
  <si>
    <r>
      <rPr>
        <b/>
        <sz val="8"/>
        <rFont val="Santander Text"/>
        <family val="2"/>
      </rPr>
      <t>What is it?</t>
    </r>
    <r>
      <rPr>
        <sz val="8"/>
        <rFont val="Santander Text"/>
        <family val="2"/>
      </rPr>
      <t xml:space="preserve"> Procurement of energy coming from renewable sources.</t>
    </r>
  </si>
  <si>
    <r>
      <rPr>
        <sz val="8"/>
        <color rgb="FF000000"/>
        <rFont val="Santander Text"/>
      </rPr>
      <t xml:space="preserve">Meets ONE applicable criterion _
1. </t>
    </r>
    <r>
      <rPr>
        <strike/>
        <sz val="8"/>
        <color rgb="FFFF0000"/>
        <rFont val="Santander Text"/>
      </rPr>
      <t>Medium – long term PPAs or VPPAs._</t>
    </r>
    <r>
      <rPr>
        <sz val="8"/>
        <color rgb="FFFF0000"/>
        <rFont val="Santander Text"/>
      </rPr>
      <t xml:space="preserve"> Medium (c1 year, although shorter periods may be acceptable if credibly justified) - long term PPAs or VPPAs. _
</t>
    </r>
    <r>
      <rPr>
        <sz val="8"/>
        <color rgb="FF000000"/>
        <rFont val="Santander Text"/>
      </rPr>
      <t>2. Long term bundled renewable energy certificates (REC)._
3. If not 100% of the energy is renewable, the share of green allocation will be determined with a pro-rata approach._</t>
    </r>
  </si>
  <si>
    <t>Transport</t>
  </si>
  <si>
    <t>Ground transport</t>
  </si>
  <si>
    <t>Passenger interurban rail transport</t>
  </si>
  <si>
    <t>A.2.1. Passenger interurban rail transport</t>
  </si>
  <si>
    <t>Purchase, financing, rental, leasing and operation of passenger transport using railway rolling stock on mainline networks.</t>
  </si>
  <si>
    <r>
      <rPr>
        <b/>
        <sz val="8"/>
        <rFont val="Santander Text"/>
        <family val="2"/>
      </rPr>
      <t>What is it?</t>
    </r>
    <r>
      <rPr>
        <sz val="8"/>
        <rFont val="Santander Text"/>
        <family val="2"/>
      </rPr>
      <t xml:space="preserve"> Purchase, financing, rental, leasing and operation of passenger transport using railway rolling stock on mainline networks.
</t>
    </r>
  </si>
  <si>
    <t>Meets ALL applicable criteria _
3. Less than 50gCO2/km untill 2026 _</t>
  </si>
  <si>
    <t>Meets ONE applicable criterion _
1. Zero direct (tailpipe) CO2 emissions
2. Zero direct (tailpipe) CO2 emissions when operated on a track with necessary infrastructure and use a conventional engine where such infrastructure is not available (bimode). _</t>
  </si>
  <si>
    <t>9) Industry, innovation and infrastructure
11) Sustainable cities and communities</t>
  </si>
  <si>
    <t>Freight rail transport</t>
  </si>
  <si>
    <t>A.2.2. Freight rail transport</t>
  </si>
  <si>
    <t>Purchase, financing, leasing, rental and operation of freight transport.</t>
  </si>
  <si>
    <r>
      <rPr>
        <b/>
        <sz val="8"/>
        <rFont val="Santander Text"/>
        <family val="2"/>
      </rPr>
      <t>What is it?</t>
    </r>
    <r>
      <rPr>
        <sz val="8"/>
        <rFont val="Santander Text"/>
        <family val="2"/>
      </rPr>
      <t>Purchase, financing, leasing, rental and operation of freight transport.</t>
    </r>
  </si>
  <si>
    <t>Meets ALL applicable criteria _
3. Until 2029  below 25g CO2 per ton-km (freight). _
4. 2023 – 2049 below 21g CO2 per ton-km (freight). _
5. From 2050 onwards below 18g CO2 per ton-km (freight). _
6. Primary purpose (over 25% share) .is NOT transportation of fossil fuel freight _</t>
  </si>
  <si>
    <t xml:space="preserve">Meets ALL applicable criteria _
1. Complies with ONE:
a. Zero direct tailpipe CO2 emission.
b. When operated on a track with necessary infrastructure and use a conventional engine where such infrastructure is not available (bimode) _
2. NOT dedicated to the transport of fossil fuels _
</t>
  </si>
  <si>
    <t>Urban and suburban transport, road passenger transport</t>
  </si>
  <si>
    <t>A.2.3. Urban and suburban transport, road passenger transport</t>
  </si>
  <si>
    <t>Purchase, financing, leasing, rental and operation of urban and suburban transport vehicles for passengers and road passenger transport.</t>
  </si>
  <si>
    <r>
      <rPr>
        <b/>
        <sz val="8"/>
        <rFont val="Santander Text"/>
        <family val="2"/>
      </rPr>
      <t xml:space="preserve">What is it? </t>
    </r>
    <r>
      <rPr>
        <sz val="8"/>
        <rFont val="Santander Text"/>
        <family val="2"/>
      </rPr>
      <t xml:space="preserve">Purchase, financing, leasing, rental and operation of urban and suburban transport vehicles for passengers and road passenger transport.
</t>
    </r>
  </si>
  <si>
    <t>Meets ONE applicable criterion _
3. New fleet: direct emissions below 20g CO2e/km until 2025. _
4. Fleet renewal: direct emissions below 30g CO2e/km. _
5. Renewal and disintegration: direct emissions below 40gCO2e/km. _
6. Project includes physical disintegration of the refurbished vehicle. _
7. Criteria based on actual occupancy. _</t>
  </si>
  <si>
    <t>Meets ONE applicable criterion _
1. Urban or suburban passenger transport with zero CO2 emissions.
2. Until 31 December 2025. Buses or shuttles have a type of bodywork classified as ONE: 
a. CA (single-deck) 
b. CB (Double-deck)
c. CC (Single-deck, articulated)
d. CD (Double-deck, articulated)
e. Where such standard not available, the direct CO2 are zero. _</t>
  </si>
  <si>
    <t>Personal mobility devices, cycle logistics</t>
  </si>
  <si>
    <t>A.2.4. Personal mobility devices, cycle logistics</t>
  </si>
  <si>
    <t>A.2.4. Operation of personal mobility devices, cycle logistics</t>
  </si>
  <si>
    <t>Operation of personal mobility devices, cycle logistics</t>
  </si>
  <si>
    <t>Transport devices where propulsion comes from the physical activity of the user, from a zero-emissions motor or a mix of this motor with physical activity.</t>
  </si>
  <si>
    <r>
      <rPr>
        <b/>
        <sz val="8"/>
        <rFont val="Santander Text"/>
        <family val="2"/>
      </rPr>
      <t xml:space="preserve">What is it? </t>
    </r>
    <r>
      <rPr>
        <sz val="8"/>
        <rFont val="Santander Text"/>
        <family val="2"/>
      </rPr>
      <t>Transport devices where propulsion comes from the physical activity of the user, from a zero-emissions motor or a mix of this motor with physical activity.</t>
    </r>
  </si>
  <si>
    <t>Meets ALL applicable criteria _
3. Any vehicle or equipment purchased from a specialist cycle shop _</t>
  </si>
  <si>
    <t>Meets ONE applicable criterion _
1. Bikes, electric bikes (without license requirement) or other form of self-propulsion mobility devices. _
2. Personal mobility devices allowed to be operated on the same public infrastructure as bikes or pedestrians. _</t>
  </si>
  <si>
    <t>Motorbikes, passenger cars and light commercial vehicles</t>
  </si>
  <si>
    <t>A.2.5. Motorbikes, passenger cars and light commercial vehicles</t>
  </si>
  <si>
    <t>A.2.5. Transport by motorbikes, passenger cars and light commercial vehicles</t>
  </si>
  <si>
    <t>Transport by motorbikes, passenger cars and light commercial vehicles</t>
  </si>
  <si>
    <t>Vehicles designated as passenger cars, light commercial vehicles or motorbikes.</t>
  </si>
  <si>
    <r>
      <rPr>
        <b/>
        <sz val="8"/>
        <rFont val="Santander Text"/>
        <family val="2"/>
      </rPr>
      <t>What is it?</t>
    </r>
    <r>
      <rPr>
        <sz val="8"/>
        <rFont val="Santander Text"/>
        <family val="2"/>
      </rPr>
      <t xml:space="preserve"> Vehicles designated as passenger cars, light commercial vehicles or motorbikes.</t>
    </r>
  </si>
  <si>
    <t>Meets ONE applicable criterion _
3. Carbon intensity factor below 75g CO2/km and down to 50g in 2026 _
4. Cranes / forklifts: zero direct emissions _</t>
  </si>
  <si>
    <t>Meets ALL applicable criteria  _
1. Case of passenger cars and light commercial vehicles:
- Until the end of 2025, emissions below 50g CO2 per km.
- From January 2026, zero CO2 emissions. _
2. Case of licensed-plate motorbikes with les than 4 wheels: zero CO2 emissions. _</t>
  </si>
  <si>
    <t>Freight road transport</t>
  </si>
  <si>
    <t>A.2.6. Freight road transport</t>
  </si>
  <si>
    <t>A.2.6. Freight transport services by road</t>
  </si>
  <si>
    <t>Freight transport services by road</t>
  </si>
  <si>
    <t>Vehicles designated as light commercial vehicles and commercial trucks, for freight transport services by road</t>
  </si>
  <si>
    <r>
      <rPr>
        <b/>
        <sz val="8"/>
        <rFont val="Santander Text"/>
        <family val="2"/>
      </rPr>
      <t xml:space="preserve">What is it? </t>
    </r>
    <r>
      <rPr>
        <sz val="8"/>
        <rFont val="Santander Text"/>
        <family val="2"/>
      </rPr>
      <t>Vehicles designated as light commercial vehicles and commercial trucks, for freight transport services by road</t>
    </r>
  </si>
  <si>
    <t>Meets ALL applicable criteria _
3. Light commercial vehicles below 75g CO2/km emissions. _
4.  Commercial trucks emissions 50% below each sub-group threshold _</t>
  </si>
  <si>
    <t>Meets ALL applicable criteria _
1. Vehicle complies with ONE of the following:
a. Light comercial vehicles: zero direct CO2 emissions.
b. Commercial trucks: engine emits below 1gCO2/kWh or 1g CO2/km.
c. Commercial trucks over 7.5 tonnes comply whith ONE:
       i. Engine emits below 1gCO2/kWh or 1g CO2/km.
      ii. When not feasible, less emisions than half the reference of all vehicles in the same sub-group. _
2. NOT dedicated to the transport of fossil fuels. _</t>
  </si>
  <si>
    <t>Water transport</t>
  </si>
  <si>
    <t>Inland passenger transport</t>
  </si>
  <si>
    <t>A.2.7. Inland passenger transport</t>
  </si>
  <si>
    <t>A.2.7. Inland passenger water transport</t>
  </si>
  <si>
    <t>Inland passenger water transport</t>
  </si>
  <si>
    <t>Passenger vessels on inland waters, involving vessels that are not suitable for sea transport.</t>
  </si>
  <si>
    <r>
      <rPr>
        <b/>
        <sz val="8"/>
        <rFont val="Santander Text"/>
        <family val="2"/>
      </rPr>
      <t>What is it?</t>
    </r>
    <r>
      <rPr>
        <sz val="8"/>
        <rFont val="Santander Text"/>
        <family val="2"/>
      </rPr>
      <t xml:space="preserve"> Passenger vessels on inland waters, involving vessels that are not suitable for sea transport.</t>
    </r>
  </si>
  <si>
    <t>Meets ONE applicable criterion _
2. Until 2026:  Hybrid and dual fuel vessels derive at least 50% of their energy from zero emissions fuels or plug-in power for their normal operation. _
4. Heavy-Duty vehicles: Direct emissions are 50% lower than the average benchmark. _
5. 10% more efficient than a global standard such as EEDI _
6. Operate below 75g CO2/passenger-kilometre. _</t>
  </si>
  <si>
    <t>Meets ONE applicable criterion _
1. Vessels have zero direct CO2 emissions. _
2. Until 2026:  Hybrid and dual fuel vessels derive at least 50% of their energy from zero emissions fuels or plug-in power for their normal operation. _
3. 2026 - 2030: Vessels operate below a greenhouse gas intensity of 76,4g CO2e/MJ. _</t>
  </si>
  <si>
    <t>Inland freight transport</t>
  </si>
  <si>
    <t>A.2.8. Inland freight transport</t>
  </si>
  <si>
    <t>A.2.8. Inland freight water transport</t>
  </si>
  <si>
    <t>Inland freight water transport</t>
  </si>
  <si>
    <t>Inland freight water tranport</t>
  </si>
  <si>
    <t>Freight vessels on inland waters, involving vessels that are not suitable for sea transport.</t>
  </si>
  <si>
    <r>
      <rPr>
        <b/>
        <sz val="8"/>
        <rFont val="Santander Text"/>
        <family val="2"/>
      </rPr>
      <t>What is it? Freight vessels on inland waters</t>
    </r>
    <r>
      <rPr>
        <sz val="8"/>
        <rFont val="Santander Text"/>
        <family val="2"/>
      </rPr>
      <t>, involving vessels that are not suitable for sea transport.</t>
    </r>
  </si>
  <si>
    <t>Meets ALL applicable criteria _
3. The activity complies with ONE:
a. Solar, electric or hydrogen-powered boats.
b. Motorless sail boats. 
C. Water transport vessels that have zero direct CO2 emissions. _
4. Cargo ships do not transport over 25% share of coal / oil of fossil fuels _</t>
  </si>
  <si>
    <t>Meets ALL applicable criteria _
1. The activity complies with ONE of the following:
a. Zero direct CO2 emission.
b. Until 2026:  Vessels must have direct CO2 emissions per tonne kilometre, calculated (or estimated using the Energy Efficiency Operational Indicator, 50% lower than the average reference value for emissions of CO2 defined for heavy duty vehicles (subgroup 5-LH, tractors with axle configuration 4x2 and maximum laden mass &gt; 16 tonnes, sleeper cabin with &gt;= 265kW of engine power).
c. 2026 - 2030: Vessels operate below a greenhouse gas intensity of 76,4g CO2e/MJ. _
2. NOT dedicated to the transport of fossil fuels _</t>
  </si>
  <si>
    <t>Retrofitting of inland transport</t>
  </si>
  <si>
    <t>A.2.9. Retrofitting of inland transport</t>
  </si>
  <si>
    <t>A.2.9. Retrofitting of inland water passenger and freight transport</t>
  </si>
  <si>
    <t>Retrofitting of inland water passenger and freight transport</t>
  </si>
  <si>
    <t>Retrofit and upgrade of vessels for transport of freight or passengers on inland waters.</t>
  </si>
  <si>
    <r>
      <rPr>
        <b/>
        <sz val="8"/>
        <rFont val="Santander Text"/>
        <family val="2"/>
      </rPr>
      <t xml:space="preserve">What is it? </t>
    </r>
    <r>
      <rPr>
        <sz val="8"/>
        <rFont val="Santander Text"/>
        <family val="2"/>
      </rPr>
      <t xml:space="preserve">Retrofit and upgrade of </t>
    </r>
    <r>
      <rPr>
        <b/>
        <sz val="8"/>
        <rFont val="Santander Text"/>
        <family val="2"/>
      </rPr>
      <t>vessels for transport of freight or passengers on inland waters.</t>
    </r>
  </si>
  <si>
    <t>Meets ALL applicable criteria _
1. The activity achieves ONE of the following:
a. Inland passenger vessel's fuel consumption must be reduced by 15%/unit/day.
b. Inland freight vessel's fuel consumption must be reduced by 15%/unit/ton-km _
2. NOT dedicated to the transport of fossil fuels _</t>
  </si>
  <si>
    <t>Sea and coastal freight transport, vessels for port operations and auxiliary activities</t>
  </si>
  <si>
    <t>A.2.10. Sea and coastal freight transport, vessels for port operations and auxiliary activities</t>
  </si>
  <si>
    <t>A.2.10. Sea and coastal freight water transport, vessels for port operations and auxiliary activities</t>
  </si>
  <si>
    <t>Sea and coastal freight water transport, vessels for port operations and auxiliary activities</t>
  </si>
  <si>
    <t>Vessels designed and equipped for transport of freight and passengers OR required for port operations and auxiliary activities.</t>
  </si>
  <si>
    <r>
      <rPr>
        <b/>
        <sz val="8"/>
        <rFont val="Santander Text"/>
        <family val="2"/>
      </rPr>
      <t>What is it?</t>
    </r>
    <r>
      <rPr>
        <sz val="8"/>
        <rFont val="Santander Text"/>
        <family val="2"/>
      </rPr>
      <t xml:space="preserve"> Vessels designed and equipped for </t>
    </r>
    <r>
      <rPr>
        <b/>
        <sz val="8"/>
        <rFont val="Santander Text"/>
        <family val="2"/>
      </rPr>
      <t>transport of freight and passengers OR required for port operations and auxiliary activities.</t>
    </r>
  </si>
  <si>
    <t>Meets ALL applicable criteria _
3. Complies with ONE of the following vessel types:
a. Solar, electric or hydrogen-powered boats.
b. Motorless sail boats.
c. Water transport vessels with zero direct CO2 emissions _
4. Cargo ships do not transport over 25% share of coal / oil of fossil fuels _</t>
  </si>
  <si>
    <t>Meets ALL applicable criteria _
1. Complies with ONE of the following:
a. Vessels have zero direct (tailpipe) emissions
b. Until 2026: Hybrid and dual fuel vessels derive over 25% of their energy from zero direct CO2 emissions.
c. Until 2026: Where technologically and economically not feasible, vessel with 50% lower than the average reference CO2 emissions value defined for heavy duty vehicles and used exclusively for operating coastal and short sea services.
d. Until 2026: Where technologically and economically not feasible, attained EEDI 10% below EEDI requirements applicable on 1 April 2022.
e. From 2026: Where technologically and economically not feasible, if the vessel is able to run zero emissions from fuels, must reduce 20% EEDI requirements applicable on 1 April 2022 and:
- The vessel is able to plug-in at berth.
- If gas-fueled, implements methane mitigation measures.
f. From 2026: Where technologically and economically not feasible, Energy Efficiency Existing Ship Index (EEXI) equivalent to reducing EEDI a 10% below EEXI requirements by 2023 and average GHG below 76.4CO2e/MJ. _
2.  NOT dedicated to the transport of fossil fuels. _</t>
  </si>
  <si>
    <t>Sea and coastal passenger transport</t>
  </si>
  <si>
    <t>A.2.11. Sea and coastal passenger transport</t>
  </si>
  <si>
    <t>A.2.11. Sea and coastal passenger water transport</t>
  </si>
  <si>
    <t>Sea and coastal passenger water transport</t>
  </si>
  <si>
    <t>Purchase / Financing of vessels designed for performing passenger transport. Includes: operation of ferries, water taxies and excursions, cruise or sightseeing boats</t>
  </si>
  <si>
    <r>
      <rPr>
        <b/>
        <sz val="8"/>
        <rFont val="Santander Text"/>
        <family val="2"/>
      </rPr>
      <t xml:space="preserve">What is it? </t>
    </r>
    <r>
      <rPr>
        <sz val="8"/>
        <rFont val="Santander Text"/>
        <family val="2"/>
      </rPr>
      <t xml:space="preserve">Purchase / Financing of vessels designed for performing passenger transport. Includes: operation of </t>
    </r>
    <r>
      <rPr>
        <b/>
        <sz val="8"/>
        <rFont val="Santander Text"/>
        <family val="2"/>
      </rPr>
      <t>ferries, water taxies and excursions, cruise or sightseeing boats</t>
    </r>
  </si>
  <si>
    <t xml:space="preserve">Meets ONE applicable criterion _
1. Zero CO2 emissions _
2. Until 2026: Hybrid and dual fuel vessels derive over 25% of their energy from zero direct CO2 emission. _
3. Until 2026: Where technologically and economically not feasible, vessel with 50% lower than the average reference CO2 emissions value defined for heavy duty vehicles and used exclusively for operating coastal and short sea services. _
4. Until 2026: Where technologically and economically not feasible, attained EEDI 10% below EEDI requirements applicable on 1 April 2022. _
5. From 2026: Where technologically and economically not feasible, if the vessel is able to run zero emissions from fuels, must reduce 20% EEDI requirements applicable on 1 April 2022 and:
- The vessel is able to plug-in at berth.
- If gas-fueled, implements methane mitigation measures. _
6.  From 2026: Where technologically and economically not feasible, Energy Efficiency Existing Ship Index (EEXI) equivalent to reducing EEDI a 10% below EEXI requirements by 2023 and average GHG below 76.4CO2e/MJ. _
</t>
  </si>
  <si>
    <t>Retrofitting of sea and coastal freight and passenger transport</t>
  </si>
  <si>
    <t>A.2.12. Retrofitting of sea and coastal freight and passenger transport</t>
  </si>
  <si>
    <t>A.2.12. Retrofitting of sea and coastal freight and passenger water transport</t>
  </si>
  <si>
    <t>Retrofitting of sea and coastal freight and passenger water transport</t>
  </si>
  <si>
    <t>Upgrade of vessels designed for the transport of freight or passenger and of vessels required for port operations and auxiliary activities.</t>
  </si>
  <si>
    <r>
      <rPr>
        <b/>
        <sz val="8"/>
        <rFont val="Santander Text"/>
        <family val="2"/>
      </rPr>
      <t>What is it?</t>
    </r>
    <r>
      <rPr>
        <sz val="8"/>
        <rFont val="Santander Text"/>
        <family val="2"/>
      </rPr>
      <t xml:space="preserve"> Upgrade of vessels designed for the transport </t>
    </r>
    <r>
      <rPr>
        <b/>
        <sz val="8"/>
        <rFont val="Santander Text"/>
        <family val="2"/>
      </rPr>
      <t xml:space="preserve">of freight or passenger </t>
    </r>
    <r>
      <rPr>
        <sz val="8"/>
        <rFont val="Santander Text"/>
        <family val="2"/>
      </rPr>
      <t xml:space="preserve">and of vessels required </t>
    </r>
    <r>
      <rPr>
        <b/>
        <sz val="8"/>
        <rFont val="Santander Text"/>
        <family val="2"/>
      </rPr>
      <t>for port operations and auxiliary activities.</t>
    </r>
  </si>
  <si>
    <t>Meets ONE applicable criteria _
1. Retrofitting activity reduces fuel consumption of the vessel by at least 15%. _
2. Enables the vessels to attain EEXI value at least 10% below de EEXI requirements applicable on 1 January 2023 and:
The vessel is able to plug-in at berth.
If gas-fueled, implements methane mitigation measures. _</t>
  </si>
  <si>
    <t>Air transport</t>
  </si>
  <si>
    <t>Leasing of aircraft</t>
  </si>
  <si>
    <t>A.2.18. Leasing of aircraft</t>
  </si>
  <si>
    <t>Renting and leasing of aircraft parts and equipment.</t>
  </si>
  <si>
    <r>
      <rPr>
        <b/>
        <sz val="8"/>
        <rFont val="Santander Text"/>
        <family val="2"/>
      </rPr>
      <t>What is it?</t>
    </r>
    <r>
      <rPr>
        <sz val="8"/>
        <rFont val="Santander Text"/>
        <family val="2"/>
      </rPr>
      <t xml:space="preserve"> </t>
    </r>
    <r>
      <rPr>
        <b/>
        <sz val="8"/>
        <rFont val="Santander Text"/>
        <family val="2"/>
      </rPr>
      <t>Renting and leasing of aircraft parts and equipment.</t>
    </r>
  </si>
  <si>
    <t>Meets ONE applicable criterion _
1. Aircraft with zero direct CO2 emissions _
2. If delivered before 2024: Must comply with the following: until 2028 (from 2028 on, aircraft is certified to operate on 100% blend of sustainable aviation fuels):
[TABLE A.2.18] _
3.If delivered after 2024: Must comply with “manufacturing of aircraft” criteria and with the commitment that another non-compliant aircraft is permanently withdrawn within 6 month of delivery of the first one. _</t>
  </si>
  <si>
    <t>T</t>
  </si>
  <si>
    <t>Passenger and freight air transport</t>
  </si>
  <si>
    <t>A.2.19. Passenger and freight air transport</t>
  </si>
  <si>
    <t>Purchase, financing and operation of aircraft including transport of passengers and goods.</t>
  </si>
  <si>
    <r>
      <rPr>
        <b/>
        <sz val="8"/>
        <rFont val="Santander Text"/>
        <family val="2"/>
      </rPr>
      <t xml:space="preserve">What is it? </t>
    </r>
    <r>
      <rPr>
        <sz val="8"/>
        <rFont val="Santander Text"/>
        <family val="2"/>
      </rPr>
      <t xml:space="preserve">Purchase, financing and operation of aircraft </t>
    </r>
    <r>
      <rPr>
        <b/>
        <sz val="8"/>
        <rFont val="Santander Text"/>
        <family val="2"/>
      </rPr>
      <t>including transport of passengers and goods.</t>
    </r>
  </si>
  <si>
    <t>Meets ALL applicable criteria _
5. Minimum SAF share 5% in 2022 and increasing the rate by 2% yearly. _
6. Hybrid planes for freight transport or small distances. _
7. Primary purpose is NOT the transportation of fossil fuel freight. _</t>
  </si>
  <si>
    <t>Meets ONE applicable criterion _
1. Aircraft with zero direct CO2 emissions _
2. If delivered before 2024: Must comply with the following: until 2028 (from 2028 on, aircraft is certified to operate on 100% blend of sustainable aviation fuels):
[A.2.19] _
3. If delivered after 2024: Must comply with “manufacturing of aircraft” criteria and with the commitment that another non-compliant aircraft is permanently withdrawn within 6 month of delivery of the first one. _
4. After 2030: operated with a 15% share of Sustainable Aviation Fuels (SAF) and increasing the rate by 2% yearly. _</t>
  </si>
  <si>
    <t>Air transport ground handling operations</t>
  </si>
  <si>
    <t>A.2.20. Air transport ground handling operations</t>
  </si>
  <si>
    <t>Manufacture, repair, maintenance, retrofitting of equipment and service activities incidental to air transportation.</t>
  </si>
  <si>
    <r>
      <rPr>
        <b/>
        <sz val="8"/>
        <rFont val="Santander Text"/>
        <family val="2"/>
      </rPr>
      <t>What is it?</t>
    </r>
    <r>
      <rPr>
        <sz val="8"/>
        <rFont val="Santander Text"/>
        <family val="2"/>
      </rPr>
      <t xml:space="preserve"> Manufacture, repair, maintenance, retrofitting of equipment and service activities incidental to air transportation.</t>
    </r>
  </si>
  <si>
    <t>Meets ALL applicable criteria _
1. Zero ground handling vehicles direct CO2 emissions. _
2. Propulsion of all ground handling devices and equipment comes from a zero emissions motor. _</t>
  </si>
  <si>
    <t>Infrastructure</t>
  </si>
  <si>
    <t>Personal mobility, cycle logistics</t>
  </si>
  <si>
    <t>A.2.13. Personal mobility, cycle logistics</t>
  </si>
  <si>
    <t>A.2.13. Infrastructure for personal mobility, cycle logistics</t>
  </si>
  <si>
    <t>Infrastructure for personal mobility, cycle logistics</t>
  </si>
  <si>
    <t>Construction, updating, maintenance and operation of infrastructure for personal mobility.</t>
  </si>
  <si>
    <r>
      <rPr>
        <b/>
        <sz val="8"/>
        <rFont val="Santander Text"/>
        <family val="2"/>
      </rPr>
      <t xml:space="preserve">What is it? </t>
    </r>
    <r>
      <rPr>
        <sz val="8"/>
        <rFont val="Santander Text"/>
        <family val="2"/>
      </rPr>
      <t xml:space="preserve">Construction, updating, maintenance and operation of </t>
    </r>
    <r>
      <rPr>
        <b/>
        <sz val="8"/>
        <rFont val="Santander Text"/>
        <family val="2"/>
      </rPr>
      <t>infrastructure for personal mobility.</t>
    </r>
  </si>
  <si>
    <t>Meets ALL applicable criteria _
1. Infrastructure that is constructed and operated is dedicated to personal active, personal mobility or cycle logistics. _</t>
  </si>
  <si>
    <t>Road transport and public transport</t>
  </si>
  <si>
    <t>A.2.15. Road transport and public transport</t>
  </si>
  <si>
    <t>A.2.15. Infrastructure enabling low-carbon road transport and public transport</t>
  </si>
  <si>
    <t>Infrastructure enabling low-carbon road transport and public transport</t>
  </si>
  <si>
    <t>Construction, updating, maintenance and operation of infrastructure that is required for zero CO2 emissions’ operation on road transport, transshipment or urban transport.</t>
  </si>
  <si>
    <r>
      <rPr>
        <b/>
        <sz val="8"/>
        <rFont val="Santander Text"/>
        <family val="2"/>
      </rPr>
      <t>What is it?</t>
    </r>
    <r>
      <rPr>
        <sz val="8"/>
        <rFont val="Santander Text"/>
        <family val="2"/>
      </rPr>
      <t xml:space="preserve"> Construction, updating, maintenance and operation of infrastructure that is required for zero CO2 emissions’ operation on road transport, transshipment or urban transport</t>
    </r>
  </si>
  <si>
    <t>Meets ALL applicable criteria _
1. Meets ONE or more of applicable criteria _
a. Dedicated to the operation of zero tailpipe CO2 emission vehicles (electric charging points, electricity grid connection upgrades, hydrogen fuelling stations or electric road systems (ERS)).
b. Dedicated to the transshipment of freight between different transport modes (infrastructure and superstructures for loading, unloading and transhipment)
c. Dedicated to urban and suburban public passenger transport (including associated signalling systems for metro, tram and rail systems)
2. Not dedicated to the transport or storage of fossil fuels.</t>
  </si>
  <si>
    <t>A.2.16. Water transport</t>
  </si>
  <si>
    <t>A.2.16. Infrastructure enabling low carbon water transport</t>
  </si>
  <si>
    <t>Infrastructure enabling low carbon water transport</t>
  </si>
  <si>
    <t>Construction, modernisation, maintenance and operation of infrastructure that is required for zero CO2 operation of vessels or ports’ own operations.</t>
  </si>
  <si>
    <r>
      <rPr>
        <b/>
        <sz val="8"/>
        <rFont val="Santander Text"/>
        <family val="2"/>
      </rPr>
      <t xml:space="preserve">What is it? </t>
    </r>
    <r>
      <rPr>
        <sz val="8"/>
        <rFont val="Santander Text"/>
        <family val="2"/>
      </rPr>
      <t>Construction, modernisation, maintenance and operation of infrastructure that is required for zero CO2 operation of vessels or ports’ own operations</t>
    </r>
  </si>
  <si>
    <t>Meets ALL applicable criteria _
1. Complies with ONE of the following: :
a. Dedicated to the operation of vessels with zero direct CO2 emissions.
b. Dedicated to the provision of shore-side electrical power.
c. Dedicated to the performance of the port's own operations (zero CO2).
d. Dedicated to transshipping freight between the modes _
3. Primary purpose (over 25% share) is NOT transportation of fossil fuel freight. _</t>
  </si>
  <si>
    <t>Meets ALL applicable criteria _
1. Complies with ONE of the following:
a. Dedicated to the operation of vessels with zero direct CO2 emissions.
b. Dedicated to the provision of shore-side electrical power.
c. Dedicated to the performance of the port's own operations (zero CO2).
d. Dedicated to transshipping freight between the modes. _
2. NOT dedicated to the transport / storage of fossil fuels. _</t>
  </si>
  <si>
    <t>Airport</t>
  </si>
  <si>
    <t>A.2.17. Airport</t>
  </si>
  <si>
    <t>A.2.17. Low carbon airport infrastructure</t>
  </si>
  <si>
    <t>Low carbon airport infrastructure</t>
  </si>
  <si>
    <t>Construction, upgrading, maintenance and operation of infrastructure that is required for zero CO2 operation of aircraft or airport’s own operations, as well as fixed electrical ground power or preconditioned air to stationary aircraft.</t>
  </si>
  <si>
    <r>
      <rPr>
        <b/>
        <sz val="8"/>
        <rFont val="Santander Text"/>
        <family val="2"/>
      </rPr>
      <t>What is it?</t>
    </r>
    <r>
      <rPr>
        <sz val="8"/>
        <rFont val="Santander Text"/>
        <family val="2"/>
      </rPr>
      <t xml:space="preserve"> Construction, upgrading, maintenance and operation of infrastructure that is required for zero CO2 operation of aircraft or airport’s own operations, as well as fixed electrical ground power or preconditioned air to stationary aircraft.</t>
    </r>
  </si>
  <si>
    <t>Meets ONE or more applicable criteria _
1. Infrastructure dedicated to ONE of the following: 
a. Zero CO2 emissions aircrafts.
b. Fixed electrical ground power / preconditioned air to stationary aircrafts.
c. Zero CO2 emissions performance of the airport's own operations.
d. Dedicated to transshipping freight woth railway and water transport (terminal infrastructures and superstructures for loading, unloading and transshipment of goods). _
2. NOT dedicated to the transport / storage of fossil fuels _</t>
  </si>
  <si>
    <t>Rail transport</t>
  </si>
  <si>
    <t>A.2.14. Rail transport</t>
  </si>
  <si>
    <t>A.2.14. Infrastructure for rail transport</t>
  </si>
  <si>
    <t>Infrastructure for rail transport</t>
  </si>
  <si>
    <t>Construction, updating, maintenance and operation of railways, subways and civil and safety infrastructure</t>
  </si>
  <si>
    <r>
      <rPr>
        <b/>
        <sz val="8"/>
        <rFont val="Santander Text"/>
        <family val="2"/>
      </rPr>
      <t xml:space="preserve">What is it? </t>
    </r>
    <r>
      <rPr>
        <sz val="8"/>
        <rFont val="Santander Text"/>
        <family val="2"/>
      </rPr>
      <t>Construction, updating, maintenance and operation of railways, subways and civil and safety infrastructure</t>
    </r>
  </si>
  <si>
    <t>Meets ALL applicable criteria _
5. Development / improvement of railway infrastructure _
6.  Primary purpose (over 25% share) is NOT transportation of fossil fuel freight _</t>
  </si>
  <si>
    <t>Meets ALL applicable criteria _
1.Electrified trackside infrastructure or subsystem. _
2. Infrastructure and installations dedicated to transshipping freight or passengers' transportation._
3.Digital tools to enable an increase in efficiency, capacity or energy saving. _
4. NOT dedicated to the transport of fossil fuels. _</t>
  </si>
  <si>
    <t>Hydrogen powered-vehicles</t>
  </si>
  <si>
    <t>A.2.21. Hydrogen powered-vehicles</t>
  </si>
  <si>
    <t>Meets ALL applicable criteria _
1. Hydrogen-powered vehicles (green and blue hydrogen) _
2. Primary purpose is NOT the transportation of fossil fuel freight _</t>
  </si>
  <si>
    <t>Construction and Real Estate</t>
  </si>
  <si>
    <t>Construction of new buildings</t>
  </si>
  <si>
    <t>Spain - Construction of residential buildings</t>
  </si>
  <si>
    <t>A.3.1.1.1.  Spain - Construction of residential buildings</t>
  </si>
  <si>
    <t>A.3.1.1.1. Construction of new residential buildings  Spain</t>
  </si>
  <si>
    <t>Construction of new residential buildings  Spain</t>
  </si>
  <si>
    <t>Construction projects for residential buildings with a view to sell them.</t>
  </si>
  <si>
    <r>
      <rPr>
        <b/>
        <sz val="8"/>
        <rFont val="Santander Text"/>
        <family val="2"/>
      </rPr>
      <t>What is it?</t>
    </r>
    <r>
      <rPr>
        <sz val="8"/>
        <rFont val="Santander Text"/>
        <family val="2"/>
      </rPr>
      <t xml:space="preserve"> Construction projects for residential buildings with a view to sell them.
</t>
    </r>
    <r>
      <rPr>
        <b/>
        <sz val="8"/>
        <rFont val="Santander Text"/>
        <family val="2"/>
      </rPr>
      <t>What is it not?</t>
    </r>
    <r>
      <rPr>
        <sz val="8"/>
        <rFont val="Santander Text"/>
        <family val="2"/>
      </rPr>
      <t xml:space="preserve"> Any building larger than 5,000 m2 or place out of Spain</t>
    </r>
  </si>
  <si>
    <r>
      <rPr>
        <sz val="8"/>
        <color rgb="FF000000"/>
        <rFont val="Santander Text"/>
      </rPr>
      <t xml:space="preserve">Meets ONE applicable criterion _
4.  New buildings provide ONE of the following certificates:
</t>
    </r>
    <r>
      <rPr>
        <sz val="8"/>
        <color rgb="FFFF0000"/>
        <rFont val="Santander Text"/>
      </rPr>
      <t xml:space="preserve">a. </t>
    </r>
    <r>
      <rPr>
        <sz val="8"/>
        <color rgb="FF000000"/>
        <rFont val="Santander Text"/>
      </rPr>
      <t xml:space="preserve">Top 15% energy efficiency of the national or regional building stock. 
- C or above in Andalucía, Aragón, Baleares, Castilla y León, Castilla-La Mancha, Ceuta, Galicia, Madrid, Melilla, Navarra, La Rioja
- D or above in Asturias, Canarias, Cantabria, Cataluña, Extremadura, Murcia, País Vasco, Valencia
b. LEED (Gold or above) 
c. BREEAM (Excellent or above where “Very good” can be acceptable with a minimum score of 70% in the Energy category) 
d. DGNB Certification (Gold or above) 
e. EDGE (Advanced or Zero Carbon) 
f. 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</si>
  <si>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buidings’ construction region and climatic zone (please see table below):
[TABLE A.3.1.1.1.] _
2.1. Buildings over 5,000 m2 must undergo airtightness checks and disclose life-cycle GWP to investors and clients._
3. Complies ALL Circular Economy Criteria:
- Waste identification, separation, processing, management, collection and recycling (rate 90%) using sorting systems and pre-demolition audits.
- Building’s GWP life-cycle calculated and disclosed to stakeholders upon request.
- EU level 2 reporting framework adaptability proven design.
- Secondary materials use and measured with electronic tools. 
 -Concrete/ Glass/ Brick / Ceramic : max. 70% primary raw material.
 -Bio-bassed: max. 80% primary raw material.
 -Non bio-based plastic: max. 50% primary raw material.
 -Metals: max. 30% primary raw material.
 -Gypsum: max. 65% primary raw material.
- ISO 22057:2022 Environmental Product Declaration  _</t>
  </si>
  <si>
    <t>7) Affordable and clean energy
9) Industry, innovation and infrastructure
11) Sustainable cities and communities</t>
  </si>
  <si>
    <t>Spain - Construction of commercial buildings</t>
  </si>
  <si>
    <t>A.3.1.1.2. Spain - Construction of commercial buildings</t>
  </si>
  <si>
    <r>
      <rPr>
        <sz val="8"/>
        <color rgb="FF000000"/>
        <rFont val="Santander Text"/>
        <family val="2"/>
      </rPr>
      <t>A.3.1.1.2. Construction of new commercial buildings</t>
    </r>
    <r>
      <rPr>
        <strike/>
        <sz val="8"/>
        <color rgb="FFFF0000"/>
        <rFont val="Santander Text"/>
        <family val="2"/>
      </rPr>
      <t xml:space="preserve"> </t>
    </r>
    <r>
      <rPr>
        <sz val="8"/>
        <color rgb="FF000000"/>
        <rFont val="Santander Text"/>
        <family val="2"/>
      </rPr>
      <t>in Spain</t>
    </r>
  </si>
  <si>
    <t>Construction of new commercial buildings in Spain</t>
  </si>
  <si>
    <t>Construction projects for non-residential buildings with a view to sell them</t>
  </si>
  <si>
    <r>
      <rPr>
        <b/>
        <sz val="8"/>
        <rFont val="Santander Text"/>
        <family val="2"/>
      </rPr>
      <t>What is it?</t>
    </r>
    <r>
      <rPr>
        <sz val="8"/>
        <rFont val="Santander Text"/>
        <family val="2"/>
      </rPr>
      <t xml:space="preserve"> Construction projects for non-residential buildings with a view to sell them.
</t>
    </r>
    <r>
      <rPr>
        <b/>
        <sz val="8"/>
        <rFont val="Santander Text"/>
        <family val="2"/>
      </rPr>
      <t>What is it not?</t>
    </r>
    <r>
      <rPr>
        <sz val="8"/>
        <rFont val="Santander Text"/>
        <family val="2"/>
      </rPr>
      <t xml:space="preserve"> Any building smaller than 5,000 m2 or placed out of Spain.</t>
    </r>
  </si>
  <si>
    <r>
      <rPr>
        <sz val="8"/>
        <color rgb="FF000000"/>
        <rFont val="Santander Text"/>
      </rPr>
      <t xml:space="preserve">Meets ONE applicable criterion _
4. New buildings provide ONE of the following certificates:
a. Top 15% energy efficiency of the national or regional building stock. 
- C or above in Andalucía, Aragón, Baleares, Castilla y León, Castilla-La Mancha, Ceuta, Galicia, Madrid, Melilla, Navarra, La Rioja. 
- D or above in Asturias, Canarias, Cantabria, Cataluña, Extremadura, Murcia, País Vasco, Valencia. 
b. LEED (Gold or above) 
c. BREEAM (Excellent or above where “Very good” can be acceptable with a minimum score of 70% in the Energy category) 
d. DGNB Certification (Gold or above) 
e. EDGE (Advanced or Zero Carbon) 
f. 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</si>
  <si>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buidings’ construction region and climatic zone (please see table below). Actual non modeled PED: 
[TABLE A.3.1.1.2.] 
For buildings larger than 5,000 m2 need to check for airtightness and thermal integrity deviations; as well as life-cycle GWP calculations are communicated to stakeholders. _
3. Complies ALL Circular Economy Criteria:
- Waste identification, separation, processing, management, collection and recycling (rate 90%) using sorting systems and pre-demolition audits.
-Building’s GWP life-cycle calculated and disclosed to stakeholders upon request.
-EU level 2 reporting framework adaptability proven design.
-Secondary materials use and measured with electronic tools. 
 -Concrete/ Glass/ Brick / Ceramic : max. 70% primary raw material.
 -Bio-bassed: max. 80% primary raw material.
 -Non bio-based plastic: max. 50% primary raw material.
  -Metals: max. 30% primary raw material.
 -Gypsum: max. 65% primary raw material.
-ISO 22057:2022 Environmental Product Declaration. _</t>
  </si>
  <si>
    <t>Portugal - Construction of residential buildings</t>
  </si>
  <si>
    <t>A.3.1.2.1. Portugal - Construction of residential buildings</t>
  </si>
  <si>
    <t>A.3.1.2.1. Construction of new residential buildings in Portugal</t>
  </si>
  <si>
    <t>Construction of new residential buildings in Portugal</t>
  </si>
  <si>
    <t>Construction projects for residential buildings with a view to sell them</t>
  </si>
  <si>
    <r>
      <rPr>
        <b/>
        <sz val="8"/>
        <rFont val="Santander Text"/>
        <family val="2"/>
      </rPr>
      <t>What is it?</t>
    </r>
    <r>
      <rPr>
        <sz val="8"/>
        <rFont val="Santander Text"/>
        <family val="2"/>
      </rPr>
      <t xml:space="preserve"> Construction projects for residential buildings with a view to sell them.
</t>
    </r>
    <r>
      <rPr>
        <b/>
        <sz val="8"/>
        <rFont val="Santander Text"/>
        <family val="2"/>
      </rPr>
      <t xml:space="preserve">What is it not? </t>
    </r>
    <r>
      <rPr>
        <sz val="8"/>
        <rFont val="Santander Text"/>
        <family val="2"/>
      </rPr>
      <t>Any building larger than 5,000 m2 or placed out of Portugal.</t>
    </r>
  </si>
  <si>
    <r>
      <rPr>
        <sz val="8"/>
        <color rgb="FF000000"/>
        <rFont val="Santander Text"/>
      </rPr>
      <t xml:space="preserve">Meets ONE applicable criterion _
4. New buildings provide ONE of the following certificates:
a. Top 15% energy efficiency of the national or regional building stock (EPC is B or above)
b. LEED (Gold or above) 
c. BREEAM (Excellent or above where “Very good” can be acceptable with a minimum score of 70% in the Energy category) 
d. DGNB Certification (Gold or above) 
e. EDGE (Advanced or Zero Carbon) 
f. Passivhaus (Classic or above)
g. Home Quality Mark (4 starts or above)
h. NABERS (4,5 stars or above)
i. PBE Edificia (ENCE rating B)
j. Lider A (C Level or above, as long it complies with Top 15%)
k. Adene Certificação de eficiência energética e qualidade do ar (SCE – A or above classification, as long it represents the top. 15% more efficient)
l. Austin Energy Green Buildings
m. BEAM Plus
n. SCE
o. CCS CASA Colombia
p. Green Building Initiative
q. WELL
</t>
    </r>
    <r>
      <rPr>
        <sz val="8"/>
        <color rgb="FFFF0000"/>
        <rFont val="Santander Text"/>
      </rPr>
      <t>r.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</si>
  <si>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New buildings with actual, non-modelled, RNT below 0.45. _
For buildings larger than 5,000 m2 need to check for airtightness and thermal integrity deviations; as well as life-cycle GWP calculations are communicated to stakeholders._
3. Complies ALL Circular Economy Criteria:
- Waste identification, separation, processing, management, collection and recycling (rate 90%) using sorting systems and pre-demolition audits.
-Building’s GWP life-cycle calculated and disclosed to stakeholders upon request.
-EU level 2 reporting framework adaptability proven design.
-Secondary materials use and measured with electronic tools. 
 -Concrete/ Glass/ Brick / Ceramic : max. 70% primary raw material.
 -Bio-bassed: max. 80% primary raw material.
 -Non bio-based plastic: max. 50% primary raw material.
  -Metals: max. 30% primary raw material.
 -Gypsum: max. 65% primary raw material.
-ISO 22057:2022 Environmental Product Declaration. _</t>
  </si>
  <si>
    <t>Portugal - Construction of commercial buildings</t>
  </si>
  <si>
    <t>A.3.1.2.2. Portugal - Construction of commercial buildings</t>
  </si>
  <si>
    <r>
      <rPr>
        <sz val="8"/>
        <color rgb="FF000000"/>
        <rFont val="Santander Text"/>
        <family val="2"/>
      </rPr>
      <t xml:space="preserve">A.3.1.2.2. Construction of new commercial buildings </t>
    </r>
    <r>
      <rPr>
        <strike/>
        <sz val="8"/>
        <color rgb="FFFF0000"/>
        <rFont val="Santander Text"/>
        <family val="2"/>
      </rPr>
      <t xml:space="preserve"> </t>
    </r>
    <r>
      <rPr>
        <sz val="8"/>
        <color rgb="FF000000"/>
        <rFont val="Santander Text"/>
        <family val="2"/>
      </rPr>
      <t xml:space="preserve">in Portugal
</t>
    </r>
  </si>
  <si>
    <t xml:space="preserve">Construction of new commercial buildings  in Portugal
</t>
  </si>
  <si>
    <t>Construction projects for non-residential buildings with a view to sell them.</t>
  </si>
  <si>
    <r>
      <rPr>
        <b/>
        <sz val="8"/>
        <rFont val="Santander Text"/>
        <family val="2"/>
      </rPr>
      <t xml:space="preserve">What is it? </t>
    </r>
    <r>
      <rPr>
        <sz val="8"/>
        <rFont val="Santander Text"/>
        <family val="2"/>
      </rPr>
      <t xml:space="preserve">Construction projects for non-residential buildings with a view to sell them.
</t>
    </r>
    <r>
      <rPr>
        <b/>
        <sz val="8"/>
        <rFont val="Santander Text"/>
        <family val="2"/>
      </rPr>
      <t>What is it not?</t>
    </r>
    <r>
      <rPr>
        <sz val="8"/>
        <rFont val="Santander Text"/>
        <family val="2"/>
      </rPr>
      <t xml:space="preserve"> Any building smaller than 5,000 m2 or placed out of Portugal.</t>
    </r>
  </si>
  <si>
    <t>Meets ONE applicable criterion _
1. Current / expected obtention of ONE of the following certificates:
a. HQE SB v4. Certification 
b.  PED that is 10% below the Net Zero Energy Building Certification™ (NZEB) 
c. Low-Carbon Buildings Climate Bond Initiative (CBI) Certification _
2. 
- New buildings with actual, non-modelled, RIEE below 0.675.
- For buildings larger than 5,000 m2, airtightness and thermal integrity deviations; as well as life-cycle GWP calculations are communicated to stakeholders. _
3. Complies ALL Circular Economy Criteria:
- Waste identification, separation, processing, management, collection and recycling (rate 90%) using sorting systems and pre-demolition audits.
-Building’s GWP life-cycle calculated and disclosed to stakeholders upon request.
-EU level 2 reporting framework adaptability proven design.
-Secondary materials use and measured with electronic tools. 
 -Concrete/ Glass/ Brick / Ceramic : max. 70% primary raw material.
 -Bio-bassed: max. 80% primary raw material.
 -Non bio-based plastic: max. 50% primary raw material.
  -Metals: max. 30% primary raw material.
 -Gypsum: max. 65% primary raw material.
-ISO 22057:2022 Environmental Product Declaration. _</t>
  </si>
  <si>
    <t>Poland - Construction of residential buildings</t>
  </si>
  <si>
    <t>A.3.1.3.1. Poland - Construction of residential buildings</t>
  </si>
  <si>
    <t xml:space="preserve">A.3.1.3.1. Construction of new residential buildings in Poland </t>
  </si>
  <si>
    <t xml:space="preserve">Construction of new residential buildings in Poland </t>
  </si>
  <si>
    <r>
      <rPr>
        <b/>
        <sz val="8"/>
        <rFont val="Santander Text"/>
        <family val="2"/>
      </rPr>
      <t xml:space="preserve">What is it? </t>
    </r>
    <r>
      <rPr>
        <sz val="8"/>
        <rFont val="Santander Text"/>
        <family val="2"/>
      </rPr>
      <t xml:space="preserve">Construction projects for residential buildings with a view to sell them.
</t>
    </r>
    <r>
      <rPr>
        <b/>
        <sz val="8"/>
        <rFont val="Santander Text"/>
        <family val="2"/>
      </rPr>
      <t>What is it not?</t>
    </r>
    <r>
      <rPr>
        <sz val="8"/>
        <rFont val="Santander Text"/>
        <family val="2"/>
      </rPr>
      <t xml:space="preserve"> Any building larger than 5,000 m2 or placed out of Poland.</t>
    </r>
  </si>
  <si>
    <r>
      <rPr>
        <sz val="8"/>
        <color rgb="FF000000"/>
        <rFont val="Santander Text"/>
      </rPr>
      <t xml:space="preserve">Meets ONE applicable criterion _
4. New buildings provide ONE of the following certificates:
a. Top 15% energy efficiency of the national or regional building stock (PED).
b. LEED (Gold or above) 
c. BREEAM (Excellent or above where “Very good” can be acceptable with a minimum score of 70% in the Energy category) 
d. DGNB Certification (Gold or above) 
e. EDGE (Advanced or Zero Carbon) 
f. 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</si>
  <si>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Actual, non-modelled Primary Energy Demand (PED) below 63/kWh/m2/year for single famiy residential properties; 58,5 kWh/m2/year for multifamily residential properties; 67,5 kWh/m2/year for collective residency buildings. _
- For buildings larger than 5,000 m2, airtightness and thermal integrity deviations; as well as life-cycle GWP calculations are communicated to stakeholders._
3. Complies ALL Circular Economy Criteria:
- Waste identification, separation, processing, management, collection and recycling (rate 90%) using sorting systems and pre-demolition audits.
- Building’s GWP life-cycle calculated and disclosed to stakeholders upon request.
- EU level 2 reporting framework adaptability proven design.
- Secondary materials use and measured with electronic tools. 
  - Concrete/ Glass/ Brick / Ceramic : max. 70% primary raw material.
  - Bio-bassed: max. 80% primary raw material.
  - Non bio-based plastic: max. 50% primary raw material.
  - Metals: max. 30% primary raw material.
  - Gypsum: max. 65% primary raw material.
- ISO 22057:2022 Environmental Product Declaration. _</t>
  </si>
  <si>
    <t>Poland - Construction of commercial buildings</t>
  </si>
  <si>
    <t>A.3.1.3.2. Poland - Construction of commercial buildings</t>
  </si>
  <si>
    <t>A.3.1.3.2. Construction of new commercial buildings in Poland</t>
  </si>
  <si>
    <t>Construction of new commercial buildings in Poland</t>
  </si>
  <si>
    <r>
      <rPr>
        <b/>
        <sz val="8"/>
        <rFont val="Santander Text"/>
        <family val="2"/>
      </rPr>
      <t>What is it?</t>
    </r>
    <r>
      <rPr>
        <sz val="8"/>
        <rFont val="Santander Text"/>
        <family val="2"/>
      </rPr>
      <t xml:space="preserve"> Construction projects for non-residential buildings with a view to sell them.
</t>
    </r>
    <r>
      <rPr>
        <b/>
        <sz val="8"/>
        <rFont val="Santander Text"/>
        <family val="2"/>
      </rPr>
      <t>What is it not?</t>
    </r>
    <r>
      <rPr>
        <sz val="8"/>
        <rFont val="Santander Text"/>
        <family val="2"/>
      </rPr>
      <t xml:space="preserve"> Any building smaller than 5,000 m2 or placed out of Poland</t>
    </r>
  </si>
  <si>
    <r>
      <rPr>
        <sz val="8"/>
        <color rgb="FF000000"/>
        <rFont val="Santander Text"/>
      </rPr>
      <t xml:space="preserve">Meets ONE applicable criterion _
4. New buildings provide ONE of the following certificates:
a. Top 15% energy efficiency of the national or regional building stock
b. LEED (Gold or above) 
c. BREEAM (Excellent or above where “Very good” can be acceptable with a minimum score of 70% in the Energy category) 
d. DGNB Certification (Gold or above) 
e. EDGE (Advanced or Zero Carbon) 
f. 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</si>
  <si>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Actual, non-modelled Primary Energy Demand (PED) below 171/kWh/m2/year for public utility buildings (including hospitals, shoppings malls, offices and healthcare buildings); 40,5/kWh/m2/year for other public buildings or 63/kWh/m2/year for non-public buildings (utility, warehouses and production buildings). 
 For buildings larger than 5,000 m2, airtightness and termal integrity deviations; as well as life-cycle GWP calculations are communicated to stakeholders. _
3. Complies ALL Circular Economy Criteria:
-Waste identification, separation, processing, management, collection and recycling (rate 90%) using sorting systems and pre-demolition audits.
-Building’s GWP life-cycle calculated and disclosed to stakeholders upon request.
-EU level 2 reporting framework adaptability proven design.
-Secondary materials use and measured with electronic tools. 
  -Concrete/ Glass/ Brick / Ceramic : max. 70% primary raw material.
  -Bio-bassed: max. 80% primary raw material.
  -Non bio-based plastic: max. 50% primary raw material.
  -Metals: max. 30% primary raw material.
  -Gypsum: max. 65% primary raw material.
- ISO 22057:2022 Environmental Product Declaration. _</t>
  </si>
  <si>
    <t>UK- Construction of residential buildings</t>
  </si>
  <si>
    <t>A.3.1.4.1. UK- Construction of residential buildings</t>
  </si>
  <si>
    <r>
      <rPr>
        <sz val="8"/>
        <color rgb="FF000000"/>
        <rFont val="Santander Text"/>
        <family val="2"/>
      </rPr>
      <t>A.3.1.4.1. Construction of new residential buildings</t>
    </r>
    <r>
      <rPr>
        <strike/>
        <sz val="8"/>
        <color rgb="FFFF0000"/>
        <rFont val="Santander Text"/>
        <family val="2"/>
      </rPr>
      <t xml:space="preserve"> </t>
    </r>
    <r>
      <rPr>
        <sz val="8"/>
        <color rgb="FF000000"/>
        <rFont val="Santander Text"/>
        <family val="2"/>
      </rPr>
      <t>in the UK</t>
    </r>
  </si>
  <si>
    <t>Construction of new residential buildings in the UK</t>
  </si>
  <si>
    <r>
      <rPr>
        <b/>
        <sz val="8"/>
        <rFont val="Santander Text"/>
        <family val="2"/>
      </rPr>
      <t xml:space="preserve">What is it? </t>
    </r>
    <r>
      <rPr>
        <sz val="8"/>
        <rFont val="Santander Text"/>
        <family val="2"/>
      </rPr>
      <t xml:space="preserve">Construction projects for residential buildings in UK territory with a view to sell them.
</t>
    </r>
    <r>
      <rPr>
        <b/>
        <sz val="8"/>
        <rFont val="Santander Text"/>
        <family val="2"/>
      </rPr>
      <t>What is it not?</t>
    </r>
    <r>
      <rPr>
        <sz val="8"/>
        <rFont val="Santander Text"/>
        <family val="2"/>
      </rPr>
      <t xml:space="preserve"> Any building larger than 5,000 m2 or placed out of UK.</t>
    </r>
  </si>
  <si>
    <r>
      <rPr>
        <sz val="8"/>
        <color rgb="FF000000"/>
        <rFont val="Santander Text"/>
      </rPr>
      <t xml:space="preserve">Meets ONE applicable criterion _
4. New buildings provide ONE of the following certificates:
a. Top 15% energy efficiency of the national or regional building stock (EPC above B)
b. LEED (Gold or above) 
c. BREEAM (Excellent or above where “Very good” can be acceptable with a minimum score of 70% in the Energy category) 
d. DGNB Certification (Gold or above) 
e. EDGE (Advanced or Zero Carbon) 
f. 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</si>
  <si>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1.Current / expected obtention of ONE of the following certificates:
a. HQE SB v4. Certification 
b. PED that is 10% below the Net Zero Energy Building Certification™ (NZEB) 
c. Low-Carbon Buildings Climate Bond Initiative (CBI) certification _
2. 
- Actual, non-modelled Primary Energy Demand (PED) below 40/kWh/m2/year.
- For buildings larger than 5,000 m2, airtightness and thermal integrity deviations; as well as life-cycle GWP calculations are communicated to stakeholders. _
3. Complies ALL Circular Economy Criteria:
-Waste identification, separation, processing, management, collection and recycling (rate 90%) using sorting systems and pre-demolition audits.
-Building’s GWP life-cycle calculated and disclosed to stakeholders upon request.
-EU level 2 reporting framework adaptability proven design.
-Secondary materials use and measured with electronic tools. 
  -Concrete/ Glass/ Brick / Ceramic : max. 70% primary raw material.
  -Bio-bassed: max. 80% primary raw material.
  -Non bio-based plastic: max. 50% primary raw material.
  -Metals: max. 30% primary raw material.
  -Gypsum: max. 65% primary raw material.
- ISO 22057:2022 Environmental Product Declaration. _</t>
  </si>
  <si>
    <t>Rest of countries - Construction of residential buildings</t>
  </si>
  <si>
    <t>A.3.1.5.1.  Rest of countries - Construction of residential buildings</t>
  </si>
  <si>
    <t>A.3.1.5.1. Construction of new residential buildings in all other countries (including EU and non-EU)</t>
  </si>
  <si>
    <t>Construction of new residential buildings in all other countries (including EU and non-EU)</t>
  </si>
  <si>
    <t xml:space="preserve">Construction projects for residential buildings with a view to sell them
</t>
  </si>
  <si>
    <r>
      <rPr>
        <b/>
        <sz val="8"/>
        <rFont val="Santander Text"/>
        <family val="2"/>
      </rPr>
      <t>What is it?</t>
    </r>
    <r>
      <rPr>
        <sz val="8"/>
        <rFont val="Santander Text"/>
        <family val="2"/>
      </rPr>
      <t xml:space="preserve"> Construction projects for residential buildings with a view to sell them.
</t>
    </r>
    <r>
      <rPr>
        <b/>
        <sz val="8"/>
        <rFont val="Santander Text"/>
        <family val="2"/>
      </rPr>
      <t>What is it not?</t>
    </r>
    <r>
      <rPr>
        <sz val="8"/>
        <rFont val="Santander Text"/>
        <family val="2"/>
      </rPr>
      <t xml:space="preserve"> Any building larger than 5,000 m2 or place in Spain, Portugal, Poland or UK</t>
    </r>
  </si>
  <si>
    <r>
      <rPr>
        <sz val="8"/>
        <color rgb="FF000000"/>
        <rFont val="Santander Text"/>
      </rPr>
      <t>Meets ONE applicable criterion _
4. Current / Expected obtention of one of those certificates &amp; scores:
a. EPC Certificate / PED on top 15% (see table below*).
b. LEED (Gold or above).
c. BREEAM (Excellent or above / “Very good” with minimum score of 70% in Energy category.
d. DGNB Certification (Gold or above).
e. EDGE (Advanced or Zero Carbon); EDGE (Certified – Level 1) for Chile, Brazil, Uruguay, Colombia</t>
    </r>
    <r>
      <rPr>
        <sz val="8"/>
        <color rgb="FFFF0000"/>
        <rFont val="Santander Text"/>
      </rPr>
      <t>,</t>
    </r>
    <r>
      <rPr>
        <strike/>
        <sz val="8"/>
        <color rgb="FFFF0000"/>
        <rFont val="Santander Text"/>
      </rPr>
      <t xml:space="preserve"> and</t>
    </r>
    <r>
      <rPr>
        <sz val="8"/>
        <color rgb="FF000000"/>
        <rFont val="Santander Text"/>
      </rPr>
      <t xml:space="preserve"> Peru</t>
    </r>
    <r>
      <rPr>
        <strike/>
        <sz val="8"/>
        <color rgb="FFFF0000"/>
        <rFont val="Santander Text"/>
      </rPr>
      <t>.</t>
    </r>
    <r>
      <rPr>
        <sz val="8"/>
        <color rgb="FFFF0000"/>
        <rFont val="Santander Text"/>
      </rPr>
      <t xml:space="preserve">, Argentina, or any other country where an equivalent assessment can be performed, demostrating buildings with this certification are part of Top15%
</t>
    </r>
    <r>
      <rPr>
        <sz val="8"/>
        <color rgb="FF000000"/>
        <rFont val="Santander Text"/>
      </rPr>
      <t xml:space="preserve">f. Energy Star for Buildings (85 or above)
g. Green Globes (Three globes or above)
h. HQE (Excellent or above)
i. Living Building Challenges
j. Minergie (Minergie-A and Standard Minergie)
k. Passivhaus (Classic or above)
l. Aqua-HQE (Excellent or above)
m. Calificacion Energetica de Viviendas CEV (Rating A and B
n. Eco-casa (Level 1 or above)
o. NGBS (Gold or above)
p. Home Quality Mark (4 starts or above)
q. NABERS (4,5 stars or above)
r. PBE Edificia (ENCE rating B)
s. CCCS CASA Colombia v3.0
t. Austin Energy Green Buildings
u. BEAM Plus
v. SCE
w. Green Building Initiative
x. WELL
y. Lider A
</t>
    </r>
    <r>
      <rPr>
        <sz val="8"/>
        <color rgb="FFFF0000"/>
        <rFont val="Santander Text"/>
      </rPr>
      <t>z.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</si>
  <si>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buiLdings’ construction year, region and climatic zone (please see table below*).
[TABLE A.3.1.5.1.] _
For buildings larger than 5,000 m2, airtightness and thermal integrity deviations; as well as life-cycle GWP calculations are communicated to stakeholders. _
3. Complies ALL Circular Economy Criteria:
- Waste identification, separation, processing, management, collection and recycling (rate 90%) using sorting systems and pre-demolition audits.
- Building’s GWP life-cycle calculated and disclosed to stakeholders upon request.
- EU level 2 reporting framework adaptability proven design.
- Secondary materials use and measured with electronic tools. 
     - Concrete/ Glass/ Brick / Ceramic : max. 70% primary raw material
     - Bio-bassed: max. 80% primary raw material
    - Non bio-based plastic: max. 50% primary raw material
    - Metals: max. 30% primary raw material
    - Gypsum: max. 65% primary raw material
- ISO 22057:2022 Environmental Product Declaration. _</t>
  </si>
  <si>
    <t>Rest of countries &amp; UK- Construction of commercial buildings</t>
  </si>
  <si>
    <t>A.3.1.5.2.  Rest of countries &amp; UK- Construction of commercial buildings</t>
  </si>
  <si>
    <r>
      <rPr>
        <sz val="8"/>
        <color rgb="FF000000"/>
        <rFont val="Santander Text"/>
        <family val="2"/>
      </rPr>
      <t>A.3.1.5.2. Construction of new commercial buildings</t>
    </r>
    <r>
      <rPr>
        <strike/>
        <sz val="8"/>
        <color rgb="FFFF0000"/>
        <rFont val="Santander Text"/>
        <family val="2"/>
      </rPr>
      <t xml:space="preserve"> </t>
    </r>
    <r>
      <rPr>
        <sz val="8"/>
        <color rgb="FF000000"/>
        <rFont val="Santander Text"/>
        <family val="2"/>
      </rPr>
      <t>in all other countries (including EU and non-EU)</t>
    </r>
  </si>
  <si>
    <t>Construction of new commercial buildings in all other countries (including EU and non-EU)</t>
  </si>
  <si>
    <t xml:space="preserve">Construction projects for non-residential buildings with a view to sell them.
</t>
  </si>
  <si>
    <r>
      <rPr>
        <b/>
        <sz val="8"/>
        <rFont val="Santander Text"/>
        <family val="2"/>
      </rPr>
      <t>What is it?</t>
    </r>
    <r>
      <rPr>
        <sz val="8"/>
        <rFont val="Santander Text"/>
        <family val="2"/>
      </rPr>
      <t xml:space="preserve"> Construction projects for non-residential buildings with a view to sell them.
</t>
    </r>
    <r>
      <rPr>
        <b/>
        <sz val="8"/>
        <rFont val="Santander Text"/>
        <family val="2"/>
      </rPr>
      <t xml:space="preserve">What is it not? </t>
    </r>
    <r>
      <rPr>
        <sz val="8"/>
        <rFont val="Santander Text"/>
        <family val="2"/>
      </rPr>
      <t>Any building smaller than 5,000 m2 or placed in Spain, Portugal, Poland.</t>
    </r>
  </si>
  <si>
    <r>
      <rPr>
        <sz val="8"/>
        <color rgb="FF000000"/>
        <rFont val="Santander Text"/>
      </rPr>
      <t>Meets ONE applicable criterion _
4. Current / Expected obtention of one of those certificates &amp; scores:
a. EPC Certificate / PED on top 15% (see table below*).
b. LEED (Gold or above).
c. BREEAM (Excellent or above / “Very good” with minimum score of 70% in Energy category.
d. DGNB Certification (Gold or above).
e. EDGE (Advanced or Zero Carbon); EDGE (Certified – Level 1) for Chile, Brazil, Uruguay, Colombia,</t>
    </r>
    <r>
      <rPr>
        <strike/>
        <sz val="8"/>
        <color rgb="FFFF0000"/>
        <rFont val="Santander Text"/>
      </rPr>
      <t xml:space="preserve"> and </t>
    </r>
    <r>
      <rPr>
        <sz val="8"/>
        <color rgb="FF000000"/>
        <rFont val="Santander Text"/>
      </rPr>
      <t>Peru</t>
    </r>
    <r>
      <rPr>
        <strike/>
        <sz val="8"/>
        <color rgb="FFFF0000"/>
        <rFont val="Santander Text"/>
      </rPr>
      <t>.</t>
    </r>
    <r>
      <rPr>
        <sz val="8"/>
        <color rgb="FFFF0000"/>
        <rFont val="Santander Text"/>
      </rPr>
      <t xml:space="preserve">, Argentina, or any other country where an equivalent assessment can be performed, demostrating buildings with this certification are part of Top15%
</t>
    </r>
    <r>
      <rPr>
        <sz val="8"/>
        <color rgb="FF000000"/>
        <rFont val="Santander Text"/>
      </rPr>
      <t xml:space="preserve">f. Passivhaus (Classic or above)
g. Energy Star for Buildings (85 or above)
h. Green Globes (Three globes or above)
i. HQE (Excellent or above)
j. Living Building Challenges
k. Minergie (Minergie-A and Standard Minergie)
l. Calificacion Energetica de Viviendas CEV (Rating A and B
m. Eco-casa (Level 1 or above)
n. NGBS (Gold or above)
o. Home Quality Mark (4 starts or above)
p. NABERS (4,5 stars or above)
q. PBE Edificia (ENCE rating B)
r. CCCS CASA Colombia v3.0
s. Austin Energy Green Buildings
t. BEAM Plus
u. SCE
v. Green Building Initiative
w. WELL
x. Lider A
</t>
    </r>
    <r>
      <rPr>
        <sz val="8"/>
        <color rgb="FFFF0000"/>
        <rFont val="Santander Text"/>
      </rPr>
      <t>y.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</si>
  <si>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 Complies with the established thresholds and scores according to the buidings’ construction year, region and climatic zone (please see table below*). 
[TABLE A.3.1.5.2.]
- For buildings larger than 5,000m2, airtightness and thermal integrity deviations; as well as life-cycle GWP calculations are communicated to stakeholders. _
3. Complies ALL Circular Economy Criteria:
- Waste identification, separation, processing, management, collection and recycling (rate 90%) using sorting systems and pre-demolition audits.
- Building’s GWP life-cycle calculated and disclosed to stakeholders upon request.
- EU level 2 reporting framework adaptability proven design.
- Secondary materials use and measured with electronic tools. 
    - Concrete/ Glass/ Brick / Ceramic : max. 70% primary raw material.
    - Bio-bassed: max. 80% primary raw material.
    - Non bio-based plastic: max. 50% primary raw material.
     - Metals: max. 30% primary raw material.
     - Gypsum: max. 65% primary raw material.
- ISO 22057:2022 Environmental Product Declaration. _</t>
  </si>
  <si>
    <t>A.3.2. Renovation of existing Buildings</t>
  </si>
  <si>
    <t>N/A</t>
  </si>
  <si>
    <t>A.3.2. Renovation of existing buildings</t>
  </si>
  <si>
    <t>Renovation of existing buildings</t>
  </si>
  <si>
    <t>Construction and civil engineering works or preparation thereof</t>
  </si>
  <si>
    <r>
      <rPr>
        <b/>
        <sz val="8"/>
        <rFont val="Santander Text"/>
        <family val="2"/>
      </rPr>
      <t xml:space="preserve">What is it? </t>
    </r>
    <r>
      <rPr>
        <sz val="8"/>
        <rFont val="Santander Text"/>
        <family val="2"/>
      </rPr>
      <t>Construction and civil engineering works or preparation thereof.</t>
    </r>
  </si>
  <si>
    <r>
      <rPr>
        <sz val="8"/>
        <color rgb="FF000000"/>
        <rFont val="Santander Text"/>
      </rPr>
      <t xml:space="preserve">Meets ONE applicable criterion _
4. Current / Expected obtention of one of those certificates &amp; scores </t>
    </r>
    <r>
      <rPr>
        <sz val="8"/>
        <color rgb="FFFF0000"/>
        <rFont val="Santander Text"/>
      </rPr>
      <t>(as a result of financing received or to be received)</t>
    </r>
    <r>
      <rPr>
        <sz val="8"/>
        <color rgb="FF000000"/>
        <rFont val="Santander Text"/>
      </rPr>
      <t xml:space="preserve">:
a. EPC within top 15% of the national/regional building stock, such as:
  - Spain:
       - C or above in Andalucía, Aragón, Baleares, Castilla y León, Castilla-La Mancha, Ceuta, Galicia, Madrid, Melilla, Navarra, La Rioja
      - D or above in Asturias, Canarias, Cantabria, Cataluña, Extremadura, Murcia, País Vasco, Valencia
  - Portugal: EPC rating B
  - Poland: EPC with PED &lt; 76,59 if residential / 118,2 if commercial
  - UK: EPC rating B for England, Scotland, Wales and Northern Ireland (SAP&gt;79)
  - Other countries: to be determined locally
b. LEED (Gold or above)
c. BREEAM (Excellent or above / “Very good” with minimum score of 70% in Energy category)
d. EDGE (Advanced (L2) or Zero Carbon (L3) for EU / developed countries)
e. EDGE certified (L1) for emerging markets
f. Passivhaus (Classic or above)
g. Energy Star for Buildings (85 or above)
h. Green Globes (Three globes or above)
i. Minergie (Minergie A and Standard Minergie)
j. Calificacion Energetica de Viviendas CEV (Rating A &amp; A+)
k. NGBS (Gold or above)
l. Aqua-HQE (Excellent or above)
m. BCA Greenmark (Gold Plus or above)
n. Adene Certificação de eficiência energética e qualidade do ar (SCE)
o. Home Quality Mark (4 starts or above)
p. NABERS (4,5 stars or above)
q. Austin Energy Green Buildings
r. BEAM Plus
s. Lider A
</t>
    </r>
    <r>
      <rPr>
        <sz val="8"/>
        <color rgb="FFFF0000"/>
        <rFont val="Santander Text"/>
      </rPr>
      <t xml:space="preserve">t. Phius CORE 2021
</t>
    </r>
    <r>
      <rPr>
        <strike/>
        <sz val="8"/>
        <color rgb="FFFF0000"/>
        <rFont val="Santander Text"/>
      </rPr>
      <t>t.</t>
    </r>
    <r>
      <rPr>
        <sz val="8"/>
        <color rgb="FFFF0000"/>
        <rFont val="Santander Text"/>
      </rPr>
      <t>u.</t>
    </r>
    <r>
      <rPr>
        <sz val="8"/>
        <color rgb="FF000000"/>
        <rFont val="Santander Text"/>
      </rPr>
      <t xml:space="preserve"> Equivalent Energy Efficiency Ratings. The benchmark for equivalents is the consequential energy ratings broadly align with the notion of being in the top 15% of energy efficiency for real estate in the region/country _</t>
    </r>
  </si>
  <si>
    <r>
      <rPr>
        <sz val="8"/>
        <color rgb="FF000000"/>
        <rFont val="Santander Text"/>
      </rPr>
      <t xml:space="preserve">Meets ONE applicable criterion _
1. Current / expected obtention of one of the following certificates </t>
    </r>
    <r>
      <rPr>
        <sz val="8"/>
        <color rgb="FFFF0000"/>
        <rFont val="Santander Text"/>
      </rPr>
      <t>(as a result of financing received or to be received)</t>
    </r>
    <r>
      <rPr>
        <sz val="8"/>
        <color rgb="FF000000"/>
        <rFont val="Santander Text"/>
      </rPr>
      <t xml:space="preserve">:
a. HQE SB v4. Certification 
b. DGNB System for Renovation of Buildings
c. </t>
    </r>
    <r>
      <rPr>
        <strike/>
        <sz val="8"/>
        <color rgb="FFFF0000"/>
        <rFont val="Santander Text"/>
      </rPr>
      <t xml:space="preserve">Net Zero Energy Building Certification™ (NZEB) </t>
    </r>
    <r>
      <rPr>
        <sz val="8"/>
        <color rgb="FFFF0000"/>
        <rFont val="Santander Text"/>
      </rPr>
      <t xml:space="preserve">PED that is 10% below the Net Zero Energy Building Certification™ (NZEB) 
</t>
    </r>
    <r>
      <rPr>
        <sz val="8"/>
        <color rgb="FF000000"/>
        <rFont val="Santander Text"/>
      </rPr>
      <t>d. Low-Carbon Buildings Climate Bond Initiative (CBI) Certification _
2. Retrofit of existing buildings that achieve a minimum 30% reduction in Primary Energy Demand (PED). _
3. Complies ALL Circular Economy Criteria:
- Waste identification, separation, processing, management, collection and recycling (rate 70%) using sorting systems and pre-demolition audits.
- Building’s GWP life-cycle calculated and disclosed to stakeholders upon request.
- EU level 2 reporting framework adaptability proven design.
- Secondary materials use and measured with electronic tools. 
- Concrete/ Glass/ Brick / Ceramic : max. 85% primary raw material.
      - Bio-bassed: max. 80% primary raw material
      - Non bio-based plastic: max. 75% primary raw material
      - Metals: max. 65% primary raw material
      - Gypsum: max. 83% primary raw material
ISO 22057:2022 Environmental Product Declaration _</t>
    </r>
  </si>
  <si>
    <t>Acquisition and ownership</t>
  </si>
  <si>
    <t xml:space="preserve">Spain - Acquisition of residential buildings </t>
  </si>
  <si>
    <t xml:space="preserve">A.3.7.1.1. Spain - Acquisition of residential buildings </t>
  </si>
  <si>
    <t>A.3.7.1.1. Acquisition and ownership of residential buildings in Spain</t>
  </si>
  <si>
    <t>Acquisition and ownership of residential buildings in Spain</t>
  </si>
  <si>
    <t>Acquisition and ownership of buildings</t>
  </si>
  <si>
    <t xml:space="preserve">Residential buildings acquisition
</t>
  </si>
  <si>
    <r>
      <rPr>
        <b/>
        <sz val="8"/>
        <rFont val="Santander Text"/>
        <family val="2"/>
      </rPr>
      <t>What is it?</t>
    </r>
    <r>
      <rPr>
        <sz val="8"/>
        <rFont val="Santander Text"/>
        <family val="2"/>
      </rPr>
      <t xml:space="preserve"> Residential buildings acquisition in Spanish territory and provides one of the following certificates:</t>
    </r>
  </si>
  <si>
    <r>
      <rPr>
        <sz val="8"/>
        <color rgb="FF000000"/>
        <rFont val="Santander Text"/>
      </rPr>
      <t xml:space="preserve">Meets ONE applicable criterion _
2. Complies with the established thresholds and scores according to the buildings’ construction year, region and climatic zone (please see table below*).
[TABLE A.3.7.1.1.]
In case of Santander criterion, consider minimum EPC if constructed  AFTER 2021. _
3. Current / Expected obtention of one of those certificates &amp; scores:
a.Criterion #2 applied to buildings constructed before 2021
b.LEED (Gold or above)
c.BREEAM (Excellent or above / “Very good” with minimum score of 70% in Energy category
d.DGNB Certification (Gold or above)
e.EDGE (Advanced or Zero Carbon)
f.Passivhaus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</si>
  <si>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buildings’ construction year, region and climatic zone (please see table below*).
[TABLE A.3.7.1.1.]
In case of Santander criterion, consider minimum EPC if constructed  AFTER 2021. _</t>
  </si>
  <si>
    <t xml:space="preserve">Spain - Acquisition of commercial buildings </t>
  </si>
  <si>
    <t xml:space="preserve">A.3.7.1.2.  Spain - Acquisition of commercial buildings </t>
  </si>
  <si>
    <t>A.3.7.1.2. Acquisition and ownership of commercial buildings  in Spain</t>
  </si>
  <si>
    <t>Acquisition and ownership of commercial buildings  in Spain</t>
  </si>
  <si>
    <t xml:space="preserve">Commercial buildings acquisition
</t>
  </si>
  <si>
    <r>
      <rPr>
        <b/>
        <sz val="8"/>
        <rFont val="Santander Text"/>
        <family val="2"/>
      </rPr>
      <t>What is it?</t>
    </r>
    <r>
      <rPr>
        <sz val="8"/>
        <rFont val="Santander Text"/>
        <family val="2"/>
      </rPr>
      <t xml:space="preserve"> Commercial buildings acquisition in Spanish territory and provides one of the following certificates:</t>
    </r>
  </si>
  <si>
    <r>
      <rPr>
        <sz val="8"/>
        <color rgb="FF000000"/>
        <rFont val="Santander Text"/>
      </rPr>
      <t xml:space="preserve">Meets ONE applicable criterion _
2. Complies with the established thresholds and scores according to the buildings’ construction year, region and climatic zone (please see table below*).
[TABLE A.3.7.1.2.]
In case of Santander criterion, consider minimum EPC if constructed  AFTER 2021. _
3. Current / Expected obtention of one of those certificates &amp; scores:
a.Criterion #2 applied to buildings constructed before 2021
b.LEED (Gold or above)
c.BREEAM (Excellent or above / “Very good” with minimum score of 70% in Energy category
d.DGNB Certification (Gold or above)
e.EDGE (Advanced or Zero Carbon)
f.Passivhaus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</si>
  <si>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buildings’ construction year, region and climatic zone (please see table below*).
[TABLE A.3.7.1.2.]
In case of Santander criterion, consider minimum EPC if constructed  AFTER 2021. _</t>
  </si>
  <si>
    <t xml:space="preserve">Portugal - Acquisition of residential buildings </t>
  </si>
  <si>
    <t xml:space="preserve">A.3.7.2.1. Portugal - Acquisition of residential buildings </t>
  </si>
  <si>
    <t>A.3.7.2.1. Acquisition and ownership of residential buildings in Portugal</t>
  </si>
  <si>
    <t>Acquisition and ownership of residential buildings in Portugal</t>
  </si>
  <si>
    <t>Residential buildings acquisition</t>
  </si>
  <si>
    <r>
      <rPr>
        <b/>
        <sz val="8"/>
        <rFont val="Santander Text"/>
        <family val="2"/>
      </rPr>
      <t xml:space="preserve">What is it? </t>
    </r>
    <r>
      <rPr>
        <sz val="8"/>
        <rFont val="Santander Text"/>
        <family val="2"/>
      </rPr>
      <t>Residential buildings acquisition in Portuguese territory that provides one of the following certificates:</t>
    </r>
  </si>
  <si>
    <r>
      <rPr>
        <sz val="8"/>
        <color rgb="FF000000"/>
        <rFont val="Santander Text"/>
      </rPr>
      <t xml:space="preserve">Meets ONE applicable criterion _
2. Complies with the established thresholds and scores according to the buildings’ construction year (please see table below).
[Table A.3.7.2.1.]
In case of Santander criterion, consider minimum EPC if constructed  AFTER 2021. _
3. Current / Expected obtention of one of those certificates &amp; scores:
a. Criterion #2 applied to buildings constructed before 2021
b. LEED (Gold or above)
c. BREEAM (Excellent or above / “Very good” with minimum score of 70% in Energy category
d. DGNB Certification (Gold or above)
e. EDGE (Advanced or Zero Carbon)
f. Passivhaus (Classic or above)
g. Home Quality Mark (4 starts or above)
h. NABERS (4,5 stars or above)
i. PBE Edificia (ENCE rating B)
j. Lider A (C Level or above, as long it complies with Top 15% more efficient if built before 31 December 2020).
k. Adene Certificação de eficiência energética e qualidade do ar (SCE – A or above classification, as long it represents the top. 15% more efficient if built before 31 December 2020)
l. Austin Energy Green Buildings
m. BEAM Plus
n. SCE
o. CCS CASA Colombia
p. Green Building Initiative
q. WELL
</t>
    </r>
    <r>
      <rPr>
        <sz val="8"/>
        <color rgb="FFFF0000"/>
        <rFont val="Santander Text"/>
      </rPr>
      <t>r. Phius CORE 2021 _</t>
    </r>
  </si>
  <si>
    <t>Meets ONE applicable criterion _
1. Current / expected obtention of one of the following certificates:
a. HQE SB v4. Certification 
b. PED is the 10% below the Net Zero Energy Building Certification™ (NZEB) 
c. Low-Carbon Buildings Climate Bond Initiative (CBI) Certification _
2. Complies with the established thresholds and scores according to the buildings’ construction year (please see table below).
[Table A.3.7.2.1.]
In case of Santander criterion, consider minimum EPC if constructed  AFTER 2021. _</t>
  </si>
  <si>
    <t xml:space="preserve">Portugal - Acquisition of commercial buildings </t>
  </si>
  <si>
    <t xml:space="preserve">A.3.7.2.2. Portugal - Acquisition of commercial buildings </t>
  </si>
  <si>
    <t>A.3.7.2.2.  Acquisition and ownership of commercial buildings in Portugal</t>
  </si>
  <si>
    <t>Acquisition and ownership of commercial buildings in Portugal</t>
  </si>
  <si>
    <r>
      <rPr>
        <b/>
        <sz val="8"/>
        <rFont val="Santander Text"/>
        <family val="2"/>
      </rPr>
      <t>What is it?</t>
    </r>
    <r>
      <rPr>
        <sz val="8"/>
        <rFont val="Santander Text"/>
        <family val="2"/>
      </rPr>
      <t xml:space="preserve"> Commercial buildings acquisition in Portuguese territory and provides one of the following certificates:</t>
    </r>
  </si>
  <si>
    <r>
      <rPr>
        <sz val="8"/>
        <color rgb="FF000000"/>
        <rFont val="Santander Text"/>
      </rPr>
      <t xml:space="preserve">Meets ONE applicable criterion _
2.  Complies with the established thresholds and scores according to the buildings’ construction year (please see table below).
[TABLE A.3.7.2.2.]
Consider minimum EPC if constructed  AFTER 2021. _
3. Current / Expected obtention of one of those certificates &amp; scores:
a. Criterion #2 applied to buildings constructed before 2021
b. LEED (Gold or above)
c. BREEAM (Excellent or above / “Very good” with minimum score of 70% in Energy category
d. DGNB Certification (Gold or above)
e. EDGE (Advanced or Zero Carbon)
f. Passivhaus (Classic or above)
g. Home Quality Mark (4 starts or above)
h. NABERS (4,5 stars or above)
i. PBE Edificia (ENCE rating B)
j. Lider A (C Level or above, as long it complies with Top 15% more efficient if built before 31 December 2020).
k. Adene Certificação de eficiência energética e qualidade do ar (SCE – A or above classification, as long it represents the top. 15% more efficient if built before 31 December 2020)
l. Austin Energy Green Buildings
m. BEAM Plus
n. SCE
o. CCS CASA Colombia
p. Green Building Initiative
q. WELL
</t>
    </r>
    <r>
      <rPr>
        <sz val="8"/>
        <color rgb="FFFF0000"/>
        <rFont val="Santander Text"/>
      </rPr>
      <t>r.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</si>
  <si>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buildings’ construction year (please see table below).
[TABLE A.3.7.2.2.]
Consider minimum EPC if constructed  AFTER 2021. _</t>
  </si>
  <si>
    <t>Poland – Acquisition of residential buildings</t>
  </si>
  <si>
    <t xml:space="preserve"> A.3.7.3.1. Poland – Acquisition of residential buildings</t>
  </si>
  <si>
    <t xml:space="preserve"> A.3.7.3.1. Acquisition and ownership of residential buildings in Poland</t>
  </si>
  <si>
    <t>Acquisition and ownership of residential buildings in Poland</t>
  </si>
  <si>
    <r>
      <rPr>
        <b/>
        <sz val="8"/>
        <rFont val="Santander Text"/>
        <family val="2"/>
      </rPr>
      <t>What is it?</t>
    </r>
    <r>
      <rPr>
        <sz val="8"/>
        <rFont val="Santander Text"/>
        <family val="2"/>
      </rPr>
      <t xml:space="preserve"> Residential buildings acquisition in Polish territory that provides one of the following certificates:</t>
    </r>
  </si>
  <si>
    <r>
      <rPr>
        <sz val="8"/>
        <color rgb="FF000000"/>
        <rFont val="Santander Text"/>
      </rPr>
      <t xml:space="preserve">Meets ONE applicable criterion _
2. Complies with the established thresholds and scores according to the buildings’ construction year (please see table below).
[TABLE A.3.7.3.1.]
In case of Santander criterion, consider minimum EPC if constructed AFTER 2021. _
3. New buildings provide ONE of the following certificates:
a. Top 15% energy efficiency of the national or regional building stock (PED) below 76.59/kWh/m2/year (as of November 2023).
b. LEED (Gold or above) 
c. BREEAM (Excellent or above where “Very good” can be acceptable with a minimum score of 70% in the Energy category) 
d. DGNB Certification (Gold or above) 
e. EDGE (Advanced or Zero Carbon) 
f. Passivhaus (Classic or above).	
g. Home Quality Mark (4 starts or above)
h. NABERS (4,5 stars or above)
i. PBE Edificia (ENCE rating B)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</si>
  <si>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buildings’ construction year (please see table below).
[TABLE A.3.7.3.1.]
In case of Santander criterion, consider minimum EPC if constructed AFTER 2021. _</t>
  </si>
  <si>
    <t xml:space="preserve">Poland - Acquisition of commercial buildings </t>
  </si>
  <si>
    <t xml:space="preserve"> A.3.7.3.2. Poland - Acquisition of commercial buildings </t>
  </si>
  <si>
    <t xml:space="preserve"> A.3.7.3.2. Acquisition and ownership of commercial buildings in Poland</t>
  </si>
  <si>
    <t>Acquisition and ownership of commercial buildings in Poland</t>
  </si>
  <si>
    <r>
      <rPr>
        <b/>
        <sz val="8"/>
        <rFont val="Santander Text"/>
        <family val="2"/>
      </rPr>
      <t>What is it?</t>
    </r>
    <r>
      <rPr>
        <sz val="8"/>
        <rFont val="Santander Text"/>
        <family val="2"/>
      </rPr>
      <t xml:space="preserve"> Commercial buildings acquisition in Polish territory that provides one of the following certificates:</t>
    </r>
  </si>
  <si>
    <r>
      <rPr>
        <sz val="8"/>
        <color rgb="FF000000"/>
        <rFont val="Santander Text"/>
      </rPr>
      <t xml:space="preserve">Meets ONE applicable criterion _
2. Meets the thresholds and scores set according to the year of construction of the buildings (see table below).
[TABLE A.3.7.3.2.]
For the Santander criterion, consider the minimum EPC if built AFTER 2021. _
3. Current/expected attainment of one of these certificates and scores:
a.  Buildings constructed after 31 December 2020 that are in the top 15% of energy efficiency (PED &lt; 118.26 kWh/m2/year in Poland).
b. LEED (Gold or higher)
c. BREEAM (Excellent or better / ‘Very good’ with a minimum score of 70 % in the Energy category)
d. DGNB certification (Gold or higher)
e. EDGE (Advanced or Zero Carbon)
f. Passivhaus (Classic or higher)
g. Home Quality Mark (4 stars or higher)
h. NABERS (4,5 stars or higher)
i. PBE Edificia (ENCE B-rated)
j. Austin Energy Green Buildings
k. BEAM Plus
l. SCE
m. CCS CASA Colombia
n. Green Building Initiative
o. WELL
p. Lider A
</t>
    </r>
    <r>
      <rPr>
        <sz val="8"/>
        <color rgb="FFFF0000"/>
        <rFont val="Santander Text"/>
      </rPr>
      <t>q. Phius CORE 2021 _</t>
    </r>
  </si>
  <si>
    <t>Meets ONE applicable criterion _
1. Current/previous attainment of one of the following certificates:
a. HQE SB v4. Certification 
b. PED that is 10% below Net Zero Energy Building Certification™ (NZEB). 
c. Climate Bonds Initiative (CBI) certification for low carbon buildings _.
2. Meets the thresholds and scores set according to the year of construction of the buildings (see table below).
[TABLE A.3.7.3.2.]
For the Santander criterion, consider the minimum EPC if built AFTER 2021. _</t>
  </si>
  <si>
    <t>UK – Acquisition of residential buildings</t>
  </si>
  <si>
    <t>A.3.7.4.1.  UK – Acquisition of residential buildings</t>
  </si>
  <si>
    <t>A.3.7.4.1. Acquisition and ownership of residential buildings in the UK</t>
  </si>
  <si>
    <t>Acquisition and ownership of residential buildings in the UK</t>
  </si>
  <si>
    <r>
      <rPr>
        <b/>
        <sz val="8"/>
        <rFont val="Santander Text"/>
        <family val="2"/>
      </rPr>
      <t>What is it?</t>
    </r>
    <r>
      <rPr>
        <sz val="8"/>
        <rFont val="Santander Text"/>
        <family val="2"/>
      </rPr>
      <t xml:space="preserve"> Residential buildings acquisition in UK territory that provides one of the following certificates:</t>
    </r>
  </si>
  <si>
    <r>
      <rPr>
        <sz val="8"/>
        <color rgb="FF000000"/>
        <rFont val="Santander Text"/>
      </rPr>
      <t xml:space="preserve">Meets ONE applicable criterion _
2. Complies with the established thresholds and scores according to the buidings’ construction year (please see table below).
[TABLE A.3.7.4.1.]
Case of Santander criterion: Consider minimum EPC if constructed  AFTER 2021. _
3. Current/expected attainment of one of these certificates and scores:
a. Buildings constructed after 31 December 2020 that are in the top 15% of stock energy performance (EPC B or above for England, Wales, Scotland and Northern Ireland (SAP above 79).
b. LEED (Gold or higher)
c. BREEAM (Excellent or better / ‘Very Good’ with a minimum score of 70% in the Energy category.
d. DGNB certification (Gold or higher)
e. EDGE (Advanced or Zero Carbon)
f. Passivhaus (Classic or higher)
g. Home Quality Mark (4 stars or higher)
h. NABERS (4.5 stars or higher)
i. PBE Edificia (ENCE B rating)
j. Austin Energy Green Buildings
k. BEAM Plus
l. SCE
m. CCS CASA Colombia
n. Green Building Initiative
o. WELL
p. Lider A
</t>
    </r>
    <r>
      <rPr>
        <sz val="8"/>
        <color rgb="FFFF0000"/>
        <rFont val="Santander Text"/>
      </rPr>
      <t>q.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</si>
  <si>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buidings’ construction year (please see table below).
[TABLE A.3.7.4.1.]
Case of Santander criterion: Consider minimum EPC if constructed  AFTER 2021. _</t>
  </si>
  <si>
    <t>Rest of countries - Acquisition of residential buildings</t>
  </si>
  <si>
    <t>A.3.7.5.1. Rest of countries - Acquisition of residential buildings</t>
  </si>
  <si>
    <t>A.3.7.5.1. Acquisition and ownership of residential buildings in all other countries (including EU and non-EU)</t>
  </si>
  <si>
    <t>Acquisition and ownership of residential buildings in all other countries (including EU and non-EU)</t>
  </si>
  <si>
    <r>
      <rPr>
        <b/>
        <sz val="8"/>
        <rFont val="Santander Text"/>
        <family val="2"/>
      </rPr>
      <t>What is it?</t>
    </r>
    <r>
      <rPr>
        <sz val="8"/>
        <rFont val="Santander Text"/>
        <family val="2"/>
      </rPr>
      <t xml:space="preserve"> Residential buildings acquisition in any territory (except Spain, Portugal, Poland and UK) that provides one of the following certificates:</t>
    </r>
  </si>
  <si>
    <r>
      <rPr>
        <sz val="8"/>
        <color rgb="FF000000"/>
        <rFont val="Santander Text"/>
      </rPr>
      <t>Meets ONE applicable criterion _
3. Current / Expected obtention of one of those certificates &amp; scores:
a. EPC Certificate (B in Italy)  / PED on top 15% (see table at criterion #2)
b. LEED (Gold or above)
c. BREEAM (Excellent or above / “Very good” with minimum score of 70% in Energy category
d. DGNB Certification (Gold or above)
e. EDGE (Advanced or Zero Carbon); EDGE (Certified – Level 1) for Chile, Brazil, Argentina, Uruguay, Colombia</t>
    </r>
    <r>
      <rPr>
        <sz val="8"/>
        <color rgb="FFFF0000"/>
        <rFont val="Santander Text"/>
      </rPr>
      <t>,</t>
    </r>
    <r>
      <rPr>
        <strike/>
        <sz val="8"/>
        <color rgb="FFFF0000"/>
        <rFont val="Santander Text"/>
      </rPr>
      <t xml:space="preserve"> and</t>
    </r>
    <r>
      <rPr>
        <sz val="8"/>
        <color rgb="FF000000"/>
        <rFont val="Santander Text"/>
      </rPr>
      <t xml:space="preserve"> Peru</t>
    </r>
    <r>
      <rPr>
        <sz val="8"/>
        <color rgb="FFFF0000"/>
        <rFont val="Santander Text"/>
      </rPr>
      <t xml:space="preserve">, or any other country where an equivalent assessment can be performed, demostrating buildings with this certification are part of Top15%
</t>
    </r>
    <r>
      <rPr>
        <sz val="8"/>
        <color rgb="FF000000"/>
        <rFont val="Santander Text"/>
      </rPr>
      <t xml:space="preserve">f. Passivhaus (Classic or above)
g. Energy Star for Buildings (85 or above)
h. Green Globes (Three globes or above)
i. HQE (Excellent or above)
j. Living Buildings Challenges
k. Minergie (Minergie A and Standard Minergie)
l. Aqua-HQE (Excellent or above)
m. Calificacion Energetica de Viviendas CEV (Rating A &amp; B)
n. Eco-casa (Level 1 or above)
o. NGBS (Gold or above)
p. Home Quality Mark (4 starts or above)
q. NABERS (4,5 stars or above)
r. PBE Edificia (ENCE rating B)
s. CCCS CASA Colombia v3.0
t. Austin Energy Green Buildings
u. BEAM Plus 
v. SCE
w. Green Building Initiative
x. WELL
y. Lider A
</t>
    </r>
    <r>
      <rPr>
        <sz val="8"/>
        <color rgb="FFFF0000"/>
        <rFont val="Santander Text"/>
      </rPr>
      <t>z. Phius CORE 2021 _</t>
    </r>
  </si>
  <si>
    <t>Meets ONE applicable criterion _
1. Current / expected obtention of one of the following certificates:
a. HQE SB v4. Certification
b. PED that is 10% below the Net Zero Energy Building Certification™ (NZEB)
c. Low-Carbon Buildings Climate Bond Initiative (CBI) Certification _
2. Complies with the established thresholds and scores according to the buildings’ construction year, region and climatic zone (please see table below*).
[TABLE A.3.7.5.1.] _</t>
  </si>
  <si>
    <t>Rest of countries &amp; UK - Acquisition of commercial buildings</t>
  </si>
  <si>
    <t xml:space="preserve"> A.3.7.5.2. Rest of countries &amp; UK - Acquisition of commercial buildings</t>
  </si>
  <si>
    <t xml:space="preserve"> A.3.7.5.2.  Acquisition and ownership of commercial buildings  in all other countries (including EU and non-EU)</t>
  </si>
  <si>
    <t>Acquisition and ownership of commercial buildings  in all other countries (including EU and non-EU)</t>
  </si>
  <si>
    <t>Non-residential buildings acquisition</t>
  </si>
  <si>
    <r>
      <rPr>
        <b/>
        <sz val="8"/>
        <rFont val="Santander Text"/>
        <family val="2"/>
      </rPr>
      <t xml:space="preserve">What is it? </t>
    </r>
    <r>
      <rPr>
        <sz val="8"/>
        <rFont val="Santander Text"/>
        <family val="2"/>
      </rPr>
      <t>Commercial buildings acquisition in any territory (except Spain, Portugal, Poland and UK) and provides one of the following certificates:</t>
    </r>
  </si>
  <si>
    <r>
      <rPr>
        <sz val="8"/>
        <color rgb="FF000000"/>
        <rFont val="Santander Text"/>
      </rPr>
      <t>Meets ONE applicable criterion _
3. Current / Expected obtention of one of those certificates &amp; scores:
a. EPC Certificate (B in Italy) / PED on top 15% (see table at criterion #2)
b. LEED (Gold or above)
c. BREEAM (Excellent or above / “Very good” with minimum score of 70% in Energy category
d.  DGNB Certification (Gold or above)
e. EDGE (Advanced or Zero Carbon); EDGE (Certified – Level 1) for Chile, Brazil, Argentina, Uruguay, Colombia</t>
    </r>
    <r>
      <rPr>
        <sz val="8"/>
        <color rgb="FFFF0000"/>
        <rFont val="Santander Text"/>
      </rPr>
      <t>,</t>
    </r>
    <r>
      <rPr>
        <sz val="8"/>
        <color rgb="FF000000"/>
        <rFont val="Santander Text"/>
      </rPr>
      <t xml:space="preserve"> </t>
    </r>
    <r>
      <rPr>
        <strike/>
        <sz val="8"/>
        <color rgb="FFFF0000"/>
        <rFont val="Santander Text"/>
      </rPr>
      <t>and</t>
    </r>
    <r>
      <rPr>
        <sz val="8"/>
        <color rgb="FF000000"/>
        <rFont val="Santander Text"/>
      </rPr>
      <t xml:space="preserve"> Peru</t>
    </r>
    <r>
      <rPr>
        <strike/>
        <sz val="8"/>
        <color rgb="FFFF0000"/>
        <rFont val="Santander Text"/>
      </rPr>
      <t>.</t>
    </r>
    <r>
      <rPr>
        <sz val="8"/>
        <color rgb="FFFF0000"/>
        <rFont val="Santander Text"/>
      </rPr>
      <t xml:space="preserve">, or any other country where an equivalent assessment can be performed, demostrating buildings with this certification are part of Top15%
</t>
    </r>
    <r>
      <rPr>
        <sz val="8"/>
        <color rgb="FF000000"/>
        <rFont val="Santander Text"/>
      </rPr>
      <t xml:space="preserve">f. Passivhaus (Classic or above)
g. Energy Star for Buildings (85 or above)
h. Green Globes (Three globes or above)
i. HQE (Excellent or above)
j. Living Buildings Challenges
k. Minergie (Minergie A and Standard Minergie)
l. Aqua-HQE (Excellent or above)
m. Calificacion Energetica de Viviendas CEV (Rating A &amp; B)
n. Eco-casa (Level 1 or above)
o. NGBS (Gold or above)
p. Austin Energy Green Buildings
q. Home Quality Mark (4 starts or above)
r. NABERS (4,5 stars or above)
s. PBE Edificia (ENCE rating B)
t. CCCS CASA Colombia v3.0
u. BEAM Plus
v. SCE
w. Green Building Initiative
x. WELL
y. Lider A
</t>
    </r>
    <r>
      <rPr>
        <sz val="8"/>
        <color rgb="FFFF0000"/>
        <rFont val="Santander Text"/>
      </rPr>
      <t>z. Phius CORE 2021 _</t>
    </r>
  </si>
  <si>
    <t>Meets ONE applicable criterion _
1. Current / expected obtention of one of the following certificates:
a. HQE SB v4. Certification
b. PED that is 10% below the Net Zero Energy Building Certification™ (NZEB)
c.Low-Carbon Buildings Climate Bond Initiative (CBI) Certification _
2.
- Complies with the established thresholds and scores according to the buidings’ construction year, region and climatic zone (please see table below*).
[TABLE A.3.7.5.2] _</t>
  </si>
  <si>
    <t>Civil engineering</t>
  </si>
  <si>
    <t>Maintenance of roads and motorways</t>
  </si>
  <si>
    <t>A.3.9. Maintenance of roads and motorways</t>
  </si>
  <si>
    <t>Maintenance and restoring of roads elements’ serviceability</t>
  </si>
  <si>
    <r>
      <rPr>
        <b/>
        <sz val="8"/>
        <rFont val="Santander Text"/>
        <family val="2"/>
      </rPr>
      <t xml:space="preserve">What is it? </t>
    </r>
    <r>
      <rPr>
        <sz val="8"/>
        <rFont val="Santander Text"/>
        <family val="2"/>
      </rPr>
      <t>Maintenance and restoring of roads elements’ serviceability.</t>
    </r>
  </si>
  <si>
    <t>Meets ALL applicable criteria _
1. Complies with ONE of the following thresholds regarding non-hazardous recycling:
- Preparing of demolished / removed 100% generated waste (mass in kgs) excluding backfilling and naturally occuring materials.
- Minimum 50% (mass in kgs) of newly installed elements are re-used, recycled or non-hazardous by-product. _
2. Recycled materials are not moved farer tan 2.5 times distance between the construction and the nearest production facility for equivalent primary raw materials. _
3.
- Limited use of primary road materials through the use of secondary raw materials. 
- In case of metals, maximum 30% comes from primary ram material. _</t>
  </si>
  <si>
    <t>Use of concrete in civil engineering</t>
  </si>
  <si>
    <t>A.3.10 Use of concrete in civil engineering</t>
  </si>
  <si>
    <t>A.3.10. Use of concrete in civil engineering</t>
  </si>
  <si>
    <t>Use of concrete for new construction or maintenance of civil infrastructure which are not related to road and motorways’ surfaces elements.</t>
  </si>
  <si>
    <r>
      <rPr>
        <b/>
        <sz val="8"/>
        <rFont val="Santander Text"/>
        <family val="2"/>
      </rPr>
      <t xml:space="preserve">What is it? </t>
    </r>
    <r>
      <rPr>
        <sz val="8"/>
        <rFont val="Santander Text"/>
        <family val="2"/>
      </rPr>
      <t xml:space="preserve">Use of concrete for new construction or maintenance of civil infrastructure which are not related to road and motorways’ surfaces elements. </t>
    </r>
  </si>
  <si>
    <t>Meets ALL applicable criteria _
1.
- Waste identification, separation, collection, collection, processing and logistics need to be improved.
- Quality management in place to achieve 90% recycling of non-hazardous waste (mass in kg), excluding landfill and naturally occurring materials.
- Sorting systems and pre-demolition audits. _
2. Construction design supports circularity: EU level 2 reporting framework. _
3.
- Limited use of primary road materials through the use of secondary raw materials. 
- In the case of concrete, maximum 70% is from primary quarry material. _
4. Recycled materials are not transported more than 2.5 times the distance between the construction site and the nearest production facility for equivalent primary raw materials. _
5. ISO 22057:2022 used for Environmental Product Declaration through electronic tools. Long-term storage of this information is ensured through national systems (cadastre). _
6. Bridges, tunnels, dams and locks are regularly inspected by the national regulator. The data is used to predict maintenance needs. _</t>
  </si>
  <si>
    <t>Installation, maintenance and repair</t>
  </si>
  <si>
    <t>Energy efficiency equipment</t>
  </si>
  <si>
    <t>A.3.3. Energy efficiency equipment</t>
  </si>
  <si>
    <t>A.3.3. Installation, maintenance and repair of energy efficiency equipment</t>
  </si>
  <si>
    <t>Installation, maintenance and repair of energy efficiency equipment</t>
  </si>
  <si>
    <t>Individual renovation measures consisting on installation, maintenance, or repair of energy efficiency equipment</t>
  </si>
  <si>
    <r>
      <rPr>
        <b/>
        <sz val="8"/>
        <rFont val="Santander Text"/>
        <family val="2"/>
      </rPr>
      <t xml:space="preserve">What is it? </t>
    </r>
    <r>
      <rPr>
        <sz val="8"/>
        <rFont val="Santander Text"/>
        <family val="2"/>
      </rPr>
      <t>Individual renovation measures consisting in installation, maintenance, or repair of energy efficiency equipment.</t>
    </r>
  </si>
  <si>
    <t>Meets ONE applicable criterion _
2. Complies with ONE of the following:
a. Replacement of windows for efficiency boost.
b. Replacement of external doors for efficiency boost.
c.  Replacement / installation of household appliances (walls, roofs, lofts, basements, ground floors…) for insulation and efficiency boost purposes.
d.  Installation, replacement, maintenance and repair of heating, ventilation, and airconditioning (HVAC) and water heating systems for efficiency boost purposes.
e. Installation and replacement of energy-efficient light sources.
f. Installation of low water and energy using kitchen and sanitary water fittings:
     - The flow rate is recorded at the standard reference pressure 3 -0/+ 0,2 bar or 0,1 - 0/+0,02 for products limited to low pressure.
     - The flow rate at the lower pressure 1,5 -0/+ 0,2 bar is ≥ 60 % of the maximum available flow rate.
     - For mixer showers, the reference temperature is 38 ± 1 ̊C.
     - Where the flow has to be lower than 6 L/min, it complies with 38 ± 1 ̊C reference temperature rule. _
3. If the instrument / products / services cannot be isolated from supplemental activities:
- Eligible assets over 50% of the total invoice.
- Eligible &amp; associated services (installation, delivery, etc.) over 90% of the total invoice. _</t>
  </si>
  <si>
    <t>Meets ALL applicable criteria _
1. When aplicable, activity output rated as:
- Before 2021: A+++ and A++
- After 2021: A and B
- Optionally, EPA Energy Star Certificate _
2. Complies with ONE of the following:
- Replacement of windows for efficiency boost.
- Replacement of external doors for efficiency boost.
- Replacement / installation of household appliances (walls, roofs, lofts, basements, ground floors…) for insulation and efficiency boost purposes.
- Installation, replacement, maintenance and repair of heating, ventilation, and airconditioning (HVAC) and water heating systems for efficiency boost purposes.
 -Installation and replacement of energy-efficient light sources.
- Installation of low water and energy using kitchen and sanitary water fittings:
     - The flow rate is recorded at the standard reference pressure 3 -0/+ 0,2 bar or 0,1 - 0/+0,02 for products limited to low pressure
     - The flow rate at the lower pressure 1,5 -0/+ 0,2 bar is ≥ 60 % of the maximum available flow rate
     - For mixer showers, the reference temperature is 38 ± 1 ̊C
     - Where the flow has to be lower than 6 L/min, it complies with 38 ± 1 ̊C reference temperature rule. _</t>
  </si>
  <si>
    <t>Electric vehicles Charging stations (buildings &amp; parking spaces)</t>
  </si>
  <si>
    <t>A.3.4. Electric vehicles Charging stations (buildings &amp; parking spaces)</t>
  </si>
  <si>
    <t xml:space="preserve">A.3.4. Installation, maintenance and repair of charging stations for electric vehicles in buildings (and parking spaces attached to buildings) </t>
  </si>
  <si>
    <t xml:space="preserve">Installation, maintenance and repair of charging stations for electric vehicles in buildings (and parking spaces attached to buildings) </t>
  </si>
  <si>
    <t>Installation, maintenance and repair of charging stations for electric vehicles in buildings (and parking spaces attached to buildings)</t>
  </si>
  <si>
    <t>Installation, maintenance or repair of EV charging station</t>
  </si>
  <si>
    <r>
      <rPr>
        <b/>
        <sz val="8"/>
        <rFont val="Santander Text"/>
        <family val="2"/>
      </rPr>
      <t>What is it?</t>
    </r>
    <r>
      <rPr>
        <sz val="8"/>
        <rFont val="Santander Text"/>
        <family val="2"/>
      </rPr>
      <t xml:space="preserve"> Installation, maintenance or repair of EV charging station.</t>
    </r>
  </si>
  <si>
    <t>Meets ONE applicable criterion
1. The activity meets the definition.</t>
  </si>
  <si>
    <t xml:space="preserve">Instruments and devices for energy performance of buildings </t>
  </si>
  <si>
    <t xml:space="preserve">A.3.5. Instruments and devices for energy performance of buildings </t>
  </si>
  <si>
    <t xml:space="preserve">A.3.5. Installation, maintenance and repair of instruments and devices for measuring, regulation and controlling energy performance of buildings </t>
  </si>
  <si>
    <t xml:space="preserve">Installation, maintenance and repair of instruments and devices for measuring, regulation and controlling energy performance of buildings </t>
  </si>
  <si>
    <t>Installation, maintenance and repair of instruments and devices for measuring, regulation and controlling energy performance of buildings</t>
  </si>
  <si>
    <t>Installation or maintenance of instruments for energy performance monitoring</t>
  </si>
  <si>
    <r>
      <rPr>
        <b/>
        <sz val="8"/>
        <rFont val="Santander Text"/>
        <family val="2"/>
      </rPr>
      <t xml:space="preserve">What is it? </t>
    </r>
    <r>
      <rPr>
        <sz val="8"/>
        <rFont val="Santander Text"/>
        <family val="2"/>
      </rPr>
      <t>Installation or maintenance of instruments for energy performance monitoring.</t>
    </r>
  </si>
  <si>
    <t>Meets ONE applicable criterion _
1. Solar photovoltaic systems. _
2. Solar hot water panels. _
3. Heat pumps. _
4. Wind turbines. _
5. Solar transpired collectors. _
6. Thermal / electric energy storage units. _
7. High efficiency micro CHP plant. _
8. Heat exchanger / recovery systems. _
9. Provides Provides EPA Energy Star Certificate. _</t>
  </si>
  <si>
    <t>Renewable energy technologies</t>
  </si>
  <si>
    <t>A.3.6. Renewable energy technologies</t>
  </si>
  <si>
    <t>A.3.6. Installation, maintenance and repair of renewable energy technologies</t>
  </si>
  <si>
    <t>Installation, maintenance and repair of renewable energy technologies</t>
  </si>
  <si>
    <t>Installation or maintenance of renewable energy technologies related to one of the eligibility criteria</t>
  </si>
  <si>
    <r>
      <rPr>
        <b/>
        <sz val="8"/>
        <rFont val="Santander Text"/>
        <family val="2"/>
      </rPr>
      <t>What is it?</t>
    </r>
    <r>
      <rPr>
        <sz val="8"/>
        <rFont val="Santander Text"/>
        <family val="2"/>
      </rPr>
      <t xml:space="preserve"> Installation or maintenance of renewable energy technologies related to one of the eligibility criteria established below.</t>
    </r>
  </si>
  <si>
    <t>A.3.8. Demolition and wreckling</t>
  </si>
  <si>
    <t>A.3.8. Demolition and wrecking of buildings and other structures</t>
  </si>
  <si>
    <t>Demolition and wrecking of buildings and other structures</t>
  </si>
  <si>
    <t>Demolition of buildings or any civil infrastructure</t>
  </si>
  <si>
    <r>
      <rPr>
        <b/>
        <sz val="8"/>
        <rFont val="Santander Text"/>
        <family val="2"/>
      </rPr>
      <t xml:space="preserve">What is it? </t>
    </r>
    <r>
      <rPr>
        <sz val="8"/>
        <rFont val="Santander Text"/>
        <family val="2"/>
      </rPr>
      <t>Demolition of buildings or any civil infrastructure.</t>
    </r>
  </si>
  <si>
    <t>Meets ALL applicable criteria _
3. For non-EU countries, same as EU taxonomy consistent criteria excepting compliance with LTO</t>
  </si>
  <si>
    <t>Meets ALL applicable criteria _
1. Prior the activity starts, it must be agreed:
- Definition of KPI &amp; target.
- Risk identification and action plans.
- Pre-demolition audit details (specially for waste identification, separation, collection and quality management).
- Outline waste management plan considering decontamination and separation as a priority. _
2. Complies with ONE of the following thresholds regarding non-hazardous recycling:
- Minimum 90% mass in kgs excluding backfilling and naturally occuring materials.
- Minimum fractions of recycled, non-hazardous demolition waste:
    - 95% mineral.
    - 70% non-mineral. _</t>
  </si>
  <si>
    <t>Water and Waste</t>
  </si>
  <si>
    <t>Wastewater</t>
  </si>
  <si>
    <t>Waste water collection and treatment</t>
  </si>
  <si>
    <t>A.6.3. Waste water collection and treatment</t>
  </si>
  <si>
    <t>Renewal of waste water collection and treatment // 
Construction, extension and operation of waste water collection and treatment</t>
  </si>
  <si>
    <t>Construction, renewal and operation of centralised wastewater system including collection and treatment with no material change related to its capacity.</t>
  </si>
  <si>
    <r>
      <rPr>
        <b/>
        <sz val="8"/>
        <rFont val="Santander Text"/>
        <family val="2"/>
      </rPr>
      <t>What is it?</t>
    </r>
    <r>
      <rPr>
        <sz val="8"/>
        <rFont val="Santander Text"/>
        <family val="2"/>
      </rPr>
      <t xml:space="preserve"> Construction, renewal and operation of centralised wastewater system including</t>
    </r>
    <r>
      <rPr>
        <b/>
        <sz val="8"/>
        <rFont val="Santander Text"/>
        <family val="2"/>
      </rPr>
      <t xml:space="preserve"> collection and treatment with no material change related to its capacity.</t>
    </r>
  </si>
  <si>
    <t xml:space="preserve">Meets ONE applicable criterion _
1. Meets ALL the following requirements:
- Water treatment infrastructure and sewer network complies with ONE:
a. Powered by renewable energy.
b. Net energy consumtion equal or below the following values:
[TABLE A.6.3]
- Case of construction/extension of a wastewater treatment plant substituting more GHG-intensive treatment systems: GHG assessment and disclosure of results to stakeholders upon demand. _
2. Meets ALL the following requirements:
The renewal of a collection system o a wastewater treatment plant improves energy consumption by 20% compared to baseline.
The operator demonstrates that there are not material changes relating to external conditions. _
</t>
  </si>
  <si>
    <t>6) Clean water and sanition
11) Sustainable cities and communities
12) Responsible consumption and production</t>
  </si>
  <si>
    <t>Urban Waste Water Treatment</t>
  </si>
  <si>
    <t>A.6.14. Urban Waste Water Treatment</t>
  </si>
  <si>
    <t>Urban waste water treatment</t>
  </si>
  <si>
    <t>Construction, extension, upgrade, operation and renewal of urban waste water infrastructure including treatment plants, sewer networks, storm water management structures, connections to the waste water infrastructure, decentralised wastewater treatment facilities, including individual and other appropriate systems, and discharge structures for treated effluent</t>
  </si>
  <si>
    <r>
      <rPr>
        <b/>
        <sz val="8"/>
        <rFont val="Santander Text"/>
        <family val="2"/>
      </rPr>
      <t>What is it?</t>
    </r>
    <r>
      <rPr>
        <sz val="8"/>
        <rFont val="Santander Text"/>
        <family val="2"/>
      </rPr>
      <t xml:space="preserve"> Construction, extension, upgrade and operation of urban wastewater infrastructure </t>
    </r>
  </si>
  <si>
    <t>Meets ALL applicable criteria _
6. Operations powered by low-carbon sources that is used for waste water treatment is at or below 100g CO2e/kWh. _
7. Water quality (post-treatment) in compliance with the threshold defined by the local regulation. _
8. Waste management plans for sludge disposal _</t>
  </si>
  <si>
    <t>Meets ALL applicable criteria _
1. The treatment of the wastewater system does not result in deterioration of the affected water bodies and contributes to improving their condition. _
2. Information related to the status of water bodies and activities affecting the status is included in a management account plan or equivalent management plan. _
3. Approval requirements set by local authorities must be met _
4. Systems have been established for the collection and provision of secondary treatments _
5. If the plant’s capacity is over 100.000 population (or daily inflow of a five-day biochemical oxygen demand load over 6,000 kg) it uses a sludge treatment to stabilize it _</t>
  </si>
  <si>
    <t>Sustainable urban drainage systems (SUDS)</t>
  </si>
  <si>
    <t>A.6.15. Sustainable urban drainage systems (SUDS)</t>
  </si>
  <si>
    <t>Drainage systems facilities that mitigate pollution and flood hazards due to discharges of urban runoff and improve the urban water quality and quantity, by harnessing natural processes.</t>
  </si>
  <si>
    <r>
      <rPr>
        <b/>
        <sz val="8"/>
        <rFont val="Santander Text"/>
        <family val="2"/>
      </rPr>
      <t xml:space="preserve">What is it? </t>
    </r>
    <r>
      <rPr>
        <sz val="8"/>
        <rFont val="Santander Text"/>
        <family val="2"/>
      </rPr>
      <t xml:space="preserve">Drainage systems facilities that </t>
    </r>
    <r>
      <rPr>
        <b/>
        <sz val="8"/>
        <rFont val="Santander Text"/>
        <family val="2"/>
      </rPr>
      <t>mitigate pollution and flood hazards</t>
    </r>
    <r>
      <rPr>
        <sz val="8"/>
        <rFont val="Santander Text"/>
        <family val="2"/>
      </rPr>
      <t xml:space="preserve"> due to discharges of urban runoff and improve the urban water quality and quantity, by harnessing natural processes.
</t>
    </r>
  </si>
  <si>
    <t xml:space="preserve">Meets ALL applicable criteria _
5. For non-EU countries, same as EU taxonomy consistent criteria excepting compliance with LTO
</t>
  </si>
  <si>
    <t>Meets ALL applicable criteria _
1. The activity leads to a retention of &gt;90% of runoff water or rainwater in the urbanized area _
2. Operation of the sustainable urban drainage system is integrated into the urban drainage and waste water treatment system _
3. Information is provided on the percentage of a specific area (e.g., residential or commercial) where rainwater is retained instead of being directly drained; _
4. The design of the sustainable urban drainage system achieves at least one of the following effects: 
 Achieves ONE of the following:
a. A percentage of the rainwater in the catchment area is retained and discharged with a staggered delay.
b. A percentage of pollutants are removed they before discharge into receiving water bodies.
c. Runoff peak flow is reduced by a quantified percentage. _</t>
  </si>
  <si>
    <t>Phosphorus recovery from waste water</t>
  </si>
  <si>
    <t>A.6.16. Phosphorus recovery from waste water</t>
  </si>
  <si>
    <t>Recovery of phosphorus from urban wastewater treatment plants and from materials after thermal oxidation of sewage sludge</t>
  </si>
  <si>
    <r>
      <rPr>
        <b/>
        <sz val="8"/>
        <rFont val="Santander Text"/>
        <family val="2"/>
      </rPr>
      <t xml:space="preserve">What is it? </t>
    </r>
    <r>
      <rPr>
        <sz val="8"/>
        <rFont val="Santander Text"/>
        <family val="2"/>
      </rPr>
      <t>Recovery of phosphorus from urban wastewater treatment plants and from materials after thermal oxidation of sewage sludge.</t>
    </r>
  </si>
  <si>
    <t xml:space="preserve">Meets ALL applicable criteria _
4. For non-EU countries, same as EU taxonomy consistent criteria excepting compliance with LTO
</t>
  </si>
  <si>
    <t>Meets ALL applicable criteria _
1. Phosphorus (harvested material) recovery process recovers at least 15% of the incoming phosphorus load. _
2. For down-stream recovery after sewage sludge thermal oxidation,  the process recovers  at least 80% of the incoming phosphorus load from the respective input material. _
3. Phosphorous extracted out the system is used either as a component material in a fertilizing product or in another field of application. _</t>
  </si>
  <si>
    <t>Production alternative water resources (no human consumption)</t>
  </si>
  <si>
    <t>A.6.17. Production alternative water resources (no human consumption)</t>
  </si>
  <si>
    <t>A.6.17. Production of alternative water resources for purposes other than human consumption</t>
  </si>
  <si>
    <t>Production of alternative water resources for purposes other than human consumption</t>
  </si>
  <si>
    <t>Construction, extension, operation and renewal of facilities for producing reclaimed water, facilities for harvesting rain and storm water and facilities for collection and treatment of grey water. These alternative water resources are used to replace water from abstraction or from the drinking water supply systems and can be used for aquifer recharge, irrigation, industrial reuse, recreation and any other municipal use.</t>
  </si>
  <si>
    <t>Meets ONE applicable criterion _
1. Production or reclaimed water: 
Meets ALL:
- Reclaimed water is suitable for reuse.
- The water reuse project has been authorised by the competent authority and included in a water management plan. 
- For reuse in agriculture, environmental risk assessments are fully taken into account in risk management plans. _
2. Rainwater and storm water harvesting facilities. 
Complies ALL:
- The resource is separated at source and does not include wastewater.
- Water is suitable for reuse after appropriate treatment. _
3. Facilities for the collection and treatment of greywater. 
 Complies ALL:
- The resource is separated at source. 
- Water is suitable for reuse after appropriate treatment.
- Performance is certified by building certification. _</t>
  </si>
  <si>
    <t>Meets ONE applicable criterion _
1. Production or reclaimed water –_ Complies with ALL:
- The reclaimed water is fit for purpose for reuse.
- The water reuse project has been authorised by the competent authority &amp; included in a water management plan. 
- For reuse in agriculture, assessments of environmental risks fully taken into account in risk management plans. _
2. Facilities for harvesting rain and storm water. - _Complies with ALL:
- The resource is segregated at source and does not include wastewater.
- The water is suitable for reuse after proper treatment.
- The facility is included in an instrument of urban planning or permitting _
3. Facilities for collection and treatment of grey waters - _Complies with ALL:
- The resource is segregated at source. 
- The water is suitable for reuse after proper treatment.
- The performance is attested by a building certification. _</t>
  </si>
  <si>
    <t>Waste management</t>
  </si>
  <si>
    <t>Non-hazardous waste - Collection/transport (source segregated fractions)</t>
  </si>
  <si>
    <t>A.6.4. Non-hazardous waste - Collection/transport (source segregated fractions)</t>
  </si>
  <si>
    <t>A.6.4. Collection and transport of non-hazardous waste in source segregated fractions</t>
  </si>
  <si>
    <t>Collection and transport of non-hazardous waste in source segregated fractions</t>
  </si>
  <si>
    <t>Transport of non-hazardous waste with recycling purposes.</t>
  </si>
  <si>
    <r>
      <rPr>
        <b/>
        <sz val="8"/>
        <rFont val="Santander Text"/>
        <family val="2"/>
      </rPr>
      <t>What is it?</t>
    </r>
    <r>
      <rPr>
        <sz val="8"/>
        <rFont val="Santander Text"/>
        <family val="2"/>
      </rPr>
      <t xml:space="preserve"> Transport of non-hazardous waste with recycling purposes.</t>
    </r>
  </si>
  <si>
    <r>
      <rPr>
        <strike/>
        <sz val="8"/>
        <color rgb="FFFF0000"/>
        <rFont val="Santander Text"/>
      </rPr>
      <t>Not Applicable</t>
    </r>
    <r>
      <rPr>
        <sz val="8"/>
        <color rgb="FFFF0000"/>
        <rFont val="Santander Text"/>
      </rPr>
      <t xml:space="preserve"> Meets ALL applicable criteria _
2. Desposit and return systems and infraestructure if they are aligned to the national or regional regulation (e.g. Packaging, Waste Regulation in EU) _</t>
    </r>
  </si>
  <si>
    <t xml:space="preserve">Meets ALL applicable criteria _
1. Separately collection and transport of non-hazardous waste for recycling _
</t>
  </si>
  <si>
    <t>Non-hazardous waste - Material recovery</t>
  </si>
  <si>
    <t>A.6.8. Non-hazardous waste - Material recovery</t>
  </si>
  <si>
    <t>A.6.8. Material recovery from non-hazardous waste</t>
  </si>
  <si>
    <t>Material recovery from non-hazardous waste</t>
  </si>
  <si>
    <t>Construction and operation of facilities for the sorting and processing of separately collected non-hazardous waste streams into secondary raw materials involving mechanical reprocessing, except for backfilling purposes.</t>
  </si>
  <si>
    <r>
      <rPr>
        <b/>
        <sz val="8"/>
        <rFont val="Santander Text"/>
        <family val="2"/>
      </rPr>
      <t>What is it?</t>
    </r>
    <r>
      <rPr>
        <sz val="8"/>
        <rFont val="Santander Text"/>
        <family val="2"/>
      </rPr>
      <t xml:space="preserve"> Construction and operation of facilities for sorting and processing of separated non-hazardous waste streams into secondary raw materials with </t>
    </r>
    <r>
      <rPr>
        <b/>
        <sz val="8"/>
        <rFont val="Santander Text"/>
        <family val="2"/>
      </rPr>
      <t>mechanical reprocessing and no backfilling purposes.
Recommended evidence:</t>
    </r>
    <r>
      <rPr>
        <sz val="8"/>
        <rFont val="Santander Text"/>
        <family val="2"/>
      </rPr>
      <t xml:space="preserve"> A4WS, GRS.
</t>
    </r>
  </si>
  <si>
    <t>Meets ALL applicable criteria _
2. Water and waste management, waste recycling or waste reuse, where conversion ratios exceed 50% _</t>
  </si>
  <si>
    <t>Meets ALL applicable criteria _
1. The activity converts at least 50%, in terms of weight, of the processed separately collected non-hazardous waste into secondary raw materials that are suitable for the substitution of virgin materials in production processes. _</t>
  </si>
  <si>
    <t xml:space="preserve">Non-hazardous &amp; hazardous waste - Collection/transport </t>
  </si>
  <si>
    <t xml:space="preserve">A.6.18. Non-hazardous &amp; hazardous waste - Collection/transport </t>
  </si>
  <si>
    <t>A.6.18. Collection and transport of non-hazardous and hazardous waste</t>
  </si>
  <si>
    <t>Collection and transport of non-hazardous and hazardous waste</t>
  </si>
  <si>
    <t>Separate collection and transport of non-hazardous and hazardous waste aimed at preparing for re-use or recycling</t>
  </si>
  <si>
    <r>
      <rPr>
        <b/>
        <sz val="8"/>
        <rFont val="Santander Text"/>
        <family val="2"/>
      </rPr>
      <t>What is it?</t>
    </r>
    <r>
      <rPr>
        <sz val="8"/>
        <rFont val="Santander Text"/>
        <family val="2"/>
      </rPr>
      <t xml:space="preserve"> Separate collection and transport of non-hazardous and hazardous waste aimed at preparing for re-use or recycling.</t>
    </r>
  </si>
  <si>
    <t xml:space="preserve">Meets ALL applicable criteria _
1. All waste segregated at source and intended for preparation for reuse operations. _
2. Source of waste:
a.  Paper and cardboard
b. Textiles
c.  Bio-waste
d. Wood
e. Glass
f. Waste electrical equipment 
g. Any type of hazardous waste collected separately _
3. Non-hazardous waste from other sources than those in point 2 - Complies with ONE:
a. Collecting the respective types of waste together does not affect their potential to undergo recycling.
b. Separate collection does not deliver best environmental outcome.
c. Separate collection not technically feasible considering good practices. _
4. Different types of hazardous waste may be placed together if they are properly packed in a hazardous waste box. _
5. Municipal waste streams -  Complies with ONE:
a.  The activity carries out municipal solid waste collection mainly via door-to-door collection.
b. The activity carries out waste collection within publicly organised waste management based on a pay-as-you throw (PAYT) mechanism.
c. The activity carries out separate waste collection outside of publicly organised waste management systems. _
7. The activity monitors the quantity and quality of wastes collected based on KPI according to national standards. _
</t>
  </si>
  <si>
    <t>Meets ALL applicable criteria _
1. All waste segregated at source and intended for preparation for reuse operations. _
2. Source of waste:
a.  Paper and cardboard
b. Textiles
c.  Bio-waste
d. Wood
e. Glass
f. Waste electrical equipment 
g. Any type of hazardous waste collected separately _
3. Non-hazardous waste from other sources than those in point 2 - Complies with ONE:
a. Collecting the respective types of waste together does not affect their potential to undergo recycling.
b. Separate collection does not deliver best environmental outcome.
c. Separate collection not technically feasible considering good practices. _
4. Different types of hazardous waste may be placed together if they are properly packed in a hazardous waste box. _
5. Municipal waste streams -  Complies with ONE:
a.  The activity carries out municipal solid waste collection mainly via door-to-door collection.
b. The activity carries out waste collection within publicly organised waste management based on a pay-as-you throw (PAYT) mechanism.
c. The activity carries out separate waste collection outside of publicly organised waste management systems. _
6. Monitoring quantity and quality of wastes collected based on KPI -  Complies with ALL:
a. Fulfilling reporting obligations vis-a-vis relevant stakeholders.
b. Periodically communicating relevant information to waste producers and the public.
c. Undertaking corrective action where the KPIs deviate. _</t>
  </si>
  <si>
    <t>Hazardous waste - Treatment</t>
  </si>
  <si>
    <t>A.6.19. Hazardous waste - Treatment</t>
  </si>
  <si>
    <t>A.6.19. Treatment of hazardous waste</t>
  </si>
  <si>
    <t>Treatment of hazardous waste</t>
  </si>
  <si>
    <t>Facilities for the treatment of hazardous waste.</t>
  </si>
  <si>
    <r>
      <rPr>
        <b/>
        <sz val="8"/>
        <rFont val="Santander Text"/>
        <family val="2"/>
      </rPr>
      <t xml:space="preserve">What is it? </t>
    </r>
    <r>
      <rPr>
        <sz val="8"/>
        <rFont val="Santander Text"/>
        <family val="2"/>
      </rPr>
      <t>Facilities for the treatment of hazardous waste.</t>
    </r>
  </si>
  <si>
    <t>Meets #1 or ALL the rest applicable criteria _
1. Complies with ALL:
a. Material recovery of secondary raw materials from source segregated hazardous waste.
b. Recovered materials are substitute primary raw materials.
c. Recovered materials comply with the applicable industry specifications. _
2. Pollution activities related to the tratment of hazardous waste complies with all:
Waste treatment processes comply with ALL:
  -Complies with the requeriments set out on best available techniques.
  -Gathering of detailed information related.
  -Elements in place during the acceptance procedures:
     -Reception facility &amp; laboratory.
     -Documented sampling procedure and analyses of physico-chemical parameters.
     -Dedicated quarantine waste storage area.
  -Suitable treatment route available and determined disposal or recovery route.
  -Case of “blending or mixing activities”  - prior to submission to them, dilution is not used to lower the concentration of hazardous substances. _
3. Physico-chemical treatment of solid or pasty waste comply with ALL:
- Limit at 6% the total organic carbon maximum concentration.
- Limit at 1.000 mg/kg dry matter dissolved organic carbon content after a leaching test _
4. Physico-chemical treatment of waste with calorific value, measures to avoid dilution and dispersion of hazardous substances and any high loads released into the air. _
5. Treatment of aqueous liquid waste: 
- Dissolved Organic Carbon elimination over 70% in 7 days (ISO 988852). 
- All waste containing POP substances is controlled and traced as hazardous waste _
6. Tracking system allows the monitoring of the effective separation and POP waste destruction. _
7. Installations likely to treat waste consisting of mercury implement a traceability system. _
8. Treatment of heatlhcare waste: implements the best practices, not acceptig cytotoxic waste, pharmaceutical waste, chemical waste and radioactive waste as a treatment. _</t>
  </si>
  <si>
    <t>Depollution/dismantling end-of-life products</t>
  </si>
  <si>
    <t>A.6.22. Depollution/dismantling end-of-life products</t>
  </si>
  <si>
    <t>A.6.22. Depollution and dismantling of end-of-life products</t>
  </si>
  <si>
    <t>Depollution and dismantling of end-of-life products</t>
  </si>
  <si>
    <t>Facilities dismantling and depolluting complex end-of-life products.</t>
  </si>
  <si>
    <r>
      <rPr>
        <b/>
        <sz val="8"/>
        <rFont val="Santander Text"/>
        <family val="2"/>
      </rPr>
      <t>What is it?</t>
    </r>
    <r>
      <rPr>
        <sz val="8"/>
        <rFont val="Santander Text"/>
        <family val="2"/>
      </rPr>
      <t xml:space="preserve"> Facilities dismantling and depolluting complex end-of-life products.</t>
    </r>
  </si>
  <si>
    <t>Meets ALL applicable criteria _
1. Dismantles and depollutes separately collected waste to:
a. Harvest parts and components that are suited for re-use.
b. Separate non-hazardous and hazardous waste.
c. Remove hazardous substances, mixtures and components.
d. Enclose documentation of the materials that are sent for further treatment _
2. Dismantling and depollution of scrap ships: facility included in the European List of ship recycling facilities. _
3. Dismantling and depollution of waste from electrical and electronic equipment and end of life vehicles: waste originated in collection points. _</t>
  </si>
  <si>
    <t>Non-hazardous waste - Sorting</t>
  </si>
  <si>
    <t>A.6.21. Non-hazardous waste - Sorting</t>
  </si>
  <si>
    <t>A.6.21. Sorting of non-hazardous waste</t>
  </si>
  <si>
    <t>Sorting of non-hazardous waste</t>
  </si>
  <si>
    <t>Sorting and material recovery of non-hazardous waste</t>
  </si>
  <si>
    <t>Facilities for the sorting or recovery of non-hazardous waste streams.</t>
  </si>
  <si>
    <r>
      <rPr>
        <b/>
        <sz val="8"/>
        <rFont val="Santander Text"/>
        <family val="2"/>
      </rPr>
      <t xml:space="preserve">What is it? </t>
    </r>
    <r>
      <rPr>
        <sz val="8"/>
        <rFont val="Santander Text"/>
        <family val="2"/>
      </rPr>
      <t>Facilities for the sorting or recovery of non-hazardous waste streams.</t>
    </r>
  </si>
  <si>
    <t xml:space="preserve">Meets ALL applicable criteria _
3. For non-EU countries, same as EU taxonomy consistent criteria excepting compliance with LTO
</t>
  </si>
  <si>
    <t>Meets ALL applicable criteria _
1. The non-hazardous waste feedstock originates from ONE of the following:
a. Separately collected and transported waste.
b. Non-hazardous waste fractions originating from dismantling and depollution activities from end-of-life products.
c. Construction and demolition waste.
d. Non-hazardous waste from the sorting of mixed waste (paper, metal, plastic, or glass) _
2. Best available techniques implemented on improving environmental performance of the plant. Complies with ALL:
  -Strict waste acceptance procedure.
  -Tracking system to track the location and quantity of waste.
  -Output quality management system.
  -The relevant waste segregation measures or procedures to ensure that waste is kept separated.
  -Measures to ensure waste compatibility prior to mixing or blending of waste.
  -Sorting and uses state-of-the-art technologies. _</t>
  </si>
  <si>
    <t>Hazardous waste - Collection/transport</t>
  </si>
  <si>
    <t>A.6.23. Hazardous waste - Collection/transport</t>
  </si>
  <si>
    <t>A.6.23. Collection and transport of hazardous waste</t>
  </si>
  <si>
    <t>Collection and transport of hazardous waste</t>
  </si>
  <si>
    <t>Separate collection and transport of hazardous waste prior to treatment.</t>
  </si>
  <si>
    <r>
      <rPr>
        <b/>
        <sz val="8"/>
        <rFont val="Santander Text"/>
        <family val="2"/>
      </rPr>
      <t xml:space="preserve">What is it? </t>
    </r>
    <r>
      <rPr>
        <sz val="8"/>
        <rFont val="Santander Text"/>
        <family val="2"/>
      </rPr>
      <t>Separate collection and transport of hazardous waste prior to treatment.</t>
    </r>
  </si>
  <si>
    <t xml:space="preserve">Meets ALL applicable criteria _
1. Hazardous waste is source segregated and collected separately from non-hazardous waste _
2. Proper collection and handling prevent leakage of hazardous waste _
3. Where a given waste classified as hazardous has also a transport status of dangerous goods, complies with the ADR. _
6. Waste of Electrical and Electronic Material:
- Main categories are collected separately.
- Collection and transport preserve the integrity WEE. 
- Management system. _
7. Complies with the requirements of Best Available Techniques for waste treatment. _
8.  Waste collection vehicles conform to at least Santander guidelines on emissions reduction._
</t>
  </si>
  <si>
    <t>Meets ALL applicable criteria _
1. Hazardous waste is source segregated and collected separately from non-hazardous waste _
2. Proper collection and handling prevent leakage of hazardous waste _
3.Where a given waste classified as hazardous has also a transport status of dangerous goods, complies with the ADR. _
4. The activity uses waste collection vehicles which conform to at least EURO V standards _
5.Hazardous waste is packaged and labelled according to international and EU standards _
6. Waste of Electrical and Electronic Material:
- Main categories are collected separately.
- Collection and transport preserve the integrity WEE. 
- Management system. _
7. Complies with the requirements of Best Available Techniques for waste treatment. _</t>
  </si>
  <si>
    <t>Bio-Waste management</t>
  </si>
  <si>
    <t>Sewage sludge - anaerobic digestion</t>
  </si>
  <si>
    <t>A.6.5. Sewage sludge - anaerobic digestion</t>
  </si>
  <si>
    <t>A.6.5. Anaerobic digestion of sewage sludge</t>
  </si>
  <si>
    <t>Anaerobic digestion of sewage sludge</t>
  </si>
  <si>
    <t>Construction and operation of facilities for the treatment of sewage sludge by anaerobic digestion.</t>
  </si>
  <si>
    <r>
      <rPr>
        <b/>
        <sz val="8"/>
        <rFont val="Santander Text"/>
        <family val="2"/>
      </rPr>
      <t>What is it?</t>
    </r>
    <r>
      <rPr>
        <sz val="8"/>
        <rFont val="Santander Text"/>
        <family val="2"/>
      </rPr>
      <t xml:space="preserve"> Construction and operation of facilities for </t>
    </r>
    <r>
      <rPr>
        <b/>
        <sz val="8"/>
        <rFont val="Santander Text"/>
        <family val="2"/>
      </rPr>
      <t>the treatment of sewage sludge by anaerobic digestion.</t>
    </r>
  </si>
  <si>
    <t>Meets ALL applicable criteria _
1. Contingency plan is in place in order to minimise methane leakage at the facility. _
2. Uses of the biogas produced must be electricity, heat, injection into the grid of gas, fuel for vehicles of feedstock in chemical industry. _</t>
  </si>
  <si>
    <t>Bio-waste - anaerobic digestion</t>
  </si>
  <si>
    <t>A.6.6. Bio-waste - anaerobic digestion</t>
  </si>
  <si>
    <t>A.6.6. Anaerobic digestion of bio-waste</t>
  </si>
  <si>
    <t>Anaerobic digestion of bio-waste</t>
  </si>
  <si>
    <t>Construction and operation of facilities for the treatment of separately collected bio-waste through anaerobic digestion</t>
  </si>
  <si>
    <r>
      <rPr>
        <b/>
        <sz val="8"/>
        <rFont val="Santander Text"/>
        <family val="2"/>
      </rPr>
      <t>What is it?</t>
    </r>
    <r>
      <rPr>
        <sz val="8"/>
        <rFont val="Santander Text"/>
        <family val="2"/>
      </rPr>
      <t xml:space="preserve"> Construction and operation of facilities for the </t>
    </r>
    <r>
      <rPr>
        <b/>
        <sz val="8"/>
        <rFont val="Santander Text"/>
        <family val="2"/>
      </rPr>
      <t>treatment of separately collected bio-waste through anaerobic digestion.</t>
    </r>
  </si>
  <si>
    <t xml:space="preserve">Meets ALL Applicable Criteria _
1. A monitoring and contingency plan is in place in order to minimise methane leakage at the facility. _
2. The produced biogas is used directly for the generation of electricity or heat, or upgraded to bio-methane for injection in the natural gas grid, or used as vehicle fuel or as feedstock in chemical industry. _
3. The bio-waste that is used for anaerobic digestion is source segregated and collected separately. _
4. The produced digestate is used as fertiliser or soil improver, either directly or after composting or any other treatment. _
6. The bio-waste treatment plant limits the amount of food and feed crops used as input feedstock according to CBI Waste Management standards (below methane emissions &lt;= 1285g CH4/ tonne of waste input (this is approximately equivalent to 100g CO2e/ kWh) or it is audited by a third party that guarantees minimal risk of indirect land use impact for food and feed crops _
</t>
  </si>
  <si>
    <t>Meets ALL applicable criteria _
1. Contingency plan to minimize methane leaks from facilities. _
2. Uses of the biogas produced must be electricity, heat, injection into the grid of gas, fuel for vehicles of feedstock in chemical industry. _
3. Bio-waste is segregated at source and collected separately. _
4. The produced digestate is used as fertilizer or soil improver. _
5. The annual average share of food and feed crops used as raw material is limited to 10% weight. _</t>
  </si>
  <si>
    <t>Bio-waste - composting</t>
  </si>
  <si>
    <t>A.6.7. Bio-waste - composting</t>
  </si>
  <si>
    <t>A.6.7. Composting of bio-waste</t>
  </si>
  <si>
    <t>Composting of bio-waste</t>
  </si>
  <si>
    <t>Construction and operation of facilities for the treatment of separately collected bio-waste through composting.</t>
  </si>
  <si>
    <r>
      <rPr>
        <b/>
        <sz val="8"/>
        <rFont val="Santander Text"/>
        <family val="2"/>
      </rPr>
      <t xml:space="preserve">What is it? </t>
    </r>
    <r>
      <rPr>
        <sz val="8"/>
        <rFont val="Santander Text"/>
        <family val="2"/>
      </rPr>
      <t xml:space="preserve">Construction and operation of facilities for the treatment of </t>
    </r>
    <r>
      <rPr>
        <b/>
        <sz val="8"/>
        <rFont val="Santander Text"/>
        <family val="2"/>
      </rPr>
      <t>separately collected bio-waste through composting.</t>
    </r>
  </si>
  <si>
    <t>Meets ALL applicable criteria _
1. The activity meets the definition _</t>
  </si>
  <si>
    <t>Meets ALL applicable criteria _
1. The activity meets the definition _
2. The compost produced is used as fertilizer or soil improver. _</t>
  </si>
  <si>
    <t>Bio-gas capture and utilisation</t>
  </si>
  <si>
    <t>A.6.9. Bio-gas capture and utilisation</t>
  </si>
  <si>
    <t>A.6.9. Landfill gas capture and utilisation</t>
  </si>
  <si>
    <t>Landfill gas capture and utilisation</t>
  </si>
  <si>
    <t>Installation and operation of infrastructure for landfill gas capture and utilisation in permanently closed landfills or cells.</t>
  </si>
  <si>
    <r>
      <rPr>
        <b/>
        <sz val="8"/>
        <rFont val="Santander Text"/>
        <family val="2"/>
      </rPr>
      <t>What is it?</t>
    </r>
    <r>
      <rPr>
        <sz val="8"/>
        <rFont val="Santander Text"/>
        <family val="2"/>
      </rPr>
      <t xml:space="preserve"> Installation and operation </t>
    </r>
    <r>
      <rPr>
        <b/>
        <sz val="8"/>
        <rFont val="Santander Text"/>
        <family val="2"/>
      </rPr>
      <t>of infrastructure for landfill gas capture</t>
    </r>
    <r>
      <rPr>
        <sz val="8"/>
        <rFont val="Santander Text"/>
        <family val="2"/>
      </rPr>
      <t xml:space="preserve"> and utilisation in permanently closed landfills or cells.</t>
    </r>
  </si>
  <si>
    <t>Meets ONE applicable criterion _
5. Permanently closed landfills with new facilities and supplementary technical equipment must have an efficiency of at least 75%. _
6. Operate landfills only if they are designed with an efficiency of at least 75% (No open or controlled landfills are accepted). _</t>
  </si>
  <si>
    <t xml:space="preserve">Meets ALL applicable criteria _
1. Landfill gas not been opened after 8 July 2020 _
2. Landfill where the gas capture system is newly installed is permanently closed _
3. Uses of the biogas produced must be electricity, heat, injection into the grid of gas, fuel for vehicles of feedstock in chemical industry. _
4.  Methane emissions from the landfill and leaks are subject to different control procedures:
- Leachate: monthly and separated sampling measurement and quarterly/biannually composition check.
- Surface water: upstream and downstream check; quarterly volume and composition check.
- Gas: Potential gas emissions monthly check.
- Groundwater sampling: waste discharge monitoring conducted in 3 locations.
 Groundwater monitoring: biannually and conducted at a site-specific frequency. _
</t>
  </si>
  <si>
    <t>Bio-waste - recovery</t>
  </si>
  <si>
    <t>A.6.20. Bio-waste - recovery</t>
  </si>
  <si>
    <t>A.6.20. Recovery of bio-waste by anaerobic digestion or composting</t>
  </si>
  <si>
    <t>Recovery of bio-waste by anaerobic digestion or composting</t>
  </si>
  <si>
    <t>Facilities for the treatment of separately collected bio-waste through anaerobic digestion.</t>
  </si>
  <si>
    <r>
      <rPr>
        <b/>
        <sz val="8"/>
        <rFont val="Santander Text"/>
        <family val="2"/>
      </rPr>
      <t>What is it?</t>
    </r>
    <r>
      <rPr>
        <sz val="8"/>
        <rFont val="Santander Text"/>
        <family val="2"/>
      </rPr>
      <t xml:space="preserve"> Facilities for the treatment of separately collected bio-waste through anaerobic digestion.
</t>
    </r>
  </si>
  <si>
    <t>Meets ALL applicable criteria _
1. 
    - Bio-waste used for anaerobic digestion or composting.
     -When collected in bags, they are EN 13432:2000 certified. _
3.  The activity produces compost or chemicals through the conversion of organic waste to carboxylates. _
4. The resulting compost and digestate is not landfilled _
5. The produced biogas is used directly for the generation of electricity or heat by replacing natural gas. _
6. Segregated bio-waste sourced from separate collection complies with CBI Waste Management standards. _</t>
  </si>
  <si>
    <t>Meets ALL applicable criteria _
1.  
     - Bio-waste used for anaerobic digestion or composting.
     -When collected in bags, they are EN 13432:2000 certified. _
2.  - Segregated bio-waste sourced from separate collection constitutes at least 70% of the input feedstock. 
     -Co-digestion may cover up to 30% of the input feedstock. _
3.  The activity produces compost or chemicals through the conversion of organic waste to carboxylates. _
4. The resulting compost and digestate is not landfilled _
5. The produced biogas is used directly for the generation of electricity or heat by replacing natural gas. _</t>
  </si>
  <si>
    <t>Water supply</t>
  </si>
  <si>
    <t>Water collection, treatment and supply systems</t>
  </si>
  <si>
    <t>A.6.1. Water collection, treatment and supply systems</t>
  </si>
  <si>
    <t>Renewal of water collection, treatment and supply systems</t>
  </si>
  <si>
    <t>Construction, extension and operation of water collection, treatment and supply systems</t>
  </si>
  <si>
    <r>
      <rPr>
        <b/>
        <sz val="8"/>
        <rFont val="Santander Text"/>
        <family val="2"/>
      </rPr>
      <t>What is it?</t>
    </r>
    <r>
      <rPr>
        <sz val="8"/>
        <rFont val="Santander Text"/>
        <family val="2"/>
      </rPr>
      <t xml:space="preserve"> Construction, extension and operation of </t>
    </r>
    <r>
      <rPr>
        <b/>
        <sz val="8"/>
        <rFont val="Santander Text"/>
        <family val="2"/>
      </rPr>
      <t>water collection, treatment and supply systems</t>
    </r>
    <r>
      <rPr>
        <sz val="8"/>
        <rFont val="Santander Text"/>
        <family val="2"/>
      </rPr>
      <t xml:space="preserve">. </t>
    </r>
  </si>
  <si>
    <t>Meets ONE applicable criterion _
1. End-to-end water supply system max. average net energy consumption of 0.5 KWh/m3. _
6. Water infrastructure documents at least 20% water savings per unit of service compared to baseline _</t>
  </si>
  <si>
    <t>Meets ONE applicable criterion _
1. End-to-end water supply systems with a max. average net energy consumption  of 0.5 kWh/m3 _
2. Leakage level of the water supply system calculated using (ILI) rating method and  limited to 1.5  _
3. Calculation to be applied across the extent of water supply network where works are carried out. _
4. Renewal of the water supply system, decreasing net average energy consumption of the system by 20% for 3 years. _
5. Renewal of the water supply system narrows the gap between actual supply network leakage (averaged over 3 years). _</t>
  </si>
  <si>
    <t xml:space="preserve">Desalination </t>
  </si>
  <si>
    <t xml:space="preserve">A.6.12. Desalination </t>
  </si>
  <si>
    <t>Desalination</t>
  </si>
  <si>
    <t>Desalination plants to produce water to be distributed in drinking water supply systems, operational process water systems, and for purposes other than human consumption.</t>
  </si>
  <si>
    <r>
      <rPr>
        <b/>
        <sz val="8"/>
        <rFont val="Santander Text"/>
        <family val="2"/>
      </rPr>
      <t xml:space="preserve">What is it? </t>
    </r>
    <r>
      <rPr>
        <sz val="8"/>
        <rFont val="Santander Text"/>
        <family val="2"/>
      </rPr>
      <t>Desalination plants to produce water to be distributed in drinking water supply systems, operational process water systems, and for purposes other than human consumption.</t>
    </r>
  </si>
  <si>
    <t>Meets ALL applicable criteria _
2. Desalination plants must be powered by low-carbon sources whit an average carbon intesity =&lt;100g CO2e/kWh and  have a brine disposal management plan. _</t>
  </si>
  <si>
    <r>
      <rPr>
        <sz val="8"/>
        <color rgb="FF000000"/>
        <rFont val="Santander Text"/>
      </rPr>
      <t>Meets ALL applicable criteria _
1. Desalination plants that are powered by low-carbon sources</t>
    </r>
    <r>
      <rPr>
        <strike/>
        <sz val="8"/>
        <color rgb="FFFF0000"/>
        <rFont val="Santander Text"/>
      </rPr>
      <t xml:space="preserve"> whit an average carbon intesity =&lt;100g CO2e/kWh and that have waste management plans for brine disposal. </t>
    </r>
    <r>
      <rPr>
        <sz val="8"/>
        <color rgb="FFFF0000"/>
        <rFont val="Santander Text"/>
      </rPr>
      <t xml:space="preserve">with an average carbon intensity &lt;= 1080 gCO2e/m3 of freshwater produced and that have waste management plans for brine disposal. </t>
    </r>
    <r>
      <rPr>
        <sz val="8"/>
        <color rgb="FF000000"/>
        <rFont val="Santander Text"/>
      </rPr>
      <t xml:space="preserve"> _</t>
    </r>
  </si>
  <si>
    <t>Water Supply</t>
  </si>
  <si>
    <t>A.6.13. Water Supply</t>
  </si>
  <si>
    <t>Treatment and supply systems for human consumption based on the abstraction of natural resources of water from surface or ground water.</t>
  </si>
  <si>
    <r>
      <rPr>
        <b/>
        <sz val="8"/>
        <rFont val="Santander Text"/>
        <family val="2"/>
      </rPr>
      <t>What is it?</t>
    </r>
    <r>
      <rPr>
        <sz val="8"/>
        <rFont val="Santander Text"/>
        <family val="2"/>
      </rPr>
      <t xml:space="preserve"> Treatment and supply systems for human consumption based on the abstraction of natural resources of water from surface or ground water 
</t>
    </r>
  </si>
  <si>
    <t>Meets ALL applicable criteria _
1. 
- The leakage level of the system is calculated using the ILI and limited to 2.0. 
- Water supply systems include metering at the consumer level. _
2.
- The water supply system has received the necessary permits and is registered in the register of water abstractions.
- The operation does not lead to deterioration of the status of the affected water bodies. _
3. Information on abstractions, the status of water bodies and pressures-impacts on them included in management account plan or equivalent. _</t>
  </si>
  <si>
    <t>Sustainable Water Management</t>
  </si>
  <si>
    <t>A.6.2. Sustainable Water Management</t>
  </si>
  <si>
    <t>Sustainable water management</t>
  </si>
  <si>
    <t>Resolve water scarcity and water quality issues through the sustainable management of water.</t>
  </si>
  <si>
    <r>
      <rPr>
        <b/>
        <sz val="8"/>
        <rFont val="Santander Text"/>
        <family val="2"/>
      </rPr>
      <t>What is it?</t>
    </r>
    <r>
      <rPr>
        <sz val="8"/>
        <rFont val="Santander Text"/>
        <family val="2"/>
      </rPr>
      <t xml:space="preserve"> Resolve water scarcity and water quality issues through the </t>
    </r>
    <r>
      <rPr>
        <b/>
        <sz val="8"/>
        <rFont val="Santander Text"/>
        <family val="2"/>
      </rPr>
      <t xml:space="preserve">sustainable management </t>
    </r>
    <r>
      <rPr>
        <sz val="8"/>
        <rFont val="Santander Text"/>
        <family val="2"/>
      </rPr>
      <t xml:space="preserve">of water.
</t>
    </r>
    <r>
      <rPr>
        <b/>
        <sz val="8"/>
        <rFont val="Santander Text"/>
        <family val="2"/>
      </rPr>
      <t>What is it not?</t>
    </r>
    <r>
      <rPr>
        <sz val="8"/>
        <rFont val="Santander Text"/>
        <family val="2"/>
      </rPr>
      <t xml:space="preserve"> Infrastructure that provides water directly for </t>
    </r>
    <r>
      <rPr>
        <b/>
        <sz val="8"/>
        <rFont val="Santander Text"/>
        <family val="2"/>
      </rPr>
      <t>fossil fuel production.</t>
    </r>
    <r>
      <rPr>
        <sz val="8"/>
        <rFont val="Santander Text"/>
        <family val="2"/>
      </rPr>
      <t xml:space="preserve">
</t>
    </r>
  </si>
  <si>
    <t xml:space="preserve">Meets ALL applicable criteria _
1. Activities that resolve water scarcity and water quality issues, increase water efficiency or reduce usage by more than 20%. _
</t>
  </si>
  <si>
    <t>Remediation</t>
  </si>
  <si>
    <t>Remediation - legally non-conforming landfills, abandoned/illegal waste dumps</t>
  </si>
  <si>
    <t>A.6.24. Remediation - legally non-conforming landfills, abandoned/illegal waste dumps</t>
  </si>
  <si>
    <t>A.6.24. Remediation of legally non-conforming landfills and abandoned or illegal waste dumps</t>
  </si>
  <si>
    <t>Remediation of legally non-conforming landfills and abandoned or illegal waste dumps</t>
  </si>
  <si>
    <t>Remediation of legally non-conforming landfills and of abandoned or illegal waste dumps.</t>
  </si>
  <si>
    <r>
      <rPr>
        <b/>
        <sz val="8"/>
        <rFont val="Santander Text"/>
        <family val="2"/>
      </rPr>
      <t>What is it?</t>
    </r>
    <r>
      <rPr>
        <sz val="8"/>
        <rFont val="Santander Text"/>
        <family val="2"/>
      </rPr>
      <t xml:space="preserve"> Remediation of legally non-conforming landfills and of abandoned or illegal waste dumps.</t>
    </r>
  </si>
  <si>
    <t xml:space="preserve">Meets ALL applicable criteria _
1. Remediation activity not undertaken by the polluter. _
2. Relevant contaminants are removed following national standards _
3. The activity is conducted in line with best industry practice, including:
a. Remediation site has been closed.
b. Preparatory investigation carried out.
c. Results of investigation used for feasibility studies.
d. Remedial options analysed in accordance to EU standards.
e. The landfill remediation project is approved by the competent authority
f. All materials and fuels recovered do not represent a risk for the environment or human health.
g. Methods based exclusively on reducing pollutant concentrations through dilution or watering down are excluded. _
</t>
  </si>
  <si>
    <t>Remediation - contaminated sites and areas</t>
  </si>
  <si>
    <t>A.6.25. Remediation - contaminated sites and areas</t>
  </si>
  <si>
    <t>A.6.25. Remediation of contaminated sites and areas</t>
  </si>
  <si>
    <t>Remediation of contaminated sites and areas</t>
  </si>
  <si>
    <t>Decontamination or remediation of soils and groundwater in polluted areas.</t>
  </si>
  <si>
    <r>
      <rPr>
        <b/>
        <sz val="8"/>
        <rFont val="Santander Text"/>
        <family val="2"/>
      </rPr>
      <t>What is it?</t>
    </r>
    <r>
      <rPr>
        <sz val="8"/>
        <rFont val="Santander Text"/>
        <family val="2"/>
      </rPr>
      <t xml:space="preserve"> Decontamination or remediation of soils and groundwater in polluted areas.</t>
    </r>
  </si>
  <si>
    <t xml:space="preserve">Meets ALL applicable criteria _
1. Remediation activity not undertaken by the polluter _
2. Relevant contaminants are removed following national standards. _
3. The activity is conducted in line with best industry practice, including:
a. The original operational activity has been stopped before any assessment.
b. Preparatory investigation are carried out.
c. Remedial options analysed in accordance to EU standards.
d. Any hazardous or non-hazardous waste is subject to appropriate treatment.
e. Methods based only on reducing pollutant concentrations through dilution/watering down excluded.
f. 10-year control and monitoring plan is implemented. _
4.The specific remediation and monitoring plan is approved by the competent authority _
</t>
  </si>
  <si>
    <t>Carbon Transport and Storage</t>
  </si>
  <si>
    <t>Transport of CO2</t>
  </si>
  <si>
    <t>A.6.10. Transport of CO2</t>
  </si>
  <si>
    <t>Transport of captured CO2 via all modes.</t>
  </si>
  <si>
    <r>
      <rPr>
        <b/>
        <sz val="8"/>
        <rFont val="Santander Text"/>
        <family val="2"/>
      </rPr>
      <t>What is it?</t>
    </r>
    <r>
      <rPr>
        <sz val="8"/>
        <rFont val="Santander Text"/>
        <family val="2"/>
      </rPr>
      <t xml:space="preserve"> Transport of captured CO2 via all modes.
</t>
    </r>
  </si>
  <si>
    <t>Meets ALL applicable criterion _
1.The CO2 transported by the network does not result in leaks of more than 0.5% of the transported mass.  _
2. Leak detection systems are implemented, and a follow-up plan (verified by a third party) is established. _
5.Minimum capture rate for the entire facility should be 90%. _</t>
  </si>
  <si>
    <t xml:space="preserve">Meets ALL applicable criteria _
1.The CO2 transported by the network does not result in leaks of more than 0.5% of the transported mass. _
2. Leak detection systems are implemented, and a follow-up plan (verified by a third party) is established. _
3.CO2 is delivered to a storage site. These sites are ISO 27914:2017 compliant. _
4. Installation of assets that improve the management of an existing network _
5.Minimum capture rate for the entire facility should be 90%. _
</t>
  </si>
  <si>
    <t>Underground storage of CO2</t>
  </si>
  <si>
    <t>A.6.11. Underground storage of CO2</t>
  </si>
  <si>
    <t>A.6.11. Underground permanent geological storage of CO2</t>
  </si>
  <si>
    <t>Underground permanent geological storage of CO2</t>
  </si>
  <si>
    <t>Permanent storage of captured CO2 in appropriate underground geological formations.</t>
  </si>
  <si>
    <r>
      <rPr>
        <b/>
        <sz val="8"/>
        <rFont val="Santander Text"/>
        <family val="2"/>
      </rPr>
      <t>What is it?</t>
    </r>
    <r>
      <rPr>
        <sz val="8"/>
        <rFont val="Santander Text"/>
        <family val="2"/>
      </rPr>
      <t xml:space="preserve"> Permanent storage of captured CO2 in appropriate underground geological formations.</t>
    </r>
  </si>
  <si>
    <t xml:space="preserve">Meets ALL applicable criteria _
1. Assessment of the potential CO2 storage complex whether the geological formation is suitable for use. _
2.Complies with ALL the following: 
   - Proper systems for leak detection must be applied
   - A monitoring plan for injection facilities and the surrounding environment should be established. 
   - Periodic reports are checked by the competent national authority _
3. For the exploration and operation of storage sites in third countries, the activity complies  with ISO 27914:2017 for geological storage of CO2. _
</t>
  </si>
  <si>
    <t>Use of recycled materials</t>
  </si>
  <si>
    <t>A.6.26. Use of recycled materials</t>
  </si>
  <si>
    <t>Use of recycled materials in the production of items.</t>
  </si>
  <si>
    <r>
      <rPr>
        <b/>
        <sz val="8"/>
        <rFont val="Santander Text"/>
        <family val="2"/>
      </rPr>
      <t>What is it</t>
    </r>
    <r>
      <rPr>
        <sz val="8"/>
        <rFont val="Santander Text"/>
        <family val="2"/>
      </rPr>
      <t>?  Use of recycled materials in the production of items.</t>
    </r>
  </si>
  <si>
    <t>Meets ALL applicable criteria: 
1. Product containing at least 50% recycled material, and where the end product can be recycled after its use.
Products containing or producing hard to recycle or high polluting materials (e.g. microplastics) are excluded
2. Certificates accepted for this activity where at least 50% recycled material is evidenced include (but are not limited to): 
i.Global Recycled Standard (GRS).
ii.	Recycled Claim Standard (RCS)
iii.	Ocean Bound Plastic (OBP)
iv.	Certified under standard EN 15343</t>
  </si>
  <si>
    <t>Agriculture</t>
  </si>
  <si>
    <t>Sustainable agriculture</t>
  </si>
  <si>
    <t>Sustainable growing of crops</t>
  </si>
  <si>
    <t>A.7.7. Sustainable growing of crops</t>
  </si>
  <si>
    <t>Natural cycle-respecting, low carbon or certified crops production</t>
  </si>
  <si>
    <r>
      <rPr>
        <b/>
        <sz val="8"/>
        <rFont val="Santander Text"/>
        <family val="2"/>
      </rPr>
      <t>What is it?</t>
    </r>
    <r>
      <rPr>
        <sz val="8"/>
        <rFont val="Santander Text"/>
        <family val="2"/>
      </rPr>
      <t xml:space="preserve"> Natural cycle-respecting, low carbon or certified crops production.</t>
    </r>
  </si>
  <si>
    <r>
      <rPr>
        <sz val="8"/>
        <color rgb="FF000000"/>
        <rFont val="Santander Text"/>
      </rPr>
      <t xml:space="preserve">Meets ONE applicable criterion _
1. Crops are growed within their natural cycle or low-carbon energy for heat and power. _
2. ONE organic agriculture certification: 
a. EU Organic
b. USDA 
c. Canada Organic
d. Nespresso AAA Sustainable Quality Program for Organic Farming
e. Biosuisse for cropping agriculture
f. Orgánico SAGARPA Mexico for cropping agriculture
g. Organico Brasil for cropping agriculture
h. SAG´s Certificación de Productos Orgánicos Agrícolas
i. Regenerative Organic Certified
j. DAKKS – Mayacert
k. Union for Ethical Bio Trade (UEBT)
l. ZERYA – Produção Agro sem Resíduos_
3. ONE sustainable agriculture certification: 
a. Naturland 
b. Linking Environment and Farming (LEAF) Standard 
c. Sustainable Rice Platform (SRP)
d. Bord Bia Quality Assurance Scheme 
e. Fairtrade International 
f. ProTerra Standard for cropping agriculture 
g. Rainforest Alliance 
h. Bonsucro 
i. UTZ Certification for cropping agriculture 
j. 4C Code of Conduct 
k. C.A.F.E Practices Verification 
l. Global Good Agricultural Practice (Global GAP), including Integrated Farm Assurance - Crops Base
m. Fairtrade International 
n. Planet Proof 
</t>
    </r>
    <r>
      <rPr>
        <strike/>
        <sz val="8"/>
        <color rgb="FFFF0000"/>
        <rFont val="Santander Text"/>
      </rPr>
      <t>o. Wineries for Climate Protection (WfCP)
p.</t>
    </r>
    <r>
      <rPr>
        <sz val="8"/>
        <color rgb="FFFF0000"/>
        <rFont val="Santander Text"/>
      </rPr>
      <t xml:space="preserve">o. </t>
    </r>
    <r>
      <rPr>
        <sz val="8"/>
        <color rgb="FF000000"/>
        <rFont val="Santander Text"/>
      </rPr>
      <t xml:space="preserve">RSPO Roundtable on Sustainable Palm Oil 
</t>
    </r>
    <r>
      <rPr>
        <sz val="8"/>
        <color rgb="FFFF0000"/>
        <rFont val="Santander Text"/>
      </rPr>
      <t>p. Aapresid Certificaciones (Cert. Agricultura Sustentable Certificada - ASC, Argentina)
q. Buenas Prácticas Agrícolas Certificadas (BPA, Argentina) at National level
r. Certificación OIA (Organización Internacional Agropecuaria, Argentina)
s. SAI Platform
t. Integrated production certificates (only from Spain &amp; Portugal)
u. Sustainable grown certificate</t>
    </r>
    <r>
      <rPr>
        <sz val="8"/>
        <color rgb="FF000000"/>
        <rFont val="Santander Text"/>
      </rPr>
      <t xml:space="preserve"> _
4. ONE soy certification: 
a. Roundtable for Responsible Soy (RTRS)
b. 3S Cargill Program (Triple S Soy)
5. ONE cotton certification: 
a. Better Cotton Initiative (BCI)
b. ECOCERT COMOS Organic
c. OEKO-TEX Organic Cotton
d. ABR Algodao Brasileiro Responsavel/ Brazilian Responsible Cotton (ABR) _
</t>
    </r>
    <r>
      <rPr>
        <sz val="8"/>
        <color rgb="FFFF0000"/>
        <rFont val="Santander Text"/>
      </rPr>
      <t>6. ONE wine certification: 
a. Wineries for Climate Protection (WfCP)
b. Bodegas de Argentina (Argentina)
c. Código Nacional de Sustentabilidad de la Industria Vinícola (Chile)- Sustainability Code for Wineries of Chile
d. The National Reference of Sustainability Certification in the Wine Sector (Portugal)
e. Wines of Alentejo Sustainability Programme (Portugal) _</t>
    </r>
  </si>
  <si>
    <t>12) Responsible consumption and production
14) Life below water
15) Life on land</t>
  </si>
  <si>
    <t>Soil Remediation</t>
  </si>
  <si>
    <t>A.7.8. Soil Remediation</t>
  </si>
  <si>
    <t>Soil remediation</t>
  </si>
  <si>
    <t>Recovery and restoration of degraded soil</t>
  </si>
  <si>
    <r>
      <rPr>
        <b/>
        <sz val="8"/>
        <rFont val="Santander Text"/>
        <family val="2"/>
      </rPr>
      <t>What is it?</t>
    </r>
    <r>
      <rPr>
        <sz val="8"/>
        <rFont val="Santander Text"/>
        <family val="2"/>
      </rPr>
      <t xml:space="preserve"> Recovery and restoration of degraded soil.</t>
    </r>
  </si>
  <si>
    <t>Meets ONE applicable criterion _
1. EU standards on good agricultural and environmental condition of land (GAEC, Certificación Ecológica), relating to soil management. _
2. Measures to avoid soil salinization and maintain soil integrity and fertility _
3. ONE of the following best practices:
a. Sown biodiverse pastures (not industrial livestock grazing)
b. Biological nitrogen fixation
c. Low use of synthetic fertilizers, such as using organic fertilizers 
d. Minimum use of pesticides
e. Soil treatment for biogas production
f. Dry agriculture
g. Crop rotation
h. Sowing of diverse cover crops _</t>
  </si>
  <si>
    <t xml:space="preserve">Low-carbon agricultural technologies </t>
  </si>
  <si>
    <t xml:space="preserve">A.7.9. Low-carbon agricultural technologies </t>
  </si>
  <si>
    <t>A.7.9. Low-carbon agricultural technologies to improve efficiency (e.g. techniques used in precision farming, hydroponics farming, aeroponics farming)</t>
  </si>
  <si>
    <t>Low-carbon agricultural technologies to improve efficiency (e.g. techniques used in precision farming, hydroponics farming, aeroponics farming)</t>
  </si>
  <si>
    <t xml:space="preserve">Low-carbon agricultural technologies that improve productivity and efficiency while reducing environmental impact </t>
  </si>
  <si>
    <r>
      <rPr>
        <b/>
        <sz val="8"/>
        <rFont val="Santander Text"/>
        <family val="2"/>
      </rPr>
      <t>What is it?</t>
    </r>
    <r>
      <rPr>
        <sz val="8"/>
        <rFont val="Santander Text"/>
        <family val="2"/>
      </rPr>
      <t xml:space="preserve"> Low-carbon agricultural technologies that improve productivity and efficiency while reducing environmental impact</t>
    </r>
  </si>
  <si>
    <t>Meets ONE applicable criterion _
1. Improve productivity and efficiency while reducing environmental impact. _
2. Renewable energy sources into the agricultural process. _
3. Activity contributing to the 6 environmental objectives 
 - Climate change mitigation
 - Climate change adaptation
 - Sustainable use and protection of water and marine resources
 - Transition to a circular economy
 - Pollution prevention and control
 - Protection / restoration of biodiversity _</t>
  </si>
  <si>
    <t>Efficient electric machinery (excl. tech for livestock production)</t>
  </si>
  <si>
    <t>A.7.10. Efficient electric machinery (excl. tech for livestock production)</t>
  </si>
  <si>
    <t>A.7.10. Efficient electric machinery, excluding tech for livestock production</t>
  </si>
  <si>
    <t>Efficient electric machinery, excluding tech for livestock production</t>
  </si>
  <si>
    <t>Electric machinery not used for livestock production units boosting efficiency and reducing emissions</t>
  </si>
  <si>
    <r>
      <rPr>
        <b/>
        <sz val="8"/>
        <rFont val="Santander Text"/>
        <family val="2"/>
      </rPr>
      <t xml:space="preserve">What is it? </t>
    </r>
    <r>
      <rPr>
        <sz val="8"/>
        <rFont val="Santander Text"/>
        <family val="2"/>
      </rPr>
      <t>Electric machinery not used for livestock production units boosting efficiency and reducing emissions</t>
    </r>
  </si>
  <si>
    <t>Meets ONE applicable criterion _
1. Zero emission vehicles. _
2. Low-emission heavy-duty vehicles with specific direct CO2 emissions of less than 50% of their group’s reference. _
3. Improve efficiency of fertilizer use. _
4. Low-emission electric machinery acquisition or R&amp;D. _</t>
  </si>
  <si>
    <t>Regenerative Farming</t>
  </si>
  <si>
    <t>A.7.11. Regenerative Farming</t>
  </si>
  <si>
    <t>Regenerative farming</t>
  </si>
  <si>
    <t>Regenerative farming practices</t>
  </si>
  <si>
    <r>
      <rPr>
        <b/>
        <sz val="8"/>
        <rFont val="Santander Text"/>
        <family val="2"/>
      </rPr>
      <t>What is it?</t>
    </r>
    <r>
      <rPr>
        <sz val="8"/>
        <rFont val="Santander Text"/>
        <family val="2"/>
      </rPr>
      <t xml:space="preserve"> Regenerative farming practices</t>
    </r>
  </si>
  <si>
    <r>
      <t xml:space="preserve">Meets ONE applicable criterion _
1. No-till farming OR receives Eco-scheme P4 funding. _
2. Cover cropping practices preserve biological structure OR receives Eco-scheme P3 funding. _
3. Crop rotation OR receives Eco-scheme P3 funding. _
4. Reduce reliance on synthetic inputs. _
5. Build silvopastures combining managed grazing and agroforestry techniques. _
6. Regenerative Organic Certified / Certificación Ecológica / Farm Sustainability Assessment (FSA) Program / ISCC Non-GMO Food &amp; Feed.
</t>
    </r>
    <r>
      <rPr>
        <sz val="8"/>
        <color rgb="FFFF0000"/>
        <rFont val="Santander Text"/>
        <family val="2"/>
      </rPr>
      <t>7. Aapresid Certificaciones (Cert. Agricultura Sustentable Certificada - ASC)</t>
    </r>
    <r>
      <rPr>
        <sz val="8"/>
        <rFont val="Santander Text"/>
        <family val="2"/>
      </rPr>
      <t xml:space="preserve"> _</t>
    </r>
  </si>
  <si>
    <t>Agricultural Structures</t>
  </si>
  <si>
    <t>A.7.12. Agricultural Structures</t>
  </si>
  <si>
    <t>Structures for water and energy saving</t>
  </si>
  <si>
    <r>
      <rPr>
        <b/>
        <sz val="8"/>
        <rFont val="Santander Text"/>
        <family val="2"/>
      </rPr>
      <t>What is it?</t>
    </r>
    <r>
      <rPr>
        <sz val="8"/>
        <rFont val="Santander Text"/>
        <family val="2"/>
      </rPr>
      <t xml:space="preserve"> Structures for water and energy saving.</t>
    </r>
  </si>
  <si>
    <t>Meets ONE applicable criterion _
1. Heated agricultural structures: 30 % reduction of energy consumption or run 100% renewable energy (new structures). _
2. Other agricultural structures: ensure water and energy saving. _
3. Indoor farming: ensure water, energy and fertilizer use reduction and the structure is suited to the location’s climate conditions. _</t>
  </si>
  <si>
    <t>Integrated Crop-Livestock-Forestry Systems (ICLFS)</t>
  </si>
  <si>
    <t>A.7.13. Integrated Crop-Livestock-Forestry Systems (ICLFS)</t>
  </si>
  <si>
    <t>Operations that use ICLFS (Integrated Crop-Livestock-Forestry Systems), where operations have sustainable forest management processes in place.</t>
  </si>
  <si>
    <r>
      <rPr>
        <b/>
        <sz val="8"/>
        <rFont val="Santander Text"/>
        <family val="2"/>
      </rPr>
      <t xml:space="preserve">What is it? </t>
    </r>
    <r>
      <rPr>
        <sz val="8"/>
        <rFont val="Santander Text"/>
        <family val="2"/>
      </rPr>
      <t>Operations that use ICLFS, where operations have sustainable forest management processes in place.</t>
    </r>
  </si>
  <si>
    <t>Meets ONE applicable criterion _
1. Meets the definition EXCLUDING livestock management projects for industrial-scale meat processors/producers, and projects towards industrial-scale livestock. _</t>
  </si>
  <si>
    <t xml:space="preserve">Sustainable Feed Production </t>
  </si>
  <si>
    <t xml:space="preserve">A.7.14. Sustainable Feed Production </t>
  </si>
  <si>
    <t>Low additives feed using to reduce gas formation or ensuring soybean certification (excluding industrial-scale projects)</t>
  </si>
  <si>
    <r>
      <rPr>
        <b/>
        <sz val="8"/>
        <rFont val="Santander Text"/>
        <family val="2"/>
      </rPr>
      <t>What is it?</t>
    </r>
    <r>
      <rPr>
        <sz val="8"/>
        <rFont val="Santander Text"/>
        <family val="2"/>
      </rPr>
      <t xml:space="preserve"> Low additives feed using to reduce gas formation or ensuring soybean certification (excluding industrial-scale projects)</t>
    </r>
  </si>
  <si>
    <t>Meets ONE applicable criterion _
1. Production process aligned with Santander criteria (ALL) for:
- Sustainable growing of crops
- Livestock management
- Agricultural Structures _
2. Additives to reduce methane formation or other gases in the gut. _
3. Certified soybean production certificated (ONE): 
-The Roundtable on Responsible Soy Association (RTRS) 
-The ProTerra Standard for Sustainable Soy Production 
-Cargill Triple S™ (Sustainably Sourced &amp; Supplied) 
-Certificación Ecológica
-Farm Sustainability Assessment (FSA) Program
-Basel Criteria for Responsible Soy Production
-European Compound Feed Manufacturers’ Federation (FEFAC) Soy Sourcing Guidelines
-US Soy Sustainability Assurance Protocol (SSAP)
-ISCC Non-GMO Food &amp; Feed _</t>
  </si>
  <si>
    <t>Sustainable Agricultural Production</t>
  </si>
  <si>
    <t>A.7.18. Sustainable Agricultural Production</t>
  </si>
  <si>
    <t>Agricultural standards’ compliant production</t>
  </si>
  <si>
    <r>
      <rPr>
        <b/>
        <sz val="8"/>
        <rFont val="Santander Text"/>
        <family val="2"/>
      </rPr>
      <t xml:space="preserve">What is it? </t>
    </r>
    <r>
      <rPr>
        <sz val="8"/>
        <rFont val="Santander Text"/>
        <family val="2"/>
      </rPr>
      <t>Agricultural standards’ compliant production</t>
    </r>
  </si>
  <si>
    <r>
      <t xml:space="preserve">Meets ALL the applicable criteria _
1.Short rotation advanced-bioenergy crop production on marginal/pastures land which complies with Greening Environmental Certification System. _
2. Avoidance of GHG emissions in storage and processing of manure and slurry, and management of grasslands through AT LEAST ONE of the following:
a. Optimising fertilization
b. Low-emission  slurry applications and machines _
3. Electrical Agricultural Equipment for crop and livestock production. _
4. ONE certified agricultural activity:
A. ONE Organic agriculture certification: 
a. EU Organic
b. USDA 
c. Canada Organic
d. Nespresso AAA Sustainable Quality Program for Organic Farming
e. Biosuisse for cropping agriculture
f. Orgánico SAGARPA Mexico for cropping agriculture
g. Organico Brasil for cropping agriculture
h. SAG´s Certificación de Productos Orgánicos Agrícolas
i. Regenerative Organic Certified
j. DAKKS – Mayacert
B. ONE Sustainable agriculture certification
a. Naturland 
b. Linking Environment and Farming (LEAF) Standard 
c. Good Cultivation and Harvesting Practices for Medicinal Plants (GACP)
d. Sustainable Rice Platform (SRP)
e. Bord Bia Quality Assurance Scheme 
f. ProTerra Standard for cropping agriculture 
g. Rainforest Alliance 
h. Bonsucro 
i. UTZ Certification for cropping agriculture 
j. 4C Code of Conduct 
k. C.A.F.E Practices Verification 
l. Global Good Agricultural Practice (Global GAP), including Integrated Farm Assurance - Crops Base
m. Sustainable Agriculture Network Standards (SAN)
n. Planet Proof 
o. Tesco Nurture
p. Wineries for Climate Protection (WfCP)
</t>
    </r>
    <r>
      <rPr>
        <sz val="8"/>
        <color rgb="FFFF0000"/>
        <rFont val="Santander Text"/>
        <family val="2"/>
      </rPr>
      <t xml:space="preserve">q. Aapresid Certificaciones (Cert. Agricultura Sustentable Certificada -ASC)
r. Integrated production certificates (only from Spain &amp; Portugal)
s. Sustainable grown certificate
</t>
    </r>
    <r>
      <rPr>
        <sz val="8"/>
        <rFont val="Santander Text"/>
        <family val="2"/>
      </rPr>
      <t xml:space="preserve">
C.  ONE Soy certification:
a. Roundtable for Responsible Soy (RTRS)
b. 3S Cargill Program (Triple S Soy)
D. ONE Cotton certification
a. Better Cotton Initiative (BCI)
b. ECOCERT COMOS Organic
c. OEKO-TEX Organic Cotton
d. ABR Algodao Brasileiro Responsavel/ Brazilian Responsible Cotton (ABR) _</t>
    </r>
  </si>
  <si>
    <t>Organic Farming</t>
  </si>
  <si>
    <t>A.7.19. Organic Farming</t>
  </si>
  <si>
    <t>Avoiding the use of synthetic fertilizers and pesticides in agriculture</t>
  </si>
  <si>
    <r>
      <rPr>
        <b/>
        <sz val="8"/>
        <rFont val="Santander Text"/>
        <family val="2"/>
      </rPr>
      <t xml:space="preserve">What is it? </t>
    </r>
    <r>
      <rPr>
        <sz val="8"/>
        <rFont val="Santander Text"/>
        <family val="2"/>
      </rPr>
      <t>Avoiding the use of synthetic fertilizers and pesticides in agriculture</t>
    </r>
  </si>
  <si>
    <r>
      <t xml:space="preserve">Meets ONE applicable criterion _
1. Complies with ALL the following:
  - Fertilizers and pesticides avoidance.
  - Registered with a relevant national control agency.
  - Yearly inspection and a set of  organic production compliance checks.
   -Conversion process undergoing:
      - During conversion process, output cannot be sold as organic.
      - Its length depends on the type of organic product to be produced. _
2. ONE of the following certificates:
a. EU Organic
b. USDA 
c. Canada Organic
d. Nespresso AAA Sustainable Quality Program for Organic Farming
e. Orgánico SAGARPA Mexico for cropping agriculture
f. Organico Brasil for cropping agriculture
g. JAS Organic Label
h. SAG's Certificación de Productos Orgánicos Agricolas 
i. Biosuisse for cropping agriculture 
j. Naturland 
k. DAKKS – Mayacert
l. Global Organic Textile Standard
m. Equivalent certification (certificación ecológica)
</t>
    </r>
    <r>
      <rPr>
        <strike/>
        <sz val="8"/>
        <rFont val="Santander Text"/>
        <family val="2"/>
      </rPr>
      <t>n. Basel Criteria for Responsible Soy Production
o. ISCC Non-GMO Food &amp; Feed _</t>
    </r>
  </si>
  <si>
    <t>Sustainable Land Purchase and Transformation</t>
  </si>
  <si>
    <t>A.7.20. Sustainable Land Purchase and Transformation</t>
  </si>
  <si>
    <t>Sustainable land purchase and transformation</t>
  </si>
  <si>
    <t>Transforming newly acquired existing farmland with agricultural practices that reduce emissions</t>
  </si>
  <si>
    <r>
      <rPr>
        <b/>
        <sz val="8"/>
        <rFont val="Santander Text"/>
        <family val="2"/>
      </rPr>
      <t>What is it?</t>
    </r>
    <r>
      <rPr>
        <sz val="8"/>
        <rFont val="Santander Text"/>
        <family val="2"/>
      </rPr>
      <t xml:space="preserve"> Transforming newly acquired existing farmland with agricultural practices that reduce emissions.</t>
    </r>
  </si>
  <si>
    <t xml:space="preserve">Meets ALL the applicable criteria _
1. Prior to acquisition, agricultural management plan submitted. _
2. Audits conducted to ensure compliance with sustainability targets and goals. _
3. Accurate data collection and reporting. _
4. Sustainability KPIs include sustainable fertilization, soil management, water management and biodiversity management practices. _
</t>
  </si>
  <si>
    <t>Afforestation / Reforestation</t>
  </si>
  <si>
    <t>Afforestation</t>
  </si>
  <si>
    <t>A.7.1. Afforestation</t>
  </si>
  <si>
    <t xml:space="preserve">Planting, seeding or regenerate a forest on a land previously used for a different purpose / not used </t>
  </si>
  <si>
    <r>
      <rPr>
        <b/>
        <sz val="8"/>
        <rFont val="Santander Text"/>
        <family val="2"/>
      </rPr>
      <t>What is it?</t>
    </r>
    <r>
      <rPr>
        <sz val="8"/>
        <rFont val="Santander Text"/>
        <family val="2"/>
      </rPr>
      <t xml:space="preserve"> Planting, seeding or regenerate a forest on a land previously used for a different purpose / not used </t>
    </r>
  </si>
  <si>
    <r>
      <rPr>
        <sz val="8"/>
        <color rgb="FF000000"/>
        <rFont val="Santander Text"/>
      </rPr>
      <t xml:space="preserve">Meets ONE applicable criterion _
1. Activities related to paper, wood or cork (only if sourced from well-managed forests according to FSC and PEFC. Otherwise NOT eligible). </t>
    </r>
    <r>
      <rPr>
        <sz val="8"/>
        <color rgb="FFFF0000"/>
        <rFont val="Santander Text"/>
      </rPr>
      <t>For cork from Spain or Portugal, certification is not required, but an Environmental and Social assessment must confirm no issues. If cork content is under 90%, materials and manufacturing must be specifically reviewed for compliance</t>
    </r>
    <r>
      <rPr>
        <sz val="8"/>
        <color rgb="FF000000"/>
        <rFont val="Santander Text"/>
      </rPr>
      <t>. _
2. Credible scheme certification, also for maize (e.g. FSC, PEFC). _
3. Eco-scheme P5 where the whole area receives funding. _</t>
    </r>
  </si>
  <si>
    <t>Meets ALL applicable criteria _
4. Content of afforestation plan older than 5 years, continuously updated and monitored:
-Description of the area / publication in official gazette.
Preparation of the site and its impacts on pre-existing carbon stocks
-Constraints, definition and assessment of risk management and strategies
-Assessment of impacts on food security
-Forest habitat context
-Infrastructure and access
-Social issues
5. Forest management plan older than 10 years including the contents of criterion no. 4. _
6. Management systems to ensure maintenance of carbon stocks and carbon sink levels (subject to due diligence). _
7. Complies with ONE of the following:
a. Pan-European guidelines for afforestation and reforestation with particular attention to the provisions of the UNFCCC.
b. In the case of tending, thinning or grazing activities, an assessment of their potential invasiveness is required. _
8. Forests over 13 ha perform a climate benefit analysis for carbon pools that meets EVERYTHING:
-30-year GHG emissions balance is lower than baseline BAU practices in the absence of the activity._
-Conservative and consistent with the IPCC Guidelines for National Greenhouse Gas Inventories. 
Risk assessment for: non-permanence and reversals of carbon sequestration, saturation and leakage.
-BAU practice is ONE of the following:
i. Management Plan Practices
ii. Pre-start-up management practices
iii. Management of carbon stocks and sink levels. 
-Resolution is proportional to the size and values of the area.
Emissions/removals due to natural disturbances causing underperformance do not result in non-compliance. _
9. After 2 years and every 10 years thereafter: Climate change mitigation and DNSH criteria verified by ONE of the following:
-National authority.
-External independent certifier. _</t>
  </si>
  <si>
    <t>Forest management</t>
  </si>
  <si>
    <t>A.7.3. Forest management</t>
  </si>
  <si>
    <t>Forest management as defined by national law</t>
  </si>
  <si>
    <r>
      <rPr>
        <b/>
        <sz val="8"/>
        <rFont val="Santander Text"/>
        <family val="2"/>
      </rPr>
      <t xml:space="preserve">What is it? </t>
    </r>
    <r>
      <rPr>
        <sz val="8"/>
        <rFont val="Santander Text"/>
        <family val="2"/>
      </rPr>
      <t>Forest management activities according to national law.</t>
    </r>
  </si>
  <si>
    <t>Meets ONE applicable criterion _
7. Meets ONE of the following activities:
- Restoration of native and high conservation value forests.
- Preservation of valuable natural habitats.
- Restoration of parks or green rooftops in urban areas.
- Permanent conservation of land / non-caused by the client - contaminated soil remediation.
- Entire area Eco-schemes funding (meets ONE): 
- P5 (biodiversity areas)
- P6 (sown vegetation cover)
- P7 (inert cover). 
- Gestão Florestal Sustentável (Sustainable Forest Management) Certificate (Portugese spinoff of PEFC)</t>
  </si>
  <si>
    <t>Meets ALL the applicable criteria _
1. 10+ year, continuously updated and monitored afforestation plan contents:
- Area description / gazetting
- Site preparation and its impacts on pre-existing carbon stocks
 -Constraints, risk &amp; strategy management definition &amp; assessment
- Forest habitat context
- Infrastructure and access
- Societal issues _
2. Complies with ONE of the following:
a. Forest management matches national definition.
b. Pan-European Guidelines for Afforestation and Reforestation with a special focus on the provisions of the UNFCCC.
c. ISCC Solid Biomass (only in NL).
d. Certificación Ecológica.
e. Management systems in place to guarantee (ALL):
      - Legality of harvesting operations
      - Forest regeneration of harvested areas
      - Protection of areas designated for nature protection purposes
      - Carbon stocks and sinks levels in the forest are maintained _
3. Management systems subjected to due diligence. _
4. No degradation of land with high carbon stock and biodiversity value. _
5. Forests over 13ha conduct a climate benefit analysis for carbon pools complying with ALL:
-30 year balance of GHG emissions is lower than BAU practices’ baseline in the absence of the activity.
-Conservative and consistent with IPCC Guidelines for National Greenhouse Gas Inventories. 
-Risk assessment for: non-permanence and reversals of carbon sequestration, saturation and leakage.
-BAU practice is ONE of the following:
-Management Plan’s practices
-Management practices prior the start of the activity
-Carbon stock and sink levels management 
-The resolution is proportionate to the area’s size and values.
-Emissions / removals due to natural disturbances which cause underperformance do not result in non-compliance. _
6. After 2 years and every 10 years thereafter: Climate Change Mitigation and DNSH criteria verified by ONE of the following:
- National Authority.
- Independent third-party certifier. _</t>
  </si>
  <si>
    <t>Land conservation, restoration, soil remediation</t>
  </si>
  <si>
    <t>Rehabilitation and restoration of forests</t>
  </si>
  <si>
    <t>A.7.2. Rehabilitation and restoration of forests</t>
  </si>
  <si>
    <t>A.7.2. Rehabilitation and restoration of forests, including reforestation and natural forest regeneration after an extreme event</t>
  </si>
  <si>
    <t>Rehabilitation and restoration of forests, including reforestation and natural forest regeneration after an extreme event</t>
  </si>
  <si>
    <t>Rehabilitation and restoration of forests according to national law</t>
  </si>
  <si>
    <r>
      <rPr>
        <b/>
        <sz val="8"/>
        <rFont val="Santander Text"/>
        <family val="2"/>
      </rPr>
      <t xml:space="preserve">What is it? </t>
    </r>
    <r>
      <rPr>
        <sz val="8"/>
        <rFont val="Santander Text"/>
        <family val="2"/>
      </rPr>
      <t>Rehabilitation and restoration of forests according to national law</t>
    </r>
  </si>
  <si>
    <t>Meets ALL the applicable criteria _
1. 10+ year, continuously updated and monitored afforestation plan contents:
- Area description / gazetting
- Site preparation and its impacts on pre-existing carbon stocks
- Constraints, risk &amp; strategy management definition &amp; assessment
- Forest habitat context
- Infrastructure and access
- Societal issues _
2. 
Complies with ONE of the following:
a. Forest management matches national definition
b. Pan-European Guidelines for Afforestation and Reforestation with a special focus on the provisions of the UNFCCC.
c. Cerificación ecológica.
d. ISCC Solid Biomass (only in NL).
e. Management systems in place to guarantee (ALL):
- Legality of harvesting operations
- Forest regeneration of harvested areas
- Protection of areas designated for nature protection purposes
- Carbon stocks and sinks levels in the forest are maintained _
3. Management systems subjected to due diligence. _
4. No degradation of land with high carbon stock and biodiversity value _
5. Forests over 13ha conduct a climate benefit analysis for carbon pools complying with ALL:
- 30 year balance of GHG emissions is lower than BAU practices’ baseline in the absence of the activity.
- Conservative and consistent with IPCC Guidelines for National Greenhouse Gas Inventories. 
- Risk assessment for: non-permanence and reversals of carbon sequestration, saturation and leakage.
- BAU practice is ONE of the following:
- Management Plan’s practices
- Management practices prior the start of the activity
-Carbon stock and sink levels management 
- The resolution is proportionate to the area’s size and values.
- Emissions / removals due to natural disturbances which cause underperformance do not result in non-compliance. _
6. After 2 years and every 10 years thereafter: Climate Change Mitigation and DNSH criteria verified by ONE of the following:
- National Authority
- Independent third-party certifier. _</t>
  </si>
  <si>
    <t>Conservation forestry</t>
  </si>
  <si>
    <t>A.7.4. Conservation forestry</t>
  </si>
  <si>
    <t>Forest management activities with the objective of preserving one or more habitats or species.</t>
  </si>
  <si>
    <r>
      <rPr>
        <b/>
        <sz val="8"/>
        <rFont val="Santander Text"/>
        <family val="2"/>
      </rPr>
      <t>What is it?</t>
    </r>
    <r>
      <rPr>
        <sz val="8"/>
        <rFont val="Santander Text"/>
        <family val="2"/>
      </rPr>
      <t xml:space="preserve"> Habitat protection – oriented forest management.</t>
    </r>
  </si>
  <si>
    <t>Meets ONE applicable criterion _
8. Meets ONE of the following activities
- Restoration of native and high conservation value forests.
- Preservation of valuable natural habitats.
- Restoration of parks or green rooftops in urban areas.
- Permanent conservation of land / non-caused by the client - contaminated soil remediation.
- Entire area Eco-schemes funding (meets ONE): 
     - P5 (biodiversity areas)
     - P6 (sown vegetation cover)
     - P7 (inert cover). _</t>
  </si>
  <si>
    <t>Meets ALL the applicable criteria _
1. 10+ year, continuously updated and monitored afforestation plan contents:
-Area description / gazetting
-Site preparation and its impacts on pre-existing carbon stocks
-Constraints, risk &amp; strategy management definition &amp; assessment
-Impact on food security assessment
-Forest habitat context
-Infrastructure and access
-Societal issues _
2. The Forest plan complies with ALL the following:
a. Objective: soil / water protection, conservation of biodiversity or social services and promotes biodiversity-friendly practices.
b. Includes an analysis containing:
   - Habitat conservation &amp; diversity impacts
   - Condition of harvesting minimizing soil impacts
   - Impacting activities on conservation goals (fishing, mining, etc.). _
3. No degradation of land with high carbon stock and biodiversity value _
4. Management systems subjected to due diligence for ensuring carbon stocks and sink levels maintenance. _
5. Complies with ONE of the following:
a. Forest management matches national definition
b. Pan-European Guidelines for Afforestation and Reforestation with a special focus on the provisions of the UNFCCC.
c. ISCC Solid Biomass (only in NL).
d. Certificación Ecológica
e. In case of conducting tending, thinning or grazing activities, an assessment of their potential invasive character is required _
6.  Forests over 13ha conduct a climate benefit analysis for carbon pools complying with ALL:
 - 30 year balance of GHG emissions is lower than BAU practices’ baseline in the absence of the activity.
- Conservative and consistent with IPCC Guidelines for National Greenhouse Gas Inventories. 
- Risk assessment for: non-permanence and reversals of carbon sequestration, saturation and leakage.
-BAU practice is ONE of the following:
     - Management Plan’s practices
     - Management practices prior the start of the activity
     - Carbon stock and sink levels management 
  - The resolution is proportionate to the area’s size and values.
  - Emissions / removals due to natural disturbances which cause underperformance do not result in non-compliance. _
7. After 2 years and every 10 years thereafter: Climate Change Mitigation and DNSH criteria verified by ONE of the following:
- National Authority
- Independent third-party certifier _</t>
  </si>
  <si>
    <t>Restoration of wetlands</t>
  </si>
  <si>
    <t>A.7.5. Restoration of wetlands</t>
  </si>
  <si>
    <t>Return to original conditions of wetlands promotion</t>
  </si>
  <si>
    <r>
      <rPr>
        <b/>
        <sz val="8"/>
        <rFont val="Santander Text"/>
        <family val="2"/>
      </rPr>
      <t>What is it?</t>
    </r>
    <r>
      <rPr>
        <sz val="8"/>
        <rFont val="Santander Text"/>
        <family val="2"/>
      </rPr>
      <t xml:space="preserve"> Return to original conditions of wetlands promotion. </t>
    </r>
  </si>
  <si>
    <t>Meets ALL applicable criteria _
4. For non-EU countries, same as EU taxonomy consistent criteria excepting compliance with LTO</t>
  </si>
  <si>
    <t>Meets ALL the applicable criteria _
1. Ramsar Convention consistent, continuously monitored and updated, management plan covering (ALL): 
- Site management objectives strategic plan and description of activities.
-Factors, constraints and obligations, that influence the project’s features and goals
-Conflicts of interest forum
-Integral monitoring program.
-Resources and budget
-Communication channels with all stakeholders
-Ensure compliance with local, national, and international policies
- Careful consideration of local hydrological and pedological conditions (soil saturation, aerobic and anaerobic conditions, etc.) _
2. Climate benefit analysis for carbon pools complying with ALL:
- 30 year balance of GHG emissions is lower than BAU practices’ baseline in the absence of the activity.
-100-year long-term average net GHG balance is lower than the equivalent baseline.
-Conservative and consistent with IPCC Guidelines for National Greenhouse Gas Inventories (if needed, including an identification of the different land categories covered by the involved area). 
- Risk assessment for: non-permanence and reversals of carbon sequestration, saturation and leakage.
- Case of coastal wetlands: projections of expected relative sea level rise and the potential that the wetlands will migrate.
- BAU practice is ONE of the following:
- Management Plan’s practices
- Management practices prior the start of the activity
- Carbon stock and sink levels management 
- The resolution is proportionate to the area’s size and values.
- Emissions / removals due to natural disturbances which cause underperformance do not result in non-compliance. _
3. After 2 years and every 10 years thereafter: Climate Change Mitigation and DNSH criteria verified by ONE of the following:
- National Authority
- Independent third-party certifier. _</t>
  </si>
  <si>
    <t>Conservation/restoration habitats, ecosystems, species</t>
  </si>
  <si>
    <t>A.7.6. Conservation/restoration habitats, ecosystems, species</t>
  </si>
  <si>
    <t>A.7.6. Conservation, including restoration, of habitats, ecosystems and species</t>
  </si>
  <si>
    <t>Conservation, including restoration, of habitats, ecosystems and species</t>
  </si>
  <si>
    <t>Restoration of native and high conservation value forests or preservation of biodiversity in urban areas</t>
  </si>
  <si>
    <r>
      <rPr>
        <b/>
        <sz val="8"/>
        <rFont val="Santander Text"/>
        <family val="2"/>
      </rPr>
      <t>What is it?</t>
    </r>
    <r>
      <rPr>
        <sz val="8"/>
        <rFont val="Santander Text"/>
        <family val="2"/>
      </rPr>
      <t xml:space="preserve"> Restoration of native and high conservation value forests or preservation of biodiversity in urban areas</t>
    </r>
  </si>
  <si>
    <t>Meets ALL the applicable criteria _
1. Goal: Maintenance of ecosystems, species, habitats or of habitats of species. _
2. Goal: Restoring ecosystems, habitats or habitats of species towards or to good condition _
3.Description of area’s initial ecological conditions which contents:
- Mapping of the current habitats and their condition. 
- Protection status of the area.
- Conservation situation of the main species, habitats or habitats of species. 
- Importance of the area.
- Improving possibilities. _
4. Continuously monitored and updated management plan containing:
a. Expected contribution of the activity.
b. List of species, habitats and habitats of the species that will benefit from the conservation measures.
c. Plan and roadmap.
d. Risks and threads assessment and measures to ensure that all DNSH criteria for this activity are achieved.
e. Societal issues.
f. If applicable, enhance ecosystem services.
g. Monitoring scheme and KPIs.
h. Stakeholders &amp; partnerships.
i. Needed funding. _</t>
  </si>
  <si>
    <t>A.7.17. Carbon Sequestration</t>
  </si>
  <si>
    <t>A.7.17. Carbon Sequestration Activities</t>
  </si>
  <si>
    <t>Carbon sequestration activities</t>
  </si>
  <si>
    <t>Natural or artificial process CO2 removal from the atmosphere to be held in solid or liquid form</t>
  </si>
  <si>
    <r>
      <rPr>
        <b/>
        <sz val="8"/>
        <rFont val="Santander Text"/>
        <family val="2"/>
      </rPr>
      <t>What is it?</t>
    </r>
    <r>
      <rPr>
        <sz val="8"/>
        <rFont val="Santander Text"/>
        <family val="2"/>
      </rPr>
      <t xml:space="preserve"> Natural or artificial process CO2 removal from the atmosphere to be held in solid or liquid form</t>
    </r>
  </si>
  <si>
    <t>Meets ALL the applicable criteria _
1. No conversion of high carbon stock lands (HCV or HCF according to FSC). _
2. Supports relevant low GHG best practices demonstrated by ONE of the following:
a. Climate-aligned % reduction in GHG emissions over the investment period vs its start.
b. Low-emission agricultural best practices evidence. _
3.  Critical interdependencies between the intervention and the agricultural production unit. Wider systems related identified. _
4. Key physical climate hazards assessment, which might include an Environmental Impact Assessment or equivalent. _</t>
  </si>
  <si>
    <t>A.7.15. Livestock Management</t>
  </si>
  <si>
    <t>Livestock Management</t>
  </si>
  <si>
    <t>Use of integrated crop-livestock-forestry systems for sustainable forest management / sustainable feed productions / emissions reduction processes  (excluding industrial-scale projects)</t>
  </si>
  <si>
    <r>
      <rPr>
        <b/>
        <sz val="8"/>
        <rFont val="Santander Text"/>
        <family val="2"/>
      </rPr>
      <t>What is it?</t>
    </r>
    <r>
      <rPr>
        <sz val="8"/>
        <rFont val="Santander Text"/>
        <family val="2"/>
      </rPr>
      <t xml:space="preserve"> Use of integrated crop-livestock-forestry systems for sustainable forest management / sustainable feed productions / emissions reduction processes  (excluding industrial-scale projects).</t>
    </r>
  </si>
  <si>
    <r>
      <rPr>
        <sz val="8"/>
        <color rgb="FF000000"/>
        <rFont val="Santander Text"/>
      </rPr>
      <t xml:space="preserve">Meets ALL applicable criteria _
1. Comply with local regulation. _
2. Complies with ONE of the following
a. One of those certificates:
     - Sustainable Beef and Lamb Assurance Scheme (SBLAS).
     - Food Alliance Certified Livestock Producers (Level 4).
     - Industrial emission license for pig and poultry enterprises.
     - Any equivalent certification.
b. Sustainable management of livestock and waste to reduce methane &amp; GHG emissions.
 c. Changes to animal feed to reduce nitrous oxide and methane emissions.
d. Feedlot and in-house livestock sustainably sourced and from areas nor recently converted from natural habitat. _
3. Intensive production: One of the following standards:
- IFC Good Practice Note on Animal Welfare in Livestock Operations. 
- World Organization for Animal Health. 
- FARMS Initiative.
- Certificación Ecológica
-Farm Sustainability Assessment (FSA) Program.
</t>
    </r>
    <r>
      <rPr>
        <sz val="8"/>
        <color rgb="FFFF0000"/>
        <rFont val="Santander Text"/>
      </rPr>
      <t xml:space="preserve">- Welfair certification (bienestar animal, Argentina)
- Certification by the North American Meat Institute Foundation (NAMI)
- INAC Bienestar Animal
- IRAM certificate (under IRAM 14400 norm)
- Humane certificate (audited by Certified Humane International)
- WelfCert
</t>
    </r>
    <r>
      <rPr>
        <sz val="8"/>
        <color rgb="FF000000"/>
        <rFont val="Santander Text"/>
      </rPr>
      <t>-Equivalent.
-ISCC Non-GMO Food &amp; Feed _</t>
    </r>
  </si>
  <si>
    <t>A.7.16. Sustainable aquaculture and fishing</t>
  </si>
  <si>
    <t>A.7.16. Sustainable Aquaculture and Fishing</t>
  </si>
  <si>
    <t>Sustainable Aquaculture and Fishing</t>
  </si>
  <si>
    <t>Certified, sustainable produced seafood</t>
  </si>
  <si>
    <r>
      <rPr>
        <b/>
        <sz val="8"/>
        <rFont val="Santander Text"/>
        <family val="2"/>
      </rPr>
      <t xml:space="preserve">What is it? </t>
    </r>
    <r>
      <rPr>
        <sz val="8"/>
        <rFont val="Santander Text"/>
        <family val="2"/>
      </rPr>
      <t>Certified, sustainable produced seafood</t>
    </r>
  </si>
  <si>
    <t>Meets ALL applicable criteria _
1. Sustainable aquaculture - ONE of the following certificates:
a. Aquaculture Stewardship Council (ASC)
b. Best Aquaculture Practice (2 stars or more)
c. Marine Stewardship Council (MSC)
d. Friend of the Sea certification
2. Sustainable fishing: Caught in accordance with ONE of the following standards:
a. Food and Agriculture Organization of the United Nations (FAO) 
b. Code of Conduct for Responsible Fisheries, Marine Stewardship Council (MSC)
c. Global Sustainable Seafood Initiative (GSSI) _</t>
  </si>
  <si>
    <t>Manufacturing</t>
  </si>
  <si>
    <t>Low carbon technologies for transport</t>
  </si>
  <si>
    <t>A.8.4. Low carbon technologies for transport</t>
  </si>
  <si>
    <t>A.8.4. Manufacture of low carbon technologies for transport</t>
  </si>
  <si>
    <t>Manufacture of low carbon technologies for transport</t>
  </si>
  <si>
    <t xml:space="preserve">Manufacture of maintenance of low-carbon transport assets activities. </t>
  </si>
  <si>
    <r>
      <rPr>
        <b/>
        <sz val="8"/>
        <rFont val="Santander Text"/>
        <family val="2"/>
      </rPr>
      <t>What is it?</t>
    </r>
    <r>
      <rPr>
        <sz val="8"/>
        <rFont val="Santander Text"/>
        <family val="2"/>
      </rPr>
      <t xml:space="preserve"> Manufacture of maintenance of low-carbon transport assets activities. </t>
    </r>
  </si>
  <si>
    <t>Meets ONE applicable criterion _
2. Complies with ONE of the following:
a. Electric vehicles and trains.
b. Zero direct emissions vehicles not intended for road.
c. Active mobility.
d.Vehicles and trains with less than 75g CO2 per km or 25g CO2 per tonne-km ONLY until the end of 2025.
e. Hydrogen-powered vehicles.
f. Development of railway transport infrastructure.
g. Development of specialized components for green transportation. 
h. The primary purpose (more than 25% share) is not transportation of fossil  fuel freight _</t>
  </si>
  <si>
    <t>Meets ONE applicable criterion _
1. The activity supports  low carbon technologies for assets complyig with EU taxonomy for Transportation activities. _</t>
  </si>
  <si>
    <t>12) Responsible consumption and production</t>
  </si>
  <si>
    <t>Automotive and mobility components</t>
  </si>
  <si>
    <t>A.8.18. Automotive and mobility components</t>
  </si>
  <si>
    <t>A.8.18. Manufacture of automotive and mobility components</t>
  </si>
  <si>
    <t>Manufacture of automotive and mobility components</t>
  </si>
  <si>
    <r>
      <rPr>
        <b/>
        <sz val="8"/>
        <rFont val="Santander Text"/>
        <family val="2"/>
      </rPr>
      <t>What is it?</t>
    </r>
    <r>
      <rPr>
        <sz val="8"/>
        <rFont val="Santander Text"/>
        <family val="2"/>
      </rPr>
      <t xml:space="preserve"> Manufacture of mobility components</t>
    </r>
  </si>
  <si>
    <t>Meets ONE applicable criterion _
3. Manufacture or maintenance activities of zero-emisión mobility components, approved for use only in vehicles which comply with ALL: 
-Outside EU: Carbon intensity factor below 75g CO2/km
-In EU: Carbon intensity factor below 50g CO2/km by 2026
-Zero direct emissions vehicles not intended for road _</t>
  </si>
  <si>
    <t>Meets ONE applicable criterion _
1. Manufacture or maintenance activities of zero-emisión mobility components, approved for use only in: 
-Vehicles M1, M2, M3 (buses/shuttles): Zero vehicle’s CO2 emissions
-N1, N2, N3 (light comercial vehicles or trucks below 7.5 tonnes of laden mass) or motorbikes with license plate: Zero vehicle’s CO2 emissions _
2. Maintenance and support of zero-emission mobility components por personal mobility devices with a propulsión which comes from:
a.Physical activity of the user
b. Zero-emissions motor
c. Mix of both _</t>
  </si>
  <si>
    <t>Rail rolling stock constituents</t>
  </si>
  <si>
    <t>A.8.19. Rail rolling stock constituents</t>
  </si>
  <si>
    <t>A.8.19. Manufacture of rail rolling stock constituents</t>
  </si>
  <si>
    <t>Manufacture of rail rolling stock constituents</t>
  </si>
  <si>
    <t>Products, equipment, systems or software related to rail constituents.</t>
  </si>
  <si>
    <r>
      <rPr>
        <b/>
        <sz val="8"/>
        <rFont val="Santander Text"/>
        <family val="2"/>
      </rPr>
      <t xml:space="preserve">What is it? </t>
    </r>
    <r>
      <rPr>
        <sz val="8"/>
        <rFont val="Santander Text"/>
        <family val="2"/>
      </rPr>
      <t xml:space="preserve">Products, equipment, systems or software related to rail constituents.
</t>
    </r>
  </si>
  <si>
    <t>Meets ALL applicable criteria _
3. Products, equipment, systems or software related to rail constituents _</t>
  </si>
  <si>
    <t xml:space="preserve">Meets ALL applicable criteria _
1. Activity related to rail constituents or provides related consulting technical services _
2. Constituents are essential to the environmental performance of at least one of the following techologies:
- Trains, passenger coaches and wagons with zero CO2 emissions complying with manufacture of low carbon technologies criteria.
- Trains, passenger coaches and wagons with zero CO2 emissions operated on a track with necessary infrastructure and use conventional, low carbon technologies-compliant engine, where the infrastucture is not available. _
</t>
  </si>
  <si>
    <t>Aircraft</t>
  </si>
  <si>
    <t>A.8.21. Aircraft</t>
  </si>
  <si>
    <t>A.8.21. Manufacturing of aircraft</t>
  </si>
  <si>
    <t>Manufacturing of aircraft</t>
  </si>
  <si>
    <t xml:space="preserve">Manufacture or maintenance of aircraft and aircraft parts or equipment
</t>
  </si>
  <si>
    <r>
      <rPr>
        <b/>
        <sz val="8"/>
        <rFont val="Santander Text"/>
        <family val="2"/>
      </rPr>
      <t>What is it?</t>
    </r>
    <r>
      <rPr>
        <sz val="8"/>
        <rFont val="Santander Text"/>
        <family val="2"/>
      </rPr>
      <t xml:space="preserve"> Manufacture or maintenance of aircraft and aircraft parts or equipment
</t>
    </r>
  </si>
  <si>
    <t xml:space="preserve">Meets ALL applicable criteria _
3. Hybrid planes for freight transport or small distances. _
4. The primary purpose (more than 25% share) should not be the transportation of fossil fuel freight. _
</t>
  </si>
  <si>
    <t>Meets ONE applicable criterion _
1. Zero CO2 emission aircraft_
2. Replacement ratio thresholds:
[TABLE A.8.21] _</t>
  </si>
  <si>
    <t>Renewable energy &amp; hydrogen technologies</t>
  </si>
  <si>
    <t>A.8.1. Renewable energy technologies</t>
  </si>
  <si>
    <t>A.8.1. Manufacture of renewable energy technologies</t>
  </si>
  <si>
    <t>Manufacture of renewable energy technologies</t>
  </si>
  <si>
    <t xml:space="preserve">Manufacture of renewable energy technologies.
</t>
  </si>
  <si>
    <r>
      <rPr>
        <b/>
        <sz val="8"/>
        <rFont val="Santander Text"/>
        <family val="2"/>
      </rPr>
      <t xml:space="preserve">What is it? </t>
    </r>
    <r>
      <rPr>
        <sz val="8"/>
        <rFont val="Santander Text"/>
        <family val="2"/>
      </rPr>
      <t xml:space="preserve">Manufacturing of renewable energy and green technologies
</t>
    </r>
    <r>
      <rPr>
        <b/>
        <sz val="8"/>
        <rFont val="Santander Text"/>
        <family val="2"/>
      </rPr>
      <t>Recommended evidence:</t>
    </r>
    <r>
      <rPr>
        <sz val="8"/>
        <rFont val="Santander Text"/>
        <family val="2"/>
      </rPr>
      <t xml:space="preserve"> EPA Energy Star Certificate, Electronic Product Environmental Assessment Tool (EPEAT)
</t>
    </r>
  </si>
  <si>
    <t xml:space="preserve">Meets ALL the applicable criteria _
1. The economic activity manufactures renewable energy technologies. _
2. Compliance with renewable energy technologies criteria. _
</t>
  </si>
  <si>
    <t>Equipment for production and use of hydrogen</t>
  </si>
  <si>
    <t>A.8.2. Equipment for production and use of hydrogen</t>
  </si>
  <si>
    <t>A.8.2. Manufacture of equipment for the production and use of hydrogen</t>
  </si>
  <si>
    <t>Manufacture of equipment for the production and use of hydrogen</t>
  </si>
  <si>
    <t xml:space="preserve">Manufacture of equipment for the production and use of hydrogen.
</t>
  </si>
  <si>
    <r>
      <rPr>
        <b/>
        <sz val="8"/>
        <rFont val="Santander Text"/>
        <family val="2"/>
      </rPr>
      <t xml:space="preserve">What is it? </t>
    </r>
    <r>
      <rPr>
        <sz val="8"/>
        <rFont val="Santander Text"/>
        <family val="2"/>
      </rPr>
      <t xml:space="preserve">Manufacture of equipment for the </t>
    </r>
    <r>
      <rPr>
        <b/>
        <sz val="8"/>
        <rFont val="Santander Text"/>
        <family val="2"/>
      </rPr>
      <t>production and use of hydrogen.</t>
    </r>
    <r>
      <rPr>
        <sz val="8"/>
        <rFont val="Santander Text"/>
        <family val="2"/>
      </rPr>
      <t xml:space="preserve">
</t>
    </r>
  </si>
  <si>
    <t>Meets ALL the applicable criteria _
1. Technical Screening Criteria set out in manufacture of hydrogen :
- Lifecycle GHG savings 73.4% for hydrogen, resulting lower than 3tCO2e/tH2. 
- 70% for hydrogen-based synthetic fuels (28.2 g CO2e/MJ) relative to a fossil fuel comparator of 94 g CO2e/MJ; quantified and third-party-verified lifecycle GHG emission savings are calculated using one of the following: 
     - ISO 14067:2018119 
     - ISO 14064- 1:2018120 _
2. 
- CO2 leakage of carbon transport methods below 0.5 %.
- Carbon sequestration sites comply with internationally recognized standards (ISO) _</t>
  </si>
  <si>
    <t>Manufacture of hydrogen</t>
  </si>
  <si>
    <t>A.8.3. Manufacture of hydrogen</t>
  </si>
  <si>
    <t>Hydrogen and hydrogen-based synthetic fuels</t>
  </si>
  <si>
    <r>
      <rPr>
        <b/>
        <sz val="8"/>
        <rFont val="Santander Text"/>
        <family val="2"/>
      </rPr>
      <t>What is it?</t>
    </r>
    <r>
      <rPr>
        <sz val="8"/>
        <rFont val="Santander Text"/>
        <family val="2"/>
      </rPr>
      <t xml:space="preserve"> Hydrogen and hydrogen-based synthetic fuels</t>
    </r>
  </si>
  <si>
    <t>Meets ALL the applicable criteria _
1. Technical Screening Criteria set out in manufacture of:
- Lifecycle GHG savings 73.4% for hydrogen, resulting lower than 3tCO2e/tH2. 
- 70% for hydrogen-based synthetic fuels (28.2 g CO2e/MJ) relative to a fossil fuel comparator of 94 g CO2e/MJ; quantified and third-party-verified lifecycle GHG emission savings are calculated using one of the following: 
     - ISO 14067:2018119 
     - ISO 14064- 1:2018120 _
2. 
- CO2 leakage of carbon transport methods below 0.5 %.
- Carbon sequestration sites comply with internationally recognized standards (ISO) _</t>
  </si>
  <si>
    <t>Efficiency equipment &amp; technologies</t>
  </si>
  <si>
    <t>Energy efficiency equipment for buildings</t>
  </si>
  <si>
    <t>A.8.6. Energy efficiency equipment for buildings</t>
  </si>
  <si>
    <t>A.8.6. Manufacture of energy efficiency equipment for buildings</t>
  </si>
  <si>
    <t>Manufacture of energy efficiency equipment for buildings</t>
  </si>
  <si>
    <r>
      <rPr>
        <b/>
        <sz val="8"/>
        <rFont val="Santander Text"/>
        <family val="2"/>
      </rPr>
      <t>What is it?</t>
    </r>
    <r>
      <rPr>
        <sz val="8"/>
        <rFont val="Santander Text"/>
        <family val="2"/>
      </rPr>
      <t xml:space="preserve"> Manufacture of energy efficiency equipment for buildings
</t>
    </r>
  </si>
  <si>
    <t>Meets ONE applicable criterion _
18. ONE of the following certificates:
EU Energy Minimum Rating of B.
PROCEL rating B (BR)
A+ Energy Label (EEE) (AR)
Any equivalent (EPA Energy Star Certificate). _
19. Energy equipment for buildings such as LEDs, BMS, greenroofs, etc. _</t>
  </si>
  <si>
    <t>Meets ONE applicable criterion _
1. Windows with U-value lower or equal to 1,0 W/m2K _
2. Doors with U-value lower or equal to 1,2 W/m2K _
3. External wall systems with U-value lower or equal to 0,5 W/m2K _
4. Roofing systems with U-value lower or equal to 0,3 W/m2K _
5. Insulating products with a lambda value lower or equal to 0,06 W/mK; _
6. Household appliances falling into the highest two populated classes of energy efficiency (A or B) _
7. Light sources rated in the highest two populated classes of energy efficiency (A or B) _
8. Space heating and domestic hot water systems rated in the highest two populated classes of energy efficiency (A or B) _
9. Cooling and ventilation systems rated in the highest two populated classes of energy efficiency (A or B) _
10. Presence and daylight controls for lighting systems _
11. Heat pumps compliant with Energy's activity "Installation and operation of electric heat pumps _
12. Façade and roofing elements with a solar shading or solar control function, including  those that support the growing of vegetation _
13.Energy-efficient building automation and control systems for residential and non residential buildings _
14. Zoned thermostats and devices for the smart monitoring of the main electricity loads or heat loads for buildings, and sensoring equipment _
15. Products for heat metering and thermostatic controls for individual homes connected to district heating systems, for individual flats connected to central heating systems serving a whole building, and for central heating systems _
16. District heating exchangers and substations compliant Energy's activity "District heating/cooling distribution" _
17. Products for smart monitoring and regulating of heating system, and sensoring equipment _</t>
  </si>
  <si>
    <t>Other low carbon technologies</t>
  </si>
  <si>
    <t>A.8.7. Other low carbon technologies</t>
  </si>
  <si>
    <t>A.8.7. Manufacture of other low carbon technologies</t>
  </si>
  <si>
    <t>Manufacture of other low carbon technologies</t>
  </si>
  <si>
    <t>Manufacture of technologies aimed to reduce GHG emissions in any economic sector</t>
  </si>
  <si>
    <r>
      <rPr>
        <b/>
        <sz val="8"/>
        <rFont val="Santander Text"/>
        <family val="2"/>
      </rPr>
      <t xml:space="preserve">What is it? </t>
    </r>
    <r>
      <rPr>
        <sz val="8"/>
        <rFont val="Santander Text"/>
        <family val="2"/>
      </rPr>
      <t>Manufacture of technologies aimed to reduce GHG emissions in any economic sector.</t>
    </r>
  </si>
  <si>
    <t xml:space="preserve">Meets ALL applicable criteria _
1. Substantial and demonstrated GHG reduction compared to best performance alternative solution available. _
2. GHG emission saving verified by an independent third-party and calculated under ONE of the following standards:
a. ISO 14067:2018 
b. ISO 14064- 1:2018 _
</t>
  </si>
  <si>
    <t>Equipment for electrical transmission and distribution</t>
  </si>
  <si>
    <t>A.8.20. Equipment for electrical transmission and distribution</t>
  </si>
  <si>
    <t>A.8.20. Manufacture, installation, and servicing of high, medium and low voltage electrical equipment for electrical transmission and distribution that result in or enable a substantial contribution to climate change mitigation</t>
  </si>
  <si>
    <t>Manufacture, installation, and servicing of high, medium and low voltage electrical equipment for electrical transmission and distribution that result in or enable a substantial contribution to climate change mitigation</t>
  </si>
  <si>
    <t>Development of electrical products, equipment or systems for GHG emission reductions in high, medium and low voltage electrical distribution systems through electrification, energy efficiency, integration of renewable energy or efficient power conversion.</t>
  </si>
  <si>
    <r>
      <rPr>
        <b/>
        <sz val="8"/>
        <rFont val="Santander Text"/>
        <family val="2"/>
      </rPr>
      <t xml:space="preserve">What is it? </t>
    </r>
    <r>
      <rPr>
        <sz val="8"/>
        <rFont val="Santander Text"/>
        <family val="2"/>
      </rPr>
      <t xml:space="preserve">Development of electrical products, equipment or systems for GHG emission reductions in high, medium and low voltage electrical distribution systems through electrification, energy efficiency, integration of renewable energy or efficient power conversion.
</t>
    </r>
  </si>
  <si>
    <t xml:space="preserve">Meets ALL applicable criteria _
4. Manufactured technologies are:
-Reducing GHG emissions compared to best alternative available on the market.
-Where quantified, GHG emissions are verified by an independent third party. _
</t>
  </si>
  <si>
    <t>Meets ALL applicable criteria _
1. Essential activity to the functioning over lifetime of at least ONE:
a. Electric vehicle charging stations and supporting electric infrastructure for the electrification of transport.
b. nwith highest voltage for equipment below 36 kV, with AA0 level requirements on no-load losses set out in standard EN 50708 series.
c. Low voltage electrical products, equipment and systems, that increase the controllability of the electricity system (IEC TR 63196, Home and Building Electronic Systems (HBES), as referred to in EN IEC 63044 series, HD 60364-8-1, Part 8-1 and HD 60364-8-82, Part 8-82: Functional aspects.).
d. High and medium voltage switchgears and control gears that increase the controllability of the electricity system (EN 62271-1, Part 1 and EN 62271-200, Part 200).
e. Demand response and load shifting equipment, systems and services that increase the flexibility of the electricity system and support grid stability and automation support.
f. Installation, and servicing of electrical equipment for distribution that enable substantial contribution to climate change mitigation. _
2. Non eligible elements:
-Infrastructure directly connecting or enhancing connections between a substation/network and a power plant with a greenhouse gas intensity &gt; 100 g CO2e/kWh during its life cycle. 
-Products, equipment, systems and software dedicated to the extraction, distribution, storage, manufacturing or transformation of fossil fuels. _
3. -Switchgears with insulating or breaking medium using, or whose functioning relies on gases with a Global Warming Potential above 10.
     -Switchgears containing SF6. _</t>
  </si>
  <si>
    <t>Equipment efficient in terms of energy consumption</t>
  </si>
  <si>
    <t>A.8.27. Equipment efficient in terms of energy consumption</t>
  </si>
  <si>
    <t>A.8.27. Manufacture and installation of equipment efficient in terms of energy consumption</t>
  </si>
  <si>
    <t>Manufacture and installation of equipment efficient in terms of energy consumption</t>
  </si>
  <si>
    <t>Manufacturing and installation of machinery or equipment efficient in terms of energy consumption compared to 
market practices</t>
  </si>
  <si>
    <r>
      <rPr>
        <b/>
        <sz val="8"/>
        <rFont val="Santander Text"/>
        <family val="2"/>
      </rPr>
      <t>What is it?</t>
    </r>
    <r>
      <rPr>
        <sz val="8"/>
        <rFont val="Santander Text"/>
        <family val="2"/>
      </rPr>
      <t xml:space="preserve"> Manufacture / installation of efficient machinery in terms of energy consumption compared to market practices.
</t>
    </r>
    <r>
      <rPr>
        <b/>
        <sz val="8"/>
        <rFont val="Santander Text"/>
        <family val="2"/>
      </rPr>
      <t>What is it not?</t>
    </r>
    <r>
      <rPr>
        <sz val="8"/>
        <rFont val="Santander Text"/>
        <family val="2"/>
      </rPr>
      <t xml:space="preserve"> Fossil fuels or alternatives.
</t>
    </r>
  </si>
  <si>
    <t>Meets ONE applicable criterion _
1. Machinery assessed as Best Available Technology (BAT)_
2. Energy / GHG emissions reduction over 30% _</t>
  </si>
  <si>
    <t>Leakage control technologies</t>
  </si>
  <si>
    <t>A.8.22. Leakage control technologies</t>
  </si>
  <si>
    <t xml:space="preserve">A.8.22. Manufacture, installation and associated services for leakage control technologies enabling leakage reduction and prevention in water supply systems </t>
  </si>
  <si>
    <t>Manufacture, installation and associated services for leakage control technologies enabling leakage reduction and prevention in water supply systems</t>
  </si>
  <si>
    <t>Manufacture or maintenance of leakage control technologies that enable its reduction in water supply systems (WSSs).</t>
  </si>
  <si>
    <r>
      <rPr>
        <b/>
        <sz val="8"/>
        <rFont val="Santander Text"/>
        <family val="2"/>
      </rPr>
      <t>What is it?</t>
    </r>
    <r>
      <rPr>
        <sz val="8"/>
        <rFont val="Santander Text"/>
        <family val="2"/>
      </rPr>
      <t xml:space="preserve"> Manufacture or maintenance of leakage control technologies that enable its reduction in water supply systems (WSSs).</t>
    </r>
  </si>
  <si>
    <t>Meets ALL applicable criteria _
2. 
- Minimum 20% leakage reduction measured by ILI (Infrastructure Leakage Index).
- Target low is ILI = 1.5.
- Includes repair of wáter leakages in infrastructure. _</t>
  </si>
  <si>
    <t>Meets ALL applicable criteria _
1. Activity’s goal: controlling the pressure in district metered areas (DMAs) of the water supply system to a minimum pressure. _</t>
  </si>
  <si>
    <t>Circular economy</t>
  </si>
  <si>
    <t>Repair, refurbishment and remanufacturing</t>
  </si>
  <si>
    <t>A.8.29. Repair, refurbishment and remanufacturing</t>
  </si>
  <si>
    <t>Repair of goods used before</t>
  </si>
  <si>
    <r>
      <rPr>
        <b/>
        <sz val="8"/>
        <rFont val="Santander Text"/>
        <family val="2"/>
      </rPr>
      <t>What is it?</t>
    </r>
    <r>
      <rPr>
        <sz val="8"/>
        <rFont val="Santander Text"/>
        <family val="2"/>
      </rPr>
      <t xml:space="preserve"> Repair of goods used before.
</t>
    </r>
  </si>
  <si>
    <t>Meets ALL applicable criteria _
1. Activity goal: extending the lifetime of products. _
2. Refurbished product is covered by sales contract in accordance with provisions as regards conformity of the product and relevant conditions. _
3. Accessible to public- waste management plan ensuring that the product’s materials, particularly critical raw materials, and components that have not been reused in the same product:
a. Are reused elsewhere.
b. Where reuse is not possible, are recycled.
c. Only where reuse and recycling is not viable, are disposed of in accordance with applicable legislation. _</t>
  </si>
  <si>
    <t>Sale of spare parts</t>
  </si>
  <si>
    <t>A.8.30. Sale of spare parts</t>
  </si>
  <si>
    <t>Sale of spare parts beyond legal obligations.</t>
  </si>
  <si>
    <r>
      <rPr>
        <b/>
        <sz val="8"/>
        <rFont val="Santander Text"/>
        <family val="2"/>
      </rPr>
      <t>What is it?</t>
    </r>
    <r>
      <rPr>
        <sz val="8"/>
        <rFont val="Santander Text"/>
        <family val="2"/>
      </rPr>
      <t xml:space="preserve"> Sale of spare parts beyond legal obligations.</t>
    </r>
  </si>
  <si>
    <t>Meets ALL applicable criteria _
1. Sale of spare parts beyond legal obligations. _
2. Complies with ALL:
- Spare parts are covered by sales contract in accordance with provisions as regards conformity of the product and relevant conditions.
- Spare parts serve as a replacement of an existing part to restore / upgrade product’s functionality. _
3. When aplicable, packaging complies with ONE:
a. Made with over 65% recycled material.
b. Designed to be reusable. _</t>
  </si>
  <si>
    <t>Re-use of end-of-life products and components</t>
  </si>
  <si>
    <t>A.8.31. Re-use of end-of-life products and components</t>
  </si>
  <si>
    <t>A.8.31. Preparation for re-use of end-of-life products and product components</t>
  </si>
  <si>
    <t>Preparation for re-use of end-of-life products and product components</t>
  </si>
  <si>
    <t>Meets ALL applicable criteria _
1.Preparation of re-used products / components which currently are a waste _
2. The waste feedstock comes from separately collected fractions. _
3. Safety and inspection procedures complying with ALL:
-Check suitability for preparing for re-use recycling.
-Suited to the cathegory of discarded end-of-life products.
-Provides proper training and ensures operators’ qualification _
4. Tools and equipments suited accordingly to the activity _
5. Reporting system for recovery rate and specific targets set out by EU or national regulation _
6.  The activity complies with ALL:
- Output suitable for re-use without additional processing.
- Covered by sales contract in accordance with provisions as regards conformity of the product and relevant conditions. _
7. Waste from Electrical and Electronic Equipment according to ONE:
a. ISO 14001:2015171
b. ISO 9001:2015173 _</t>
  </si>
  <si>
    <t>Sale of second-hand goods</t>
  </si>
  <si>
    <t>A.8.32. Sale of second-hand goods</t>
  </si>
  <si>
    <t>Meets ALL applicable criteria _
1. Second-hand products have been used for their intended purpose by a customer. _
2. Covered by sales contract in accordance with provisions as regards conformity of the product and relevant conditions. _
3. If the product has been repaired, a waste management plan is implemented. _
4. If there is packaging, it complies with ONE:
Made with over 65% recycled material.
Designed to be reusable. _</t>
  </si>
  <si>
    <t>Product-as-a-service and other circular use</t>
  </si>
  <si>
    <t>A.8.33. Product-as-a-service and other circular use</t>
  </si>
  <si>
    <t>A.8.33. Product-as-a-service and other circular use- and result-oriented service models</t>
  </si>
  <si>
    <t>Product-as-a-service and other circular use- and result-oriented service models</t>
  </si>
  <si>
    <t>Providing customers with access to products through service models, as their ownership remains with the provider and the payment is pre-defined</t>
  </si>
  <si>
    <r>
      <rPr>
        <b/>
        <sz val="8"/>
        <rFont val="Santander Text"/>
        <family val="2"/>
      </rPr>
      <t>What is it?</t>
    </r>
    <r>
      <rPr>
        <sz val="8"/>
        <rFont val="Santander Text"/>
        <family val="2"/>
      </rPr>
      <t xml:space="preserve"> Providing customers with access to products through service models, as their ownership remains with the provider and the payment is pre-defined</t>
    </r>
  </si>
  <si>
    <t xml:space="preserve">Meets ALL applicable criteria _
1. Conditions meet ALL:
- Obligation of the provider to take back the product at the end of the agreement.
- Obligation of the customer to give back the product at the end of the agreement.
- Provider remains as the owner.
- Customer pays for access and use and / or result of it. _
2. The activity leads to an extended lifespan or increased use of the product. _
3. If there is packaging, it complies with ONE: 
a. Made with over 65% recycled material.
b. Designed to be reusable. _
4. When wearing apparel, involving laundry and dry-cleaning, the activity complies with an ISO type 1 ecolabel or equivalent. _
</t>
  </si>
  <si>
    <t>Marketplace second-hand goods</t>
  </si>
  <si>
    <t>A.8.34. Marketplace second-hand goods</t>
  </si>
  <si>
    <t xml:space="preserve">A.8.34. Marketplace for the trade of second-hand goods for reuse </t>
  </si>
  <si>
    <t xml:space="preserve">Marketplace for the trade of second-hand goods for reuse </t>
  </si>
  <si>
    <t>Marketplace for the trade of second-hand goods for reuse</t>
  </si>
  <si>
    <t>Marketplaces and classifieds for the trade (sale or exchange) of second-hand products, materials or components for reuse, where the marketplaces and classifieds act as an intermediary to match buyers with sellers.</t>
  </si>
  <si>
    <r>
      <rPr>
        <b/>
        <sz val="8"/>
        <rFont val="Santander Text"/>
        <family val="2"/>
      </rPr>
      <t>What is it?</t>
    </r>
    <r>
      <rPr>
        <sz val="8"/>
        <rFont val="Santander Text"/>
        <family val="2"/>
      </rPr>
      <t xml:space="preserve"> Marketplaces and classifieds for the trade (sale or exchange) of second-hand products, materials or components for reuse, where the marketplaces and classifieds act as an intermediary to match buyers with sellers.</t>
    </r>
  </si>
  <si>
    <t>Meets ALL applicable criteria _
1. The activity meets the definition. _
2. If servers and data storage products used:
- The equipment used does NOT contain: 
    - Lead (0,1 %) 
     - Mercury (0,1 %)
     - Cadmium (0,01 %)
     - Hexavalent chromium (0,1 %)
     - Polybrominated biphenyls (PBB) (0,1 %)
     - Polybrominated diphenyl ethers (PBDE) (0,1 %) 
except where the concentration values by weight in homogeneous materials are not exceeded.
- A waste management plan is in place to favor reuse as a priority.
- At its end of life, equipment undergoes preparation for reuse, recovery or recycling operations. _</t>
  </si>
  <si>
    <t>Fuel and chemicals</t>
  </si>
  <si>
    <t>Soda Ash</t>
  </si>
  <si>
    <t>A.8.12. Soda Ash</t>
  </si>
  <si>
    <t>A.8.12. Manufacture of soda ash</t>
  </si>
  <si>
    <t>Manufacture of soda ash</t>
  </si>
  <si>
    <t xml:space="preserve">Meets ALL applicable criteria _
1. GHG emissions from the soda ash production processes are lower than 0,789 tCO2e per 
ton of product _
</t>
  </si>
  <si>
    <t>Chlorine</t>
  </si>
  <si>
    <t>A.8.15. Chlorine</t>
  </si>
  <si>
    <t>A.8.15. Manufacture of chlorine</t>
  </si>
  <si>
    <t>Manufacture of chlorine</t>
  </si>
  <si>
    <t>Meets ALL applicable criteria _
3. Manufactured technologies are:
- Reducing GHG emissions compared to best alternative available on the market.
- Where quantified, GHG emissions are verified by an independent third party. _</t>
  </si>
  <si>
    <t>Meets ALL applicable criteria _
1. GHG Emissions calculated using ONE:
a. ISO 14067
b. ISO 14064 _
2.  The activity complies with ONE of the following:
a. Electricity consumption for electrolysis and chlorine treatment lower than 2.45 MWh per ton.
b. Average GHG emissions lower than 100 g CO2e/kWh.  _</t>
  </si>
  <si>
    <t>Organic basic materials</t>
  </si>
  <si>
    <t>A.8.13. Organic basic materials</t>
  </si>
  <si>
    <t>A.8.13. Manufacture of organic basic materials</t>
  </si>
  <si>
    <t>Manufacture of organic basic materials</t>
  </si>
  <si>
    <t>Manufacture of organic basic chemicals</t>
  </si>
  <si>
    <t>High value chemicals manufacture</t>
  </si>
  <si>
    <r>
      <rPr>
        <b/>
        <sz val="8"/>
        <rFont val="Santander Text"/>
        <family val="2"/>
      </rPr>
      <t>What is it?</t>
    </r>
    <r>
      <rPr>
        <sz val="8"/>
        <rFont val="Santander Text"/>
        <family val="2"/>
      </rPr>
      <t xml:space="preserve"> High value chemicals manufacture</t>
    </r>
  </si>
  <si>
    <t>Meest ONE applicable criterion _
3. Manufactured technologies are:
- Reducing GHG emissions compared to best alternative available on the market.
- Where quantified, GHG emissions are verified by an independent third party. _</t>
  </si>
  <si>
    <t>Meets ALL applicable criteria _
1. GHG Emissions thresholds
- HVC: 0,693 tCO2e/t of HVC 
- Aromatics: 0,0072 tCO2e/t of complex weighted throughput 
- Vinyl chloride: 0,171 tCO2e/t of vinyl chloride 
- Styrene: 0,419 tCO2e/t of styrene 
- Ethylene oxide/glycols: 0,314 tCO2e/t of ethylene oxide/ glycol 
- Adipic acid: 0,32 tCO2e/t of adipic acid _
2. Life-cycling GHG emissions calculation verified by an independent third party using ONE of the following:
a. ISO 14067
b.ISO 14064 _</t>
  </si>
  <si>
    <t>Ammonia</t>
  </si>
  <si>
    <t>A.8.16. Ammonia</t>
  </si>
  <si>
    <t>A.8.16. Manufacture of anhydrous ammonia</t>
  </si>
  <si>
    <t>Manufacture of anhydrous ammonia</t>
  </si>
  <si>
    <t>Meets ONE applicable criterion _
3. Manufactured technologies are:
- Reducing GHG emissions compared to best alternative available on the market.
- Where quantified, GHG emissions are verified by an independent third party. _</t>
  </si>
  <si>
    <t>Meets ONE applicable criterion _
1. Respects thresholds for Manufacturing of Hydrogen activity and CO2 leakage lower tan 0.5%. 
Carbon sequestration meets international standards (ISO). _
2.  Ammonia is recovered from wastewater _</t>
  </si>
  <si>
    <t>Nitric acid</t>
  </si>
  <si>
    <t>A.8.14. Nitric acid</t>
  </si>
  <si>
    <t>A.8.14. Manufacture of nitric acid</t>
  </si>
  <si>
    <t>Manufacture of nitric acid</t>
  </si>
  <si>
    <t>Meets ALL applicable criteria _
1. GHG Emissions lower tan 0.038 tCO2e / ton _</t>
  </si>
  <si>
    <t>Clean Naphtha</t>
  </si>
  <si>
    <t>A.8.26. Clean Naphtha</t>
  </si>
  <si>
    <t>A.8.26. Manufacture of clean Naphtha</t>
  </si>
  <si>
    <t>Manufacture of Clean Naphtha</t>
  </si>
  <si>
    <t>Meets ALL applicable criteria _
1.	Clean Naphtha is to be certified by the International Sustainability and Carbon Certification (ISCC Plus) or equivalent</t>
  </si>
  <si>
    <t>Electrical and electronic equipment</t>
  </si>
  <si>
    <t>A.8.35. Electrical and electronic equipment</t>
  </si>
  <si>
    <t>A.8.35. Manufacture of electrical and electronic equipment contribution to circular economy</t>
  </si>
  <si>
    <t xml:space="preserve">Manufacture of electrical and electronic </t>
  </si>
  <si>
    <t xml:space="preserve">Manufacturing of electrical and electronic equipment for industrial, professional and consumer use. </t>
  </si>
  <si>
    <r>
      <rPr>
        <b/>
        <sz val="8"/>
        <rFont val="Santander Text"/>
        <family val="2"/>
      </rPr>
      <t xml:space="preserve">What is it? </t>
    </r>
    <r>
      <rPr>
        <sz val="8"/>
        <rFont val="Santander Text"/>
        <family val="2"/>
      </rPr>
      <t xml:space="preserve">This activity includes manufacturing of rechargeable and non-rechargeable portable batteries. 
</t>
    </r>
    <r>
      <rPr>
        <b/>
        <sz val="8"/>
        <rFont val="Santander Text"/>
        <family val="2"/>
      </rPr>
      <t>What it is not?</t>
    </r>
    <r>
      <rPr>
        <sz val="8"/>
        <rFont val="Santander Text"/>
        <family val="2"/>
      </rPr>
      <t xml:space="preserve"> The activity does not include manufacturing of other battery categories.</t>
    </r>
  </si>
  <si>
    <t>Meets ALL aplicable criteria: 
1.EU Ecolabel criteria applicable to that specific product category.
2. Where no product specific EU Ecolabel criteria exist, all of the following criteria should be apply:
A. Design for long lifetime, including:
i.Where the product contains software that requires updates, all versions of software components, software support and software/firmware, including updates, are made available to users for the lifetime of an item as defined under Directive 2009/125/EC and implementing acts adopted under that Directive.
ii. Products incorporating portable batteries ensure that those batteries are readily removable and replaceable by the end-user at any time during the lifetime of the product, without requiring the use of specialised tools.
iii. Software is not used in order to negatively affect the circularity of the product, including replacement of a portable battery, and correct battery replacement does not degrade the functioning of the product
B. Design for repair and guarantee, including:
i.Where a product specific repair scoring systems is established in accordance with the Union Law, the operator of the activity ensures that products have the highest populated reparability class.
ii. The operator of the activity provides access to information to professional repairers throughout the lifetime of the product, including: 
a. the unequivocal appliance identification;
b. a disassembly map or exploded view;
c.list of necessary repair and test equipment;
d.technical details of the components and diagnosis information, such as minimum and maximum theoretical values for measurements;
e.wiring and connection diagrams;
f.diagnostic fault and error codes, including manufacturer-specific codes;
g.data records of reported failure incidents stored on the product;
h.technical manual of instructions for repair of the product, including simple electronic board diagrams, that includes marking of the individual steps;
i. instructions for software and firmware, including reset software;
j.information on how to access data records of reported failure incidents stored on the device, where applicable, with the exception of personal identifiable information such as related to user behaviour and location information.
iii. Key spare parts, whether new or used, such as motors, batteries, circuit boards and any part or component essential to the good functioning of the product, are available to professional repairers and end-users, after placing the last unit of the model on the market, for one additional year compared to the requirements on the availability of spare parts under Directive 2009/125/EC.
iv.Where there are no significant health and safety risks presented by the product repair, the operator of the activity provides clear disassembly and repair instructions, including through hard or soft copy or a video, and make them publicly available for the lifetime of the productiv. 
v. For electrical and electronic equipment designed for consumer use, the operator of the activity provides commercial guarantee for minimum of 3 years at no extra cost.
C. Design for reuse and remanufacturing, including:
i. Where the products are able to store data, and the data is encrypted, a software function that resets the device to its factory settings and erases by default the encryption key is required.
ii. Where products can transfer stored data, the stored data can be easily and fully transferred to another product, securing data privacy and confidentiality of the data.
D. Design for dismantling, including:
i. Information on product’s end of life management is publicly available for the lifetime of the product. 
ii.The activity provides tracking information on substances identified as substance of very high concern (SVHC) and for substances meeting the criteria for substance of very high concern (SVHC)
E. Design for recyclability: The economic activity manufactures products with demonstrated superior recyclability. Assessment of recyclability relies on EN 45555:2019 or on any product-specific EN standard relying on EN 45555:2019. A.	The economic activity complies with the following requirements:
i.	single polymer or recyclable polymer blends are used;
ii.	plastic enclosures do not contain moulded-in or glue-on metal;
iii.	materials which cannot be recycled together are easy to access and have the ability to be separated;	
iv. improving recyclability does not harm the durability of the system itself;
v. parts of the product containing substances, mixtures and components that are to be removed during depollution are easy to identify
vi. printed circuit boards, hard disc drives (HDDs), electric motors, permanent magnets, batteries, fluorescent powders, or any other components identified in Union legislation to be of high critical raw materials recovery potential are easy to access and to remove from the product
vii.parts that reduce the recyclability according to the reference scenario for the end-of-life treatment of products, such as plastic using certain fillers or certain flame retardants, are easy to access and remove
viii.	joining, fastening or sealing techniques do not prevent the safe and readily achievable removal of the components specified in Directive 2012/19/EU or in Regulation (EU) 2023/1542 of the European Parliament and of the Council on batteries and waste batteries, where present.
F. Proactive substitution of hazardous substances, including:
i.	The economic activity manufactures products which demonstrate proactive substitution of hazardous substances.
ii.	The economic activity manufactures products which demonstrate proactive substitution of hazardous substances.
iii. Hazardous substances are not introduced to or formed in the specified sub-assemblies and component parts at or above the specified concentration limit.
iv.The products do not contain halogen beyond the limits which can be detected in line with the measurement specified in existing standards for all its components: cables (EN IEC 60754-3), plastic parts (EN50642), electronic components (EN IEC 61249-2-21 or JS709C), consumables (EN IEC 61249-2-21 and IPC J-STD-004B)
v.The products do not contain fluor gas.
G. Information to customers, including:
i.The operator of the activity provides information to customers regarding options to use the product considering the environmental benefits, in particular the lifetime extension of the products associated with the different modes of the product.
ii. The operator of the activity provides information to customers regarding the buy-back, sell-back and take-back options for the product, information on separate collection and collection points for waste electrical and electronic equipment (WEEE), as well as information on re-use options
iii. For electrical and electronic equipment, the operator of the activity appropriately marks the product with the symbol indicating separate collection for waste electrical and electronic equipment, and provides the consumer with relevant information on costs of collection, treatment and disposal of the product in an environmentally sound way.
H. Producers reponsability including:
i. The operator of the activity, when placing electrical and electronic equipment on the market of the Member States, establishes an individual extended producer responsibility scheme or participates in collective extended producer responsibility schemes in all the Member States in which the product is placed on the market. 
ii. For portable batteries, the producer establishes waste portable battery take-back and collection systems, which include collection points, in all Member States in which the product is placed on the market.</t>
  </si>
  <si>
    <t>Cement, aluminium, iron, steel &amp; others</t>
  </si>
  <si>
    <t>Cement</t>
  </si>
  <si>
    <t>A.8.8. Cement</t>
  </si>
  <si>
    <t>A.8.8. Manufacture of cement</t>
  </si>
  <si>
    <t>Manufacture of cement</t>
  </si>
  <si>
    <t>Manufacture of cement clinker, cement or alternative binder</t>
  </si>
  <si>
    <r>
      <rPr>
        <b/>
        <sz val="8"/>
        <rFont val="Santander Text"/>
        <family val="2"/>
      </rPr>
      <t xml:space="preserve">What is it? </t>
    </r>
    <r>
      <rPr>
        <sz val="8"/>
        <rFont val="Santander Text"/>
        <family val="2"/>
      </rPr>
      <t>Manufacture of cement clinker, cement or alternative binder.</t>
    </r>
  </si>
  <si>
    <t xml:space="preserve">Meets ALL applicable criteria _
3. Manufactured technologies are:
- Reducing GHG emissions compared to best alternative available on the market.
- Where quantified, GHG emissions are verified by an independent third party. _
</t>
  </si>
  <si>
    <t>Meets ALL applicable criteria _
1. ALTERNATIVE products:
a. Grey cement clinker manufacture where GHG emissions are lower than 0.722 tCO2e/ton.
b. Cement from grey clinker or alternative hydraulic binder manufacture where GHG emissions (from the clinker or alternative) are lower than 0.469 tCO2e/ton. _
2. CO2 leakage below 0.5%.
- Carbon sequestration complies with international standards (ISO). _</t>
  </si>
  <si>
    <t>Aluminium</t>
  </si>
  <si>
    <t>A.8.9. Aluminium</t>
  </si>
  <si>
    <t>A.8.9. Manufacture of aluminium</t>
  </si>
  <si>
    <t>Manufacture of aluminium</t>
  </si>
  <si>
    <t>Manufacture of aluminium through primary alumina or secondary aluminum recycling.</t>
  </si>
  <si>
    <r>
      <rPr>
        <b/>
        <sz val="8"/>
        <rFont val="Santander Text"/>
        <family val="2"/>
      </rPr>
      <t>What is it?</t>
    </r>
    <r>
      <rPr>
        <sz val="8"/>
        <rFont val="Santander Text"/>
        <family val="2"/>
      </rPr>
      <t xml:space="preserve"> Manufacture of aluminium through primary alumina or secondary aluminum recycling.</t>
    </r>
  </si>
  <si>
    <t xml:space="preserve">Meets ALL applicable criteria _
3. Manufactured technologies are:
-Reducing GHG emissions compared to best alternative available on the market.
-Where quantified, GHG emissions are verified by an independent third party. _
</t>
  </si>
  <si>
    <t xml:space="preserve">Meets ONE applicable criterion _
1. PRIMARY ALUMINUM
To comply with ONE (until 2025) or ALL (after 2025):
- GHG emissions below 1.484 tCO2e / ton
- Indirect GHG emissions’ carbon intensity below 100gCO2e/kWh
- Electricity consumption below 15,5 MWh/t AI _
2. SECONDARY ALUMINUM. _
</t>
  </si>
  <si>
    <t xml:space="preserve">Transition </t>
  </si>
  <si>
    <t>Iron and Steel</t>
  </si>
  <si>
    <t>A.8.10. Iron and Steel</t>
  </si>
  <si>
    <t>A.8.10. Manufacture of iron and steel</t>
  </si>
  <si>
    <t>Manufacture of iron and steel</t>
  </si>
  <si>
    <t>Meets ALL applicable criteria _
1. Alternative criteria: 
- GHG emissions reduction, not exceeding the following thresholds depending on the process’ steps:
a. Hot metal = 1,331 tCO2e/t product; 
b. Sintered ore = 0,163 tCO2e/t product 
c. Coke (excluding lignite coke) = 0,144 tCO2e/t product 
d. Iron casting = 0,299(115) tCO2e/t product 
e. Electric Arc Furnace (EAF) high alloy steel = 0,266 tCO2e/t product 
f. Electric Arc Furnace (EAF) carbon steel = 0,209 tCO2e/t producto
- EAFs – Steel scrap input relative to product output higher than:
a. 70 % for high alloy steel
b. 90 % for carbon steel _
2. 
- CO2 leakage below 0.5%.
- Carbon sequestration complies with international standards. _</t>
  </si>
  <si>
    <t>Carbon black</t>
  </si>
  <si>
    <t>A.8.11. Carbon black</t>
  </si>
  <si>
    <t>A.8.11. Manufacture of carbon black</t>
  </si>
  <si>
    <t>Manufacture of carbon black</t>
  </si>
  <si>
    <t xml:space="preserve">Meets ALL applicable criteria _
2. Manufactured technologies are:
- Reducing GHG emissions compared to best alternative available on the market.
- Where quantified, GHG emissions are verified by an independent third party. _
</t>
  </si>
  <si>
    <t>Meets ALL applicable criteria _
1. GHG emissions below 1.141 tCO2e / ton _</t>
  </si>
  <si>
    <t>Plastics</t>
  </si>
  <si>
    <t>Plastics in primary form</t>
  </si>
  <si>
    <t>A.8.17. Plastics in primary form</t>
  </si>
  <si>
    <t>A.8.17. Manufacture of plastics in primary form</t>
  </si>
  <si>
    <t>Manufacture of plastics in primary form</t>
  </si>
  <si>
    <t>Resins and plastic materials manufactur</t>
  </si>
  <si>
    <r>
      <rPr>
        <b/>
        <sz val="8"/>
        <rFont val="Santander Text"/>
        <family val="2"/>
      </rPr>
      <t>What is it?</t>
    </r>
    <r>
      <rPr>
        <sz val="8"/>
        <rFont val="Santander Text"/>
        <family val="2"/>
      </rPr>
      <t xml:space="preserve"> Resins and plastic materials manufacture</t>
    </r>
  </si>
  <si>
    <t xml:space="preserve">Meets ALL applicable criteria _
5. Manufactured technologies are:
- Reducing GHG emissions compared to best alternative available on the market.
- Where quantified, GHG emissions are verified by an independent third party. _
</t>
  </si>
  <si>
    <t>Meets ONE applicable criterion _
1. Plastic primary form fully manufactured by mechanical recycling of plastic waste _
2. If mechanic recycling is not feasible, manufacture through chemical recyling with lower GHG emissions than equivalent option from fossil fuel feedstock. Calculation made using ISO 14067 or ISO 14064, veriied by an independent thrid party. _
3. Derived wholly or partially from renewable feedstock and GHG emissions lower than equivalent option from fossil fuel feedstock. Calculation made using ISO 14067 or ISO 14064, veriied by an independent thrid party. _
4. Biofuels produced from agricultural biomass shall not be made from high-value-biodiversity-coming raw material or derive from unsustainable production. _</t>
  </si>
  <si>
    <t>Plastic packaging goods</t>
  </si>
  <si>
    <t>A.8.23. Plastic packaging goods</t>
  </si>
  <si>
    <t>A.8.23. Manufacture of plastic packaging goods</t>
  </si>
  <si>
    <t>Manufacture of plastic packaging goods</t>
  </si>
  <si>
    <t>Meets ALL applicable criteria _
1. Complies with ONE:
a. Circular feedstock: 
     - Non-contact, sensitive packaging: Over 35% by weight recycled.
     -Contact-sensitive packaging: Over 10% by weight recycled.
b. Design for reuse: Meeting “a.” requirements and ensuring reusing in an open or closed-loop system which provides:
      - Defined governance structure and keeps KPIs records.
      - Rules on product scope, formats and incentives for customers.
       -Ensures access for all economic operators.
c. Use of over 65 bio-waste feedstock _
2. Complies with ALL:
-Unit of package designet to be recycled or allow separation of non-recycled components. 
-Evaluated as recyclable at scale. _
3. While it is being produced, feedstock does not contain hazardous substances with carciogenic, mutagenic or toxic properties. _
4. Compostable plastic used only for very lightweight plastic bags _</t>
  </si>
  <si>
    <t>Pharmaceutical &amp; Medicinal</t>
  </si>
  <si>
    <t>Active pharmaceutical ingredients (API) or substances</t>
  </si>
  <si>
    <t>A.8.24. Active pharmaceutical ingredients (API) or substances</t>
  </si>
  <si>
    <t>A.8.24. Manufacture of active pharmaceutical ingredients (API) or active substances</t>
  </si>
  <si>
    <t>Manufacture of active pharmaceutical ingredients (API) or active substances</t>
  </si>
  <si>
    <t>Meets ALL applicable criterion _
3. For non-EU countries, same as EU taxonomy consistent criteria excepting compliance with LTO</t>
  </si>
  <si>
    <t>Meets ONE applicable criterion _
1. Complies with ALL:
a. Ingredients contain naturally occurring substances (vitaminas, electrolytes…) which are degradable OR the output is qualified as appropriate substitute to another product.b. 
b. If “a.” is not met, key human metabolites and transformation products in the environment must comply with ONE:
     - Classified as biodegradable according o OECD Guidelines for the Testing of chemicals (Test 301 A-F).
     - Can be concluded to be mineralized according to Test No. 308: Aerobic and Anaerobic Transformation in Aquatic Sediment Systems (OECD 308) of the OECD Guidelines.
c.  API qualified as appropriate substitute to another available in the market which is non compliant with #1 criterion’ standards (evidence as a publicly available analysis verified by an independent third party).
d. Manufacturing process does nor involve use of restricted chemicals unless if there is no alternative available on the market. _
2. Pollutents’ emission - Complies with ALL:
- Emission limits below the mid-point of the best available technique / associated emission level for waste gas management, manufacture of organic fine chemicals or large volumen inorganic chemicals.
- Continuous Emission Monitoring Systems (CEMS), Continuous Effluent Quality Monitoring Systems (CEQMS) or equivalent applied to ensure non-deterioration of the environment.
- The operator applies solvent waste segregation for solvent recovery from concentrated waste streams, where technically applicable.
- Sewage and other waste are timely and sanitarily disposed in a safe, clearly identified container / pipe, with available and updated data about the conversion of those materials _</t>
  </si>
  <si>
    <t xml:space="preserve">Medicinal products </t>
  </si>
  <si>
    <t xml:space="preserve">A.8.25. Medicinal products </t>
  </si>
  <si>
    <t xml:space="preserve">A.8.25. Manufacture of medicinal products </t>
  </si>
  <si>
    <t xml:space="preserve">Manufacture of medicinal products </t>
  </si>
  <si>
    <t>Manufacture of medicinal products</t>
  </si>
  <si>
    <t xml:space="preserve">Meets ALL applicable criterion _
3. For non-EU countries, same as EU taxonomy consistent criteria excepting compliance with LTO
</t>
  </si>
  <si>
    <t>Meets ONE applicable criterion _
1. Complies with ALL:
a. Ingredients contain naturally occurring substances (vitamines, electrolytes…) which are degradable OR the output is qualified as appropriate substitute to another product.
b. There is evidence that there are no available ingredients for the production of an appropriate substitute, complying with ALL the following:
- Analysis performed with published results.
- No significant risk associated (PEC/PNEC&lt;1).
-Sold amounts adjustable with packaging and distribution
-Public information updated according to the state of the art about recommended dosing.
-Most effective dosing (publicly published )applicance eased by packaging format.
-Manufacturer contributes to mitigating the environmental impact of incorrect waste disposal.
c. Manufacturing process does nor involve use of restricted chemicals unless if there is no alternative available on the market. _
2. Pollutents’ emission - Complies with ALL:
- Emission limits below the mid-point of the best available technique / associated emission level for waste gas management, manufacture of organic fine chemicals or large volumen inorganic chemicals.
- Continuous Emission Monitoring Systems (CEMS), Continuous Effluent Quality Monitoring Systems (CEQMS) or equivalent applied to ensure non-deterioration of the environment.
- The operator applies solvent waste segregation for solvent recovery from concentrated waste streams, where technically applicable.
- Sewage and other waste are timely and sanitarily disposed in a safe, clearly identified container / pipe, with available and updated data about the conversion of those materials _</t>
  </si>
  <si>
    <t>A.8.5. Batteries</t>
  </si>
  <si>
    <t>A.8.5. Manufacture of batteries</t>
  </si>
  <si>
    <t>Manufacture of batteries</t>
  </si>
  <si>
    <t>Manufacture of batteries and accumulators</t>
  </si>
  <si>
    <t>Manufacture of rechargeable batteries and industrial applications and respective components.</t>
  </si>
  <si>
    <r>
      <rPr>
        <b/>
        <sz val="8"/>
        <rFont val="Santander Text"/>
        <family val="2"/>
      </rPr>
      <t>What is it?</t>
    </r>
    <r>
      <rPr>
        <sz val="8"/>
        <rFont val="Santander Text"/>
        <family val="2"/>
      </rPr>
      <t xml:space="preserve"> Manufacture of rechargeable batteries and industrial applications and respective components.
</t>
    </r>
  </si>
  <si>
    <t xml:space="preserve">Meets ONE applicable criterion _
1. Secondary raw materials use resulting in GHG emissions reductions in transport, stationary and off-grid energy storage and other industrial applications. _
2.  End-of-life batteries recycling. _
</t>
  </si>
  <si>
    <t>Accommodation</t>
  </si>
  <si>
    <t>A.9.1.Hotels, holiday, camping and similar</t>
  </si>
  <si>
    <t>A.9.1. Hotels, holiday, camping grounds and similar accommodation</t>
  </si>
  <si>
    <t>Hotels, holiday, camping grounds and similar accommodation</t>
  </si>
  <si>
    <t>Short-term tourism accommodation, possibly with associated services</t>
  </si>
  <si>
    <r>
      <rPr>
        <b/>
        <sz val="8"/>
        <rFont val="Santander Text"/>
        <family val="2"/>
      </rPr>
      <t xml:space="preserve">What is it? </t>
    </r>
    <r>
      <rPr>
        <sz val="8"/>
        <rFont val="Santander Text"/>
        <family val="2"/>
      </rPr>
      <t>Short-term tourism accommodation, possibly with associated services.</t>
    </r>
  </si>
  <si>
    <r>
      <rPr>
        <sz val="8"/>
        <color rgb="FF000000"/>
        <rFont val="Santander Text"/>
      </rPr>
      <t>Meets ALL applicable criteria _
11. EarthCheck certified (</t>
    </r>
    <r>
      <rPr>
        <strike/>
        <sz val="8"/>
        <color rgb="FFFF0000"/>
        <rFont val="Santander Text"/>
      </rPr>
      <t>gold</t>
    </r>
    <r>
      <rPr>
        <sz val="8"/>
        <color rgb="FFFF0000"/>
        <rFont val="Santander Text"/>
      </rPr>
      <t>silver</t>
    </r>
    <r>
      <rPr>
        <sz val="8"/>
        <color rgb="FF000000"/>
        <rFont val="Santander Text"/>
      </rPr>
      <t xml:space="preserve"> or above)_</t>
    </r>
  </si>
  <si>
    <t>Meets ALL the applicable criteria _
1. Conservation, including “restoration, of habitats, ecosystems and species” criteria compliant in all the area. _
2. High nature conservation valuation areas covered with a management plan. _
3. Specifically agreed activities in a min. 5-year, regularly reviewed contractual document between the operator and the organisation in charge of the area’s conservation. _
4. Financial or in-kind measures in ONE of the following forms:
a. Entrance /  Permit / Users fees application.
b. Concessions and leases for services directly related to a conservation area.
c. Tourist accommodation establishments within a conservation area but not subject to concession.
d. Volunteers for activities directly related to conservation.
e. Educational opportunities directly related to conservation and appropriate behaviour.
f. Purchase of products derived from sustainable practices in a conservation area.
g. Purchase of merchandise from a conservation area for re-selling.
h. Payment of copyrights , directly to the organisation in charge of the management of a conservation area.
i. Collection of tourists’ voluntary donations to be transferred to a dedicated fund. _
5. Minimum % contribution defined:
a. Case of only one establishment: 1% of the annual turnover.
b. 2-10 establishments: 0.7% of the annual turnover of an individual tourist accommodation.
c. Over 10 establishments: 0.5% of the annual turnover of an individual tourist accommodation establishment. _
6. Action plan including:
-Objectives: avoiding / minimizing negative impacts on biodiversity, including:
      -For visits to natural sites: avoiding ecosystem damage through tourists flows.
      -For wildlife interaction: avoiding disturbance through detrimental actions, tourists’ local movements or introduction of invasive alien species.
      -For wildlife harvesting and trade: Respect to protected wildlife species.
-Partnership agreements.
-Biodiversity information and awareness plan.
-Continuous monitoring and corrective actions framework. _
7. Sustainable supply chain &amp; management system complying with ALL:
-Fair share of products in line with best practices certified by a third party (FSC, FAO).
-If over 50 employees, complies with ONE of the following:
   a. The environmental management system requires third party certification, such as EMAS, ISO 14001:201526 or equivalent.
   b. EU Ecolabel for tourist accommodation or equivalent.  _
8. Environmental Impact Assessment performance to ensure adverse effects avoidance. _
9. Specific areas for recreational hunting and fishing. _
10. Authorities or independent third-party certifier verify technical criteria every 5 years. _</t>
  </si>
  <si>
    <t>IT &amp; Communications</t>
  </si>
  <si>
    <t>Data-driven solutions &amp; software</t>
  </si>
  <si>
    <t>GHG emissions reductions</t>
  </si>
  <si>
    <t>A.10.2. GHG emissions reductions</t>
  </si>
  <si>
    <t>A.10.2. Data-driven solutions for GHG emissions reductions</t>
  </si>
  <si>
    <t>Data-driven solutions for GHG emissions reductions</t>
  </si>
  <si>
    <t>Development or use of ICT solutions aimed at the provision of data and analytics enabling GHG emission reductions.</t>
  </si>
  <si>
    <r>
      <rPr>
        <b/>
        <sz val="8"/>
        <rFont val="Santander Text"/>
        <family val="2"/>
      </rPr>
      <t>What is it?</t>
    </r>
    <r>
      <rPr>
        <sz val="8"/>
        <rFont val="Santander Text"/>
        <family val="2"/>
      </rPr>
      <t xml:space="preserve"> Development or use of ICT solutions aimed at the provision of data and analytics enabling GHG emission reductions.</t>
    </r>
  </si>
  <si>
    <t xml:space="preserve">Meets ALL applicable criteria _
1. Solutions and analysis for decision-making on GHG reduction. These solutions may include decentralized technologies, internet of things, 5G upgrade and artificial intelligence. _
</t>
  </si>
  <si>
    <t xml:space="preserve">Meets ALL applicable criteria _
1. Solutions and analysis for decision-making on GHG reduction. These solutions may include decentralized technologies, internet of things, 5G upgrade and artificial intelligence. _
2. ICT solution demonstrates substantial GHG emissions savings (calculated using ETSI ES 203 199, ISO 14067:2018 or ISO 14064-2:2019). _
3. GHG emission reductions are verified by a third party in a transparent assessment. _
</t>
  </si>
  <si>
    <t>9) Industry, innovation and infrastructure
12) Responsible consumption and production</t>
  </si>
  <si>
    <t>Physical climate risk management and adaptation</t>
  </si>
  <si>
    <t>A.10.3 Physical climate risk management and adaptation</t>
  </si>
  <si>
    <t>A.10.3. Software enabling physical climate risk management and adaptation</t>
  </si>
  <si>
    <t>Software enabling physical climate risk management and adaptation</t>
  </si>
  <si>
    <t>Programming activities aimed at the provision of software for forecasting of climate risks, early warning systems and climate risk management.</t>
  </si>
  <si>
    <r>
      <rPr>
        <b/>
        <sz val="8"/>
        <rFont val="Santander Text"/>
        <family val="2"/>
      </rPr>
      <t xml:space="preserve">What is it? </t>
    </r>
    <r>
      <rPr>
        <sz val="8"/>
        <rFont val="Santander Text"/>
        <family val="2"/>
      </rPr>
      <t>Programming activities aimed at the provision of software for forecasting of climate risks, early warning systems and climate risk management.</t>
    </r>
  </si>
  <si>
    <t>Meets ALL applicable criteria _
1. The activity removes information, technological or capacity barriers to adaptation. _
3. The software  developed complies with ALL:
-Is targeted at enabling the management of physical climate risks.
-Does not adversely affect the adaptation efforts of the level of resilence to physical climate risks.
-Favors nature-based solution to the extent posible.
-Is consistent with national adaptation strategies and plans
-Is reported and monitored againts pre-defined indicators. _</t>
  </si>
  <si>
    <t xml:space="preserve">Meets ALL applicable criteria _
1. The activity removes information, technological or capacity barriers to adaptation _
2. The activity uses a methodology and data that complies with ALL below:
-Based on best practice and available guidance.
-Consistent with standards and guidelines on climate adaptation and risk management (EN ISO 14090 and EN ISO 14091). _
3. Thesoftware  developed complies with ALL:
-Is targeted at enabling the management of physical climate risks.
-Does not adversely affect the adaptation efforts of the level of resilence to physical climate risks.
-Favors nature-based solution to the extent posible.
-Is consistent with national adaptation strategies and plans
-Is reported and monitored againts pre-defined indicators. _
</t>
  </si>
  <si>
    <t>Leakage reduction</t>
  </si>
  <si>
    <t>A.10.4. Leakage reduction</t>
  </si>
  <si>
    <t>A.10.4. Provision of IT/OT data-driven solutions for leakage reduction</t>
  </si>
  <si>
    <t>Provision of IT/OT data-driven solutions for leakage reduction</t>
  </si>
  <si>
    <t>Technical consulting for design or monitoring, information / operational technology, and data driven solutions to reduce leakage in water supply systems.</t>
  </si>
  <si>
    <r>
      <rPr>
        <b/>
        <sz val="8"/>
        <rFont val="Santander Text"/>
        <family val="2"/>
      </rPr>
      <t>What is it?</t>
    </r>
    <r>
      <rPr>
        <sz val="8"/>
        <rFont val="Santander Text"/>
        <family val="2"/>
      </rPr>
      <t xml:space="preserve"> Technical consulting for design or monitoring, information / operational technology, and data driven solutions to reduce leakage in water supply systems.</t>
    </r>
  </si>
  <si>
    <t>Meets ALL applicable criteria _
1. The activity meets the definition and ALL criteria bellow:
-Monitoring systems including IT/OT to provide indentification, tracking and tracing wáter leakage.
-IT/OT solutions that provide controlling, managing and mitigating water leakage.
-IT/OT solutions that ensure interoperability of systems in district metered áreas. _
2. Environmental degradation risks related to preserving water quality and avoiding water stress are identified and addressed to achieve good water status. _</t>
  </si>
  <si>
    <t>Others</t>
  </si>
  <si>
    <t>A.10.5. Others</t>
  </si>
  <si>
    <t>A.10.5. Provision of IT/OT data-driven solutions</t>
  </si>
  <si>
    <t>Provision of IT/OT data-driven solutions</t>
  </si>
  <si>
    <t>Technical consulting for software and IT or OT systems, supporting eco-design and supplier management software supporting green procurement.</t>
  </si>
  <si>
    <r>
      <rPr>
        <b/>
        <sz val="8"/>
        <rFont val="Santander Text"/>
        <family val="2"/>
      </rPr>
      <t xml:space="preserve">What is it? </t>
    </r>
    <r>
      <rPr>
        <sz val="8"/>
        <rFont val="Santander Text"/>
        <family val="2"/>
      </rPr>
      <t>Technical consulting for software and IT or OT systems, supporting eco-design and supplier management software supporting green procurement.</t>
    </r>
  </si>
  <si>
    <t xml:space="preserve">Meets ALL applicable criteria _
9. For non-EU countries, same as EU taxonomy consistent criteria excepting compliance with LTO
</t>
  </si>
  <si>
    <t>Meets criterion #1 + ONE  of the rest. _
1. The activity develops professional services including technical consulting for design one or more of the following IT/OT data-driven solutions: 
-Sensors.
-Data collection and communication equipment.
-Data repository.
-Software. _
2. For remote monitoring and predictive maintenance system AT LEAST TWO of the following capabilities are met:
a. Alerting user to abnormal sensor values and drawing conclusions about the exact nature  by advanced analytical methods.
b. Predicting the expected remaining lifetime of a product and recommending measures to extend it.
c. Predicting failures and recommending measures to prevent it.
d. Recommendations about recovering components through parts harvesting for recycling complying with ONE:  
   i) Monitoring for the replacement of consumables
   ii) Remote monitoring of power generation plants that are more greenhouse than 100gCO2e/kWh. _
3. For tracking and tracing software and IT/OT systems, meets ONE of the following:
a. Accessible structured data (ISO 14067:2018152 or ISO 14040:2006153).
b. Provisioning of documents and data directly supporting the maintenance of equipment.
c. Supporting reverse logistics, including the take-back of products for remanufacturing or recycling by managing steps and transactions.
d. Supporting optimization and intensification of the use of products._
4. For lifecycle assessment software, meets ONE of the following: 
a. Supporting the life cycle assessment of products with software-implemented methods (according to ISO 14067:2018154 or ISO 14040:2006155).
b. Providing data required for lifecycle analysis.
c. Providing recommendations for improving the design of a product. _
5. For design and engineering software, meets ONE of the following: 
a. Manage product-specific circularity and other environmental design goals.
b. Explore product designs for assessing and optimizing product designs.
c. Finding the best trade-off between conflicting design goals.
d. Validating a design through analysis and simulation.
e. Supporting the computer-aided product design process with data about the impact of design on environmental performance.
f. Selection of materials with low environmental impact through the provision of data. _
6. For supplier management software, meets ONE of the following: 
a. Providing the user with information about suppliers.
b. Management of certified suppliers related to the provision of such materials.
c. Exchange with suppliers of data required to verify the environmental performance.
d. Trading ding between suppliers and purchasers of eco-friendly products.
e. Supporting reverse logistics. _
7. For lifecycle management software, meets ONE of the following: 
a. Assessment of the circularity performance of a product.
b. Comparing circularity performance against original circularity.
c. Planning / documentation of measures required to prolog the useful life of the product.
d. Assessment of such measures on circularity performance.
e. Providing the user with data required to take decisions. _
8. All IT/OT data-driven solutions should meet ALL the following criteria:
a. Techniques adopted support the reuse and use of secondary raw materials.
b. Measures are in place to manage and recycle waste at the end-of life.
c. Preparation for re-use operations including the removal of fluids and selective treatment.  _</t>
  </si>
  <si>
    <t>A.10.1. Data processing, hosting and related activities</t>
  </si>
  <si>
    <t>Data processing, hosting and related activities</t>
  </si>
  <si>
    <t>Storage, manipulation, management, movement, transmission or processing of data through data centers, including edge computing.</t>
  </si>
  <si>
    <r>
      <rPr>
        <b/>
        <sz val="8"/>
        <rFont val="Santander Text"/>
        <family val="2"/>
      </rPr>
      <t xml:space="preserve">What is it? </t>
    </r>
    <r>
      <rPr>
        <sz val="8"/>
        <rFont val="Santander Text"/>
        <family val="2"/>
      </rPr>
      <t>Storage, manipulation, management, movement, transmission or processing of data through data centers, including edge computing.</t>
    </r>
  </si>
  <si>
    <t xml:space="preserve">Meets ALL applicable criteria _
4. Data centers for data processing. If it complies with all relevant practices of the European Code and/or power usage effectiveness (PUE) is below 1.5. _
</t>
  </si>
  <si>
    <t>Meets ALL applicable criteria
1. The activity has implemented all relevant practices listed in the most recent version of the European Code of Conduct on Data Centre Energy Efficiency. _
2. Other alternative best practices apart from the described in point 1 may be identified if they result in similar energy savings. _
3. The global warming potential (GWP) of refrigerants used in the data center cooling system does not exceed 675. _</t>
  </si>
  <si>
    <t>A.10.6. Research, development and innovation</t>
  </si>
  <si>
    <t xml:space="preserve">A.10.6. Close to market research, development and innovation </t>
  </si>
  <si>
    <t xml:space="preserve">Close to market research, development and innovation </t>
  </si>
  <si>
    <t>Close to market research, development and innovation</t>
  </si>
  <si>
    <t>Research and experimental development of solutions dedicated to the reduction of GHG emissions.</t>
  </si>
  <si>
    <r>
      <rPr>
        <b/>
        <sz val="8"/>
        <rFont val="Santander Text"/>
        <family val="2"/>
      </rPr>
      <t>What is it?</t>
    </r>
    <r>
      <rPr>
        <sz val="8"/>
        <rFont val="Santander Text"/>
        <family val="2"/>
      </rPr>
      <t xml:space="preserve"> Research and experimental development of solutions dedicated to the reduction of GHG emissions.
</t>
    </r>
  </si>
  <si>
    <t>Meets ALL applicable criteria _
10. For non-EU countries, same as EU taxonomy consistent criteria excepting compliance with LTO</t>
  </si>
  <si>
    <t>Meets ALL applicable criteria _
1. Research / Develop innovation for technologies dedicated to economic activities. _
2.  The results enable the economic activities to meet the respective criteria. _
3. The economic activity aims at bringing a solution that is not yet in the market and will have better performance in terms of GHG emissions. _
4. Where researched product already enables an activity, the activity focuses on the development of equally lower emission technologies. _
5. Where a research activity is dedicated to economic activities considered as “enabling”, results deliver innovative technologies allowing them to reduce GHG emissions._
6. Where a research activity is dedicated to activities considered as “transitional”, the technologies enable the target activities to be carried out with lower projected emissions. _
7. Where a research activity is dedicated to manufacturing activities, the technologies enable the target ato be carried out with lower GHG emission (30% compared to the relevant EU ETS benchmark). _
8. Where the technology is at TRL 6 or 7, life-cycle GHG emissions are evaluated by the entity complying with ONE: 
a. Patent not older than 10 years, with GHG emission reduction potential provided.
b. Permit from a competent authority, with GHG emission reduction potential provided. _
9. Where the technology is at TRL 8 or higher, life-cycle GHG emissions are calculated using ISO 14067:2018(325) or ISO 14064-1:2018(326), verified by an independent third party. _</t>
  </si>
  <si>
    <t>Air capture of CO2</t>
  </si>
  <si>
    <t>Direct air capture of CO2 (Research, development and innovation)</t>
  </si>
  <si>
    <t>A.8.28. Direct air capture of CO2 (Research, development and innovation)</t>
  </si>
  <si>
    <t>A.8.28. Research, development and innovation for direct air capture of CO2</t>
  </si>
  <si>
    <t>Research, development and innovation for direct air capture of CO2</t>
  </si>
  <si>
    <t>Solutions and business models dedicated to direct air capture of CO2 in the atmosphere.</t>
  </si>
  <si>
    <r>
      <rPr>
        <b/>
        <sz val="8"/>
        <rFont val="Santander Text"/>
        <family val="2"/>
      </rPr>
      <t xml:space="preserve">What is it? </t>
    </r>
    <r>
      <rPr>
        <sz val="8"/>
        <rFont val="Santander Text"/>
        <family val="2"/>
      </rPr>
      <t xml:space="preserve">Solutions and business models dedicated to direct air capture of CO2 in the atmosphere.
</t>
    </r>
  </si>
  <si>
    <t>Meets ONE applicable criterion _
5. Solutions to test and monitor emissions and pollution and projects to reduce GHG emissions and minimizing / reduce water waste heat. _</t>
  </si>
  <si>
    <t>Meets ALL applicable criteria _
1. Activity dedicated to direct air capture of CO2 in the atmosphere. _
2. The implementation has a potential result in overall net GHG emissions reduction once commercialized. _
3. If the solution is at TRL 1 to 7, life-cycle emissions are evaluated in a simplified form by the entity, whcih demosnstrates ONE of the following: _
a. Pattent not older that 10 years with GHG emission information provided. 
b. Competent authority permit for operating with GHG emission information provided. _
4. If the solution is at TRL 8 or above, life-cycle emissions are verified by an independent third party and evaluated using ONE:
a. ISO 14067
b. ISO 14064 _</t>
  </si>
  <si>
    <t>Professional, scientific and technical activities</t>
  </si>
  <si>
    <t>A.4.1. Energy performance of buildings professional services</t>
  </si>
  <si>
    <t>A.4.1. Professional services related to energy performance of buildings</t>
  </si>
  <si>
    <t>Professional services related to energy performance of buildings</t>
  </si>
  <si>
    <t xml:space="preserve">Green  </t>
  </si>
  <si>
    <t>Use of professional services related to energy performance of buildings.</t>
  </si>
  <si>
    <r>
      <rPr>
        <b/>
        <sz val="8"/>
        <rFont val="Santander Text"/>
        <family val="2"/>
      </rPr>
      <t>What is it?</t>
    </r>
    <r>
      <rPr>
        <sz val="8"/>
        <rFont val="Santander Text"/>
        <family val="2"/>
      </rPr>
      <t xml:space="preserve"> Use of professional services related to energy performance of buildings.
</t>
    </r>
  </si>
  <si>
    <t>Meets ONE applicable criterion _
1. Technical consultations linked to improvement of energy performance of buildings. _
2. Accredited energy audits and building performance assessments _
3. Energy management services. _
4. Energy performance contracts. _
5. Energy services provided by energy service companies. _</t>
  </si>
  <si>
    <t>Disaster Risk Management</t>
  </si>
  <si>
    <t>A.5.1. Flood/drought prevention and protection solutions</t>
  </si>
  <si>
    <t>A.5.1. Nature-based solutions for flood and drought risk prevention and protection</t>
  </si>
  <si>
    <t>Nature-based solutions for flood and drought risk prevention and protection</t>
  </si>
  <si>
    <t>Construction and operation of large-scale nature-based flood or drought management and coastal, transitional or inland aquatic ecosystem restoration</t>
  </si>
  <si>
    <r>
      <rPr>
        <b/>
        <sz val="8"/>
        <rFont val="Santander Text"/>
        <family val="2"/>
      </rPr>
      <t xml:space="preserve">What is it? </t>
    </r>
    <r>
      <rPr>
        <sz val="8"/>
        <rFont val="Santander Text"/>
        <family val="2"/>
      </rPr>
      <t>Construction and operation of large-scale nature-based flood or drought management and coastal, transitional or inland aquatic ecosystem restoration.</t>
    </r>
  </si>
  <si>
    <t>Meets ALL applicable criteria _
6. For non-EU countries, same as EU taxonomy consistent criteria excepting compliance with LTO</t>
  </si>
  <si>
    <t>Meets ALL applicable criteria _
1. Flood / drought risk reduction measure either at river basin or along a coast. _
2. Environmental degradation risk are identified and addressed. _
3. Nature restoration or conservation actions that demonstrate specific ecosystem co-benefits (National Biodiversity Strategies and Action Plans). _
4. Monitoring program in place to evaluate the effectiveness of nature-based solution scheme in improving the status of affected water body. Updated every 10 years. _
5. The program adheres to and aligns with the prevailing legal and regulatory provisions. _</t>
  </si>
  <si>
    <t>A.5.2. Emergency services</t>
  </si>
  <si>
    <t>Emergency services</t>
  </si>
  <si>
    <t>Emergency Services</t>
  </si>
  <si>
    <r>
      <rPr>
        <b/>
        <sz val="8"/>
        <rFont val="Santander Text"/>
        <family val="2"/>
      </rPr>
      <t>What is it?</t>
    </r>
    <r>
      <rPr>
        <sz val="8"/>
        <rFont val="Santander Text"/>
        <family val="2"/>
      </rPr>
      <t xml:space="preserve">
- Disaster response coordination.
- Centers and on-site operations coordination centers.
- Emergency health services. 
- Disaster relief activities. 
- Search and rescue operations.
- Firefighting and fire prevention. 
- Technical protection response and assistance to climate hazards.
- Developing plans, training staff, and acquiring necessary equipment</t>
    </r>
  </si>
  <si>
    <r>
      <rPr>
        <strike/>
        <sz val="8"/>
        <color rgb="FFFF0000"/>
        <rFont val="Santander Text"/>
      </rPr>
      <t>Not Applicable</t>
    </r>
    <r>
      <rPr>
        <sz val="8"/>
        <color rgb="FFFF0000"/>
        <rFont val="Santander Text"/>
      </rPr>
      <t xml:space="preserve"> Meets ALL applicable criteria _
4. The activity includes the acquisition of assets or the provision of services linked to forestry firefighting and fire prevention _</t>
    </r>
  </si>
  <si>
    <t>Meets ALL applicable criteria _
1. Data systems or infrastructure designed to protect extreme weather events. _
2. Reporting and monitoring systems. _
3. Specific climate challenge adaptation infrastructure where plans are reviewed to ensure success. _</t>
  </si>
  <si>
    <t>N/A+S173</t>
  </si>
  <si>
    <t>A.5.3. Flood prevention and protection infrastructure</t>
  </si>
  <si>
    <t>A.5.3. Flood risk prevention and protection infrastructure</t>
  </si>
  <si>
    <t>Flood risk prevention and protection infrastructure</t>
  </si>
  <si>
    <r>
      <rPr>
        <b/>
        <sz val="8"/>
        <rFont val="Santander Text"/>
        <family val="2"/>
      </rPr>
      <t>What is it?</t>
    </r>
    <r>
      <rPr>
        <sz val="8"/>
        <rFont val="Santander Text"/>
        <family val="2"/>
      </rPr>
      <t xml:space="preserve"> Structural and non-structural measures aiming at prevention and protection of people, ecosystem, cultural heritage and infrastructure against floods. </t>
    </r>
  </si>
  <si>
    <t>Other sectors</t>
  </si>
  <si>
    <t>A.11.2. Non-life insurance</t>
  </si>
  <si>
    <t>Non-life insurance</t>
  </si>
  <si>
    <t>Non-life insurance: underwriting of climate-related perils</t>
  </si>
  <si>
    <r>
      <rPr>
        <b/>
        <sz val="8"/>
        <rFont val="Santander Text"/>
        <family val="2"/>
      </rPr>
      <t xml:space="preserve">What is it? </t>
    </r>
    <r>
      <rPr>
        <sz val="8"/>
        <rFont val="Santander Text"/>
        <family val="2"/>
      </rPr>
      <t>Provision of:
Medical expense insurance
Income  protection insurance
Workers' compensation insurance
Motor vehicle liability insurance
Other motor insurance; marine, aviation and transport
Fire and other damage to property insurance.</t>
    </r>
  </si>
  <si>
    <t xml:space="preserve">Meets ALL applicable criteria _
1. Leadership in modelling and pricing of climate risks. _
2. Product design offer risk-based rewards for preventative actions. _
3. Innovative reinsurance coverage solutions that cover climate-related perils. _
4. Significant share of loss data available, free of charge, to public authorities for analytical research. _
5. High level of service in post-disaster situation. _
</t>
  </si>
  <si>
    <t>13) Climate action</t>
  </si>
  <si>
    <t>A.11.3. Re-insurance</t>
  </si>
  <si>
    <t>Re-insurance</t>
  </si>
  <si>
    <t>Reinsurance</t>
  </si>
  <si>
    <t>Coverage of risks stemming from climate-related perils ceded by the insurer to the reinsurer</t>
  </si>
  <si>
    <r>
      <rPr>
        <b/>
        <sz val="8"/>
        <rFont val="Santander Text"/>
        <family val="2"/>
      </rPr>
      <t>What is it?</t>
    </r>
    <r>
      <rPr>
        <sz val="8"/>
        <rFont val="Santander Text"/>
        <family val="2"/>
      </rPr>
      <t xml:space="preserve"> Coverage of risks stemming from climate-related perils ceded by the insurer to the reinsurer.</t>
    </r>
  </si>
  <si>
    <t>Meets ALL applicable criteria _
1. Leadership in modelling and pricing of climate risks. _
2. Supporting development and supply of enabling non-life reinsurance products. _
3. Innovative reinsurance coverage solutions that cover climate-related perils. _
4. Significant share of loss data available, free of charge, to public authorities for analytical research. _
5. High level of service in post-disaster situation. _</t>
  </si>
  <si>
    <t>A.11.1. Carbon Market</t>
  </si>
  <si>
    <t>Carbon market</t>
  </si>
  <si>
    <t>Transitional activity: Carbon market that operate either on a national or International basis. Issuance of carbon credits</t>
  </si>
  <si>
    <r>
      <rPr>
        <b/>
        <sz val="8"/>
        <rFont val="Santander Text"/>
        <family val="2"/>
      </rPr>
      <t xml:space="preserve">What is it? </t>
    </r>
    <r>
      <rPr>
        <sz val="8"/>
        <rFont val="Santander Text"/>
        <family val="2"/>
      </rPr>
      <t>Transitional activity: Carbon market that operate either on a national or International basis. Issuance of carbon credits.</t>
    </r>
  </si>
  <si>
    <t>Meets ONE applicable criterion _
1. Financing for compliance with national and international emissions trading systems. _
2. Financing carbon credit according to standards:
a. Verified Carbon Standard (VCS)
b. Gold Standard for Global Goals
c. American Carbon Registry Standard
d. Climate Action Reserve Standard
e. Puro
f. National crediting schemes that are overseen by a national body
The activity will only be elegible if the customer has emissions reduction plans _</t>
  </si>
  <si>
    <t>A.11.4. Climate adaptation</t>
  </si>
  <si>
    <t>Climate adaptation</t>
  </si>
  <si>
    <t>Activities that can adapt to the unavoidable impacts of climate change</t>
  </si>
  <si>
    <r>
      <rPr>
        <b/>
        <sz val="8"/>
        <rFont val="Santander Text"/>
        <family val="2"/>
      </rPr>
      <t xml:space="preserve">What is it? </t>
    </r>
    <r>
      <rPr>
        <sz val="8"/>
        <rFont val="Santander Text"/>
        <family val="2"/>
      </rPr>
      <t>Activities that can adapt to the unavoidable impacts of climate change.</t>
    </r>
  </si>
  <si>
    <t>Meets ONE applicable criterion _
10. Climate observation and data systems to protect against flooding and other extreme weather events. _
11. Reporting and monitoring systems. _
12. Climate challenge is specified. _</t>
  </si>
  <si>
    <t>Meets ALL applicable criteria _
1. Physical and non-physical solutions to reduce the most important physical climate risk. _
2. Physical climate risks that are material to the activity have been identified in an assessment. _
3. Climate projections and assessment based on best practice and available guidance in line with the most recent intergovernmental panel. _
4. Adaptation solutions implemented. _
5. Do not adversely affect adaptation efforts or physical climate risks of other people. _
6. Favors nature-based solutions or rely on blue or green infrastructure. _
7. Consistent national adaptation plans and strategies _
8. Monitored against pre-defined indicators. _
9. Where the solution is physical, complies with do not significant harm technical criterion. _</t>
  </si>
  <si>
    <t>A.11.5. Mining of raw materials supporting the transition</t>
  </si>
  <si>
    <t>Transitional Activity: Restricted to mining and extraction of raw materials required for transition to a low carbon economy</t>
  </si>
  <si>
    <r>
      <t xml:space="preserve">What is it? </t>
    </r>
    <r>
      <rPr>
        <sz val="8"/>
        <color rgb="FF000000"/>
        <rFont val="Santander Text"/>
      </rPr>
      <t>Transitional  activity: Restricted to the mining and extraction of raw materials required for transition to a low carbon economy.</t>
    </r>
  </si>
  <si>
    <t>Meets ONE applicable criterion or with alternative certificates below: _
1. Complies with ALL the following (for the opening of lithium, copper and nickel mines):
a. The opening of new mines or the expansion of existing mining sites have at least 50% of guaranteed sales of ores over the licensed production volume towards the end-use activities in the list below. Guaranteed sales can be evidenced through conditional or firm offtake agreements.
b. The mine has an investment plan as well as a GHG-monitoring and evaluation system in place to reach the required GHG emission thresholds at the start of the production stage of the mine or mine expansion as per criteria #2b and #2c. below. 
c. An Environmental and Social assessment is required.
d. The financial documentation shall include environmental and social clauses as applicable to each case and a clause for the removal of the green label in case of material environmental or social incidents._
2. Complies with ALL the following (for lithium, copper and nickel mines):
a. The operation of existing mining sites has at least 50% of guaranteed sales of ores over the annual production volume towards the green activities in the list below. Guaranteed sales are evidenced through traceability, physical chain of custody models, conditional as well as firm offtake agreements.
b. The mine meets the following Scope 1 + 2 GHG intensities (excluding land-use change), depending on mineral:
   - Lithium rock mining: 1.23 tCO2e/tLCE (LCE: Lithium Carbonate Equivalent)
   - Lithium brine: 1.25 tCO2e/tLCE
   - Nickel sulfidic ore mining: 0.74 tCO2e/tNiEq
   - Nickel laterite ore mining: 0.68 tCO2e/tNiEq
   - Copper mining: 2.31 tCO2e/tContainedCu concentrate
-  Nickel laterite ore mining: 0.68 tCO2e/tNiEq
c. The average carbon intensity of the electricity does not exceed direct emissions of 240 g CO2e/kWh.
d. Alternatively to items b and c, the mine has a plan to reduce 50% of scope 1 and 2 emissions from baseline (2018 or later baseline) to 2030, and has achieved 35% reduction between baseline (2018 or later baseline) and 2025, and +3% additional reduction every year until 2030.
e. An Environmental and Social assessment is required.  _
3. Complies with ALL the following (for other minerals different from lithium, copper and nickel):
a. It is listed in the Critical Raw Material Act of the EU or is considered strategic for the country, or part of the IEA Global Critical Mineral Outlook 2025 (Cobalt, REEs, Chrominum, Zinc, PGMs – platinium and Aluminium – which appear in the list in addition to lithium, cooper and nickel).
b. For greenfield mining projects or the expansion of existing mining sites have at least 50% of guaranteed sales of ores over the licensed production volume towards the end-use activities in the list below. Guaranteed sales can be evidenced through conditional or firm offtake agreements. 
c. The mine has an investment plan as well as a GHG-monitoring and evaluation system in place to reduce or achieve the GHG emission thresholds defined by the Best Available Techniques at the start of the production stage of the mine or mine expansion. Alternatively, the mine has a plan to reduce 50% of scope 1 and 2 emissions from baseline (2018 or later baseline) to 2030, and if operating demonstrate it has achieved 35% reduction between baseline (2018 or later baseline) and 2025, and +3% additional reduction every year until 2030.
d. An Environmental and Social assessment is required. _
4. Complies with ALL the following (for Copper, Cobalt, Nickel, Lithium, REEs, Chrominum, Zinc, PGMs - platinium, Aluminium (raw materials covered in the IEA Global Critical Mineral Outlook 2025), in the short term):
a. The opening and operation of mines related exclusively (100%) to these raw materials, without the need to guarantee sales of ores over the licensed production volume towards the end-use activities in the list below (just used as reference in this case).
b. The mine has an investment plan as well as a GHG-monitoring and evaluation system in place to reduce or achieve the GHG emission thresholds defined by the Best Available Techniques at the start of the production stage of the mine or mine expansion. Alternatively, the mine has a plan to reduce 50% of scope 1 and 2 emissions from baseline (2018 or later baseline) to 2030, and if operating demonstrate it has achieved 35% reduction between baseline (2018 or later baseline) and 2025, and +3% additional reduction every year until 2030.
c. An Environmental and Social assessment is required.  _
5. Complies with ONE of the following certificates (except from mining of fossil fuels):
- Copper Mark (“Meets” level or superior)
- IRMA (“silver” level or superior) for copper, nickel, lithium and other minerals listed in the IEA Global Critical Mineral Outlook 2025, covering raw materials that are linked to the transition to a low carbon economy _</t>
  </si>
  <si>
    <t>35</t>
  </si>
  <si>
    <t xml:space="preserve">Education </t>
  </si>
  <si>
    <t>B.1.1. Public centres for educational services and assets (nursery, primary and secondary schools, university, insertion and reintegration of people into the job market).</t>
  </si>
  <si>
    <t>-</t>
  </si>
  <si>
    <t>General Public</t>
  </si>
  <si>
    <t>Number of beneficiaries</t>
  </si>
  <si>
    <t>4) Quality education
8) Decent work and economic growth</t>
  </si>
  <si>
    <t>B.1.2. Public sports and cultural education centres  / provision of services and assets, including arts, dance, sports, drama, music, etc.</t>
  </si>
  <si>
    <t>B.1.3. Public centres for other activities including academic tutoring, learning centres, preparation for professional exams, languages skills, computer training, innovation.</t>
  </si>
  <si>
    <t>B.1.4. Student loans if the terms and conditions offer preferential financial or payment terms to target population.</t>
  </si>
  <si>
    <t xml:space="preserve">Low-income individuals, marginalised individuals, underserved with no quality acces to essential goods/services.
</t>
  </si>
  <si>
    <t>Number of students who receive the loan</t>
  </si>
  <si>
    <t>B.1.5. Loans to finance reskilling / upskilling for adults or elderly, with preferential financial or payment terms to target populations.</t>
  </si>
  <si>
    <t>Low-income individuals, marginalised individuals.</t>
  </si>
  <si>
    <t>Number of loan recipients</t>
  </si>
  <si>
    <t>36</t>
  </si>
  <si>
    <t xml:space="preserve">Healthcare </t>
  </si>
  <si>
    <t>B.2.1. Research and development (R&amp;D) for, and manufacture of:
-Basic and generic type pharmaceutical products
-Medical equipment and other supplies.</t>
  </si>
  <si>
    <t>Number of people who use the products</t>
  </si>
  <si>
    <t>3) Good health and well-being
10) Reduced inequalities</t>
  </si>
  <si>
    <r>
      <t xml:space="preserve">B.2.2. Healthcare services </t>
    </r>
    <r>
      <rPr>
        <sz val="8"/>
        <color rgb="FFFF0000"/>
        <rFont val="Santander Text"/>
        <family val="2"/>
      </rPr>
      <t xml:space="preserve">(including prescribed medication at a discounted/subsidized/affordable price) </t>
    </r>
    <r>
      <rPr>
        <sz val="8"/>
        <rFont val="Santander Text"/>
        <family val="2"/>
      </rPr>
      <t>and assetts in public hospitals; centres for general healthcare, specialized medicine physiotherapy, diagnostics, family planning and speech therapy; laboratories</t>
    </r>
    <r>
      <rPr>
        <sz val="8"/>
        <color rgb="FFFF0000"/>
        <rFont val="Santander Text"/>
        <family val="2"/>
      </rPr>
      <t xml:space="preserve">; pharmacies (that satisfy clear, social and/or public health purposes) </t>
    </r>
    <r>
      <rPr>
        <sz val="8"/>
        <rFont val="Santander Text"/>
        <family val="2"/>
      </rPr>
      <t>and field hospitals</t>
    </r>
  </si>
  <si>
    <t>Number of people who Benefit from the facilities</t>
  </si>
  <si>
    <t>B.2.3. -Public health services at specialized residential care/social work facilities to target populations, such as:
-Specialized residential care facilities.
-Non-residential social work facilities.</t>
  </si>
  <si>
    <t>37</t>
  </si>
  <si>
    <t xml:space="preserve">Transport </t>
  </si>
  <si>
    <t>B.3.1. Roads and related infrastructure for improving transport links to underdeveloped rural areas, or where road connectivity does not exist or is clearly inadequate.</t>
  </si>
  <si>
    <t>The underserved who do not have quality access to essential goods and services</t>
  </si>
  <si>
    <t>Number of people reached via the roads and infrastructure</t>
  </si>
  <si>
    <t>B.3.2. Public transportation infrastructure, including over- and underground railways to bring socio-economic development in target population areas.</t>
  </si>
  <si>
    <t>Number of people reached via the railway infrastructure</t>
  </si>
  <si>
    <t>B.3.3. Transport infrastructure to help people with disabilities move around more easily.</t>
  </si>
  <si>
    <t>38</t>
  </si>
  <si>
    <t xml:space="preserve">Energy </t>
  </si>
  <si>
    <t xml:space="preserve">B.4.1.  -Clean (renewable) energy production and distribution in target population areas.
 -All transmission and distribution infrastructure dedicated to connecting fossil or nuclear power plants to the grid are excluded. </t>
  </si>
  <si>
    <t>Number of people reached</t>
  </si>
  <si>
    <t>7) Affordable and clean energy
11) Sustainable cities and communities</t>
  </si>
  <si>
    <t>39</t>
  </si>
  <si>
    <t>Water and waste</t>
  </si>
  <si>
    <t>B.5.1. Water collection, treatment and distribution infrastructure in target population areas.</t>
  </si>
  <si>
    <t>6) Clean water and sanitation
11) Sustainable cities and communities</t>
  </si>
  <si>
    <t>B.5.2. Sewage, wastewater (not derived from fossil fuel sources) treatment and collection infrastructure and of supporting integral buildings and structures in target population areas.</t>
  </si>
  <si>
    <t>B.5.3. Hazardous and non-hazardous waste collection, sorting, disposal, treatment and recycling in target population areas.</t>
  </si>
  <si>
    <t>Amount of waste collected, recycled and treated
Number of people reached.</t>
  </si>
  <si>
    <t>40</t>
  </si>
  <si>
    <t xml:space="preserve">Real estate </t>
  </si>
  <si>
    <t>B.6.1. Affordable housing: granting of loans for housing (mortgages) for own residence purposes. Considered a social activity if the loan the bank provides has preferential financial or payment terms so that housing will remain affordable over time.</t>
  </si>
  <si>
    <t xml:space="preserve">People without adequate housing 
Income is less than 80% of the average income for the country.
People who meet the regional or national governments requirements for housing programs.
</t>
  </si>
  <si>
    <t xml:space="preserve">Number of people who benefit from the mortgage
</t>
  </si>
  <si>
    <t>10) Reduced inequalities
11) Sustainable cities and communities</t>
  </si>
  <si>
    <t>B.6.2. Affordable housing and associated infrastructure that meets authorities socio-economic requirements.</t>
  </si>
  <si>
    <t xml:space="preserve">People who meet the regional or national governments requirements for housing programs.
</t>
  </si>
  <si>
    <t xml:space="preserve">Number of people who benefit from the homes
</t>
  </si>
  <si>
    <t>41</t>
  </si>
  <si>
    <t xml:space="preserve">Finance and insurance </t>
  </si>
  <si>
    <r>
      <rPr>
        <sz val="8"/>
        <color rgb="FF000000"/>
        <rFont val="Santander Text"/>
      </rPr>
      <t xml:space="preserve">B.7.1 Investment to increase access to a wide range of micro insurance and transactional banking products and services to the target population. </t>
    </r>
    <r>
      <rPr>
        <sz val="8"/>
        <color rgb="FFFF0000"/>
        <rFont val="Santander Text"/>
      </rPr>
      <t>This includes lending to institutions that deliver access to credit to the target population and where practices from this organization are recognized as ethical and/or are not impacted by controversies on their business operations and practices.</t>
    </r>
  </si>
  <si>
    <r>
      <rPr>
        <sz val="8"/>
        <color rgb="FF000000"/>
        <rFont val="Santander Text"/>
      </rPr>
      <t xml:space="preserve">SMEs, microenterprises, microentrepreneurs and informal workers that are in underdeveloped areas; areas experiencing depopulation; or affected by natural or health disasters
</t>
    </r>
    <r>
      <rPr>
        <sz val="8"/>
        <color rgb="FFFF0000"/>
        <rFont val="Santander Text"/>
      </rPr>
      <t>Financially vulnerable individuals and low-income individuals
For natural, health and/or human-made disasters, this may extend to other organizations supporting the reconstruction or helping people overcome the crisis</t>
    </r>
  </si>
  <si>
    <t xml:space="preserve">Number of people who receive the finance or microfinance
</t>
  </si>
  <si>
    <t>1) No poverty
8) Decent work and economic growth</t>
  </si>
  <si>
    <t>B.7.2. Financing with preferential financial or payment terms to entities and individuals that have been impacted by natural, armed, health and/or human-made disasters, as well as severe socioeconomic situations.</t>
  </si>
  <si>
    <t xml:space="preserve">Migrants 
Low-income individuals 
Informal workers 
Underserved 
Other vulnerable groups impacted by the disasters and circumstances listed
</t>
  </si>
  <si>
    <t>42</t>
  </si>
  <si>
    <t xml:space="preserve">IT &amp; Communications </t>
  </si>
  <si>
    <t>B.8.1. Telecommunications infrastructure I n target population areas.</t>
  </si>
  <si>
    <t xml:space="preserve">The underserved who do not have quality access to essential goods and services
</t>
  </si>
  <si>
    <t xml:space="preserve">Number of people who will have an internet connection for the first time
</t>
  </si>
  <si>
    <t>8) Decent work and economic growth
11) Sustainable cities and communities</t>
  </si>
  <si>
    <t>43</t>
  </si>
  <si>
    <t xml:space="preserve">Non-profit organizations </t>
  </si>
  <si>
    <t>B.9.1. Lending to non-profit organizations and/or registered charities.</t>
  </si>
  <si>
    <t>Non-profit organizations</t>
  </si>
  <si>
    <t>Number of non-profit organizations that receive financing</t>
  </si>
  <si>
    <t>10) Reduced inequalities</t>
  </si>
  <si>
    <t>44</t>
  </si>
  <si>
    <t>Special Employment Centres</t>
  </si>
  <si>
    <t xml:space="preserve">B.10.1. Companies whose main objective is to provide workers with disabilities with productive and remunerated work appropriate to their personal characteristics and to facilitate their integration into the labor market. </t>
  </si>
  <si>
    <t>Number of Special Employment Centres  that receive financing</t>
  </si>
  <si>
    <t>8) Decent work and economic growth
10) Reduced inequalities</t>
  </si>
  <si>
    <t>45</t>
  </si>
  <si>
    <t>Food security</t>
  </si>
  <si>
    <t>B.11. Food security and sustainable food systems, including physical, social and economic access to safe, nutricious, and sufficient food that meets dietary needs and requirements, as per dietary reference values attending local criteria or international criteria</t>
  </si>
  <si>
    <t>Underserved, with to a lack of quality access to essential dietary needs and/or populations affected by natural disasters, wars or other disasters impacting in the access to food</t>
  </si>
  <si>
    <t>Number of people supported through the increase of food availability</t>
  </si>
  <si>
    <t>2) Zero Hunger
3) Good health and well-being</t>
  </si>
  <si>
    <t>Niveles SFICS</t>
  </si>
  <si>
    <t>Criterios Contribución Sustancial</t>
  </si>
  <si>
    <t>Métricas Sociales</t>
  </si>
  <si>
    <t>Objetivos Taxonomía UE</t>
  </si>
  <si>
    <t xml:space="preserve">Específicos SAN </t>
  </si>
  <si>
    <t>Código del Nivel 1</t>
  </si>
  <si>
    <t>SFICS N1</t>
  </si>
  <si>
    <t>Código del Nivel 2</t>
  </si>
  <si>
    <t>SFICS N2</t>
  </si>
  <si>
    <t>Código del Nivel 3</t>
  </si>
  <si>
    <t>SFICS N3</t>
  </si>
  <si>
    <t>SFICS N3 c/Códigos</t>
  </si>
  <si>
    <t>SFICS c/Códigos</t>
  </si>
  <si>
    <t>Criterios</t>
  </si>
  <si>
    <t>Descripción</t>
  </si>
  <si>
    <t>Criterio Específicos SAN</t>
  </si>
  <si>
    <t>Criterios Taxonomía UE</t>
  </si>
  <si>
    <t>Población Objetivo</t>
  </si>
  <si>
    <t>Métrica de Impacto</t>
  </si>
  <si>
    <t>Contaminación</t>
  </si>
  <si>
    <t>Biodiversidad</t>
  </si>
  <si>
    <t>Verde</t>
  </si>
  <si>
    <t>Energía</t>
  </si>
  <si>
    <t>Energías renovables</t>
  </si>
  <si>
    <t>Generación de electricidad con energía solar fotovoltaica</t>
  </si>
  <si>
    <t xml:space="preserve">A.1.1. Generación de electricidad mediante tecnología solar fotovoltaica </t>
  </si>
  <si>
    <t xml:space="preserve">Generación de electricidad mediante tecnología solar fotovoltaica </t>
  </si>
  <si>
    <t xml:space="preserve">Construcción o explotación de instalaciones de generación de electricidad que produzcan electricidad utilizando la tecnología solar fotovoltaica (PV). </t>
  </si>
  <si>
    <r>
      <rPr>
        <b/>
        <sz val="8"/>
        <color rgb="FF000000"/>
        <rFont val="Santander Text"/>
        <family val="2"/>
      </rPr>
      <t xml:space="preserve">¿De qué se trata? </t>
    </r>
    <r>
      <rPr>
        <sz val="8"/>
        <color rgb="FF000000"/>
        <rFont val="Santander Text"/>
        <family val="2"/>
      </rPr>
      <t xml:space="preserve">Construcción o explotación de instalaciones de generación de electricidad que produzcan electricidad utilizando la tecnología solar fotovoltaica. 
</t>
    </r>
    <r>
      <rPr>
        <b/>
        <sz val="8"/>
        <color rgb="FF000000"/>
        <rFont val="Santander Text"/>
        <family val="2"/>
      </rPr>
      <t>Envidencia recomendada:</t>
    </r>
    <r>
      <rPr>
        <sz val="8"/>
        <color rgb="FF000000"/>
        <rFont val="Santander Text"/>
        <family val="2"/>
      </rPr>
      <t xml:space="preserve"> Las pruebas recomendadas incluyen factura, evaluación de impactos ambientales, proyecto ejecutivo.</t>
    </r>
  </si>
  <si>
    <t>No Aplica</t>
  </si>
  <si>
    <t>Cumple TODOS los criterios aplicables _
1. Construcción u operación de instalaciones de generación de electricidad que producen electricidad utilizando tecnología solar fotovoltaica (FV). _</t>
  </si>
  <si>
    <t>7) Energía asequible y no contaminante
9) Industria, innovación e infraestructura
13) Acción climática</t>
  </si>
  <si>
    <t>Contribución Directa</t>
  </si>
  <si>
    <t>Generación de electricidad con energía solar concentrada (CSP)</t>
  </si>
  <si>
    <t xml:space="preserve">A.1.2. Generación de electricidad utilizando tecnología de energía solar concentrada (CSP) </t>
  </si>
  <si>
    <t xml:space="preserve">Generación de electricidad utilizando tecnología de energía solar concentrada (CSP) </t>
  </si>
  <si>
    <t xml:space="preserve">Construcción o explotación de instalaciones de generación de electricidad que produzcan electricidad utilizando la tecnología de energía solar concentrada (CSP). </t>
  </si>
  <si>
    <r>
      <rPr>
        <b/>
        <sz val="8"/>
        <color rgb="FF000000"/>
        <rFont val="Santander Text"/>
        <family val="2"/>
      </rPr>
      <t xml:space="preserve">¿De qué se trata? </t>
    </r>
    <r>
      <rPr>
        <sz val="8"/>
        <color rgb="FF000000"/>
        <rFont val="Santander Text"/>
        <family val="2"/>
      </rPr>
      <t xml:space="preserve">Construcción o explotación de instalaciones de generación de electricidad que produzcan electricidad utilizando la tecnología de energía solar concentrada (CSP). 
</t>
    </r>
    <r>
      <rPr>
        <b/>
        <sz val="8"/>
        <color rgb="FF000000"/>
        <rFont val="Santander Text"/>
        <family val="2"/>
      </rPr>
      <t>Envidencia recomendada:</t>
    </r>
    <r>
      <rPr>
        <sz val="8"/>
        <color rgb="FF000000"/>
        <rFont val="Santander Text"/>
        <family val="2"/>
      </rPr>
      <t xml:space="preserve"> Las pruebas recomendadas incluyen factura, evaluación de impactos ambientales, proyecto ejecutivo.</t>
    </r>
  </si>
  <si>
    <t>Cumple TODOS los criterios aplicables _
1. Construcción u operación de instalaciones de generación de electricidad que producen electricidad utilizando tecnología de energía solar concentrada (CSP).</t>
  </si>
  <si>
    <t>Generación de electricidad con energía eólica</t>
  </si>
  <si>
    <t xml:space="preserve">A.1.3. Generación de electricidad a partir de energía eólica </t>
  </si>
  <si>
    <t xml:space="preserve">Generación de electricidad a partir de energía eólica </t>
  </si>
  <si>
    <t xml:space="preserve">Construcción o explotación de instalaciones de generación de electricidad que produzcan electricidad utilizando la tecnología de energía eólica. </t>
  </si>
  <si>
    <r>
      <rPr>
        <b/>
        <sz val="8"/>
        <color rgb="FF000000"/>
        <rFont val="Santander Text"/>
        <family val="2"/>
      </rPr>
      <t xml:space="preserve">¿De qué se trata? </t>
    </r>
    <r>
      <rPr>
        <sz val="8"/>
        <color rgb="FF000000"/>
        <rFont val="Santander Text"/>
        <family val="2"/>
      </rPr>
      <t xml:space="preserve">Construcción o explotación de instalaciones de generación de electricidad que produzcan electricidad utilizando la tecnología de energía eólica. 
</t>
    </r>
    <r>
      <rPr>
        <b/>
        <sz val="8"/>
        <color rgb="FF000000"/>
        <rFont val="Santander Text"/>
        <family val="2"/>
      </rPr>
      <t>Envidencia recomendada:</t>
    </r>
    <r>
      <rPr>
        <sz val="8"/>
        <color rgb="FF000000"/>
        <rFont val="Santander Text"/>
        <family val="2"/>
      </rPr>
      <t xml:space="preserve"> Las pruebas recomendadas incluyen factura, evaluación de impactos ambientales, proyecto ejecutivo.</t>
    </r>
  </si>
  <si>
    <t>Cumple TODOS los criterios aplicables _
1. Construcción u operación de instalaciones de generación de electricidad que producen electricidad utilizando tecnología de energía eólica.</t>
  </si>
  <si>
    <t>Generación de electricidad con energía oceánica</t>
  </si>
  <si>
    <t xml:space="preserve">A.1.4. Generación de electricidad a partir de tecnologías de energía oceánica </t>
  </si>
  <si>
    <t xml:space="preserve">Generación de electricidad a partir de tecnologías de energía oceánica </t>
  </si>
  <si>
    <t xml:space="preserve">Construcción o explotación de instalaciones de generación de electricidad que produzcan electricidad a partir de energía oceánica o corriente </t>
  </si>
  <si>
    <r>
      <rPr>
        <b/>
        <sz val="8"/>
        <color rgb="FF000000"/>
        <rFont val="Santander Text"/>
        <family val="2"/>
      </rPr>
      <t xml:space="preserve">¿De qué se trata? </t>
    </r>
    <r>
      <rPr>
        <sz val="8"/>
        <color rgb="FF000000"/>
        <rFont val="Santander Text"/>
        <family val="2"/>
      </rPr>
      <t xml:space="preserve">Construcción o explotación de instalaciones de generación de electricidad que produzcan electricidad a partir de energía oceánica o corriente.  
</t>
    </r>
    <r>
      <rPr>
        <b/>
        <sz val="8"/>
        <color rgb="FF000000"/>
        <rFont val="Santander Text"/>
        <family val="2"/>
      </rPr>
      <t>Envidencia recomendada:</t>
    </r>
    <r>
      <rPr>
        <sz val="8"/>
        <color rgb="FF000000"/>
        <rFont val="Santander Text"/>
        <family val="2"/>
      </rPr>
      <t xml:space="preserve"> Las pruebas recomendadas incluyen factura, evaluación de impactos ambientales, proyecto ejecutivo.</t>
    </r>
  </si>
  <si>
    <t>Cumple TODOS los criterios aplicables _
1. Construcción u operación de instalaciones de generación de electricidad que producen electricidad a partir de la energía oceánica o mareomotriz.</t>
  </si>
  <si>
    <t>Generación de electricidad con energía hidroelécrica</t>
  </si>
  <si>
    <t xml:space="preserve">A.1.5. Generación de electricidad a partir de energía hidroeléctrica </t>
  </si>
  <si>
    <t xml:space="preserve">Generación de electricidad a partir de energía hidroeléctrica </t>
  </si>
  <si>
    <t>Construcción o explotación de instalaciones de generación de electricidad que produzcan electricidad a partir de energía hidroeléctrica.</t>
  </si>
  <si>
    <r>
      <rPr>
        <b/>
        <sz val="8"/>
        <color rgb="FF000000"/>
        <rFont val="Santander Text"/>
        <family val="2"/>
      </rPr>
      <t>¿De qué se trata?</t>
    </r>
    <r>
      <rPr>
        <sz val="8"/>
        <color rgb="FF000000"/>
        <rFont val="Santander Text"/>
        <family val="2"/>
      </rPr>
      <t xml:space="preserve"> Construcción o explotación de instalaciones de generación de electricidad que generen electricidad a partir de energía hidroeléctrica. </t>
    </r>
  </si>
  <si>
    <r>
      <t xml:space="preserve">Cumple </t>
    </r>
    <r>
      <rPr>
        <sz val="8"/>
        <color rgb="FFFF0000"/>
        <rFont val="Santander Text"/>
      </rPr>
      <t>UN</t>
    </r>
    <r>
      <rPr>
        <sz val="8"/>
        <color theme="1"/>
        <rFont val="Santander Text"/>
        <family val="2"/>
      </rPr>
      <t xml:space="preserve"> criterio aplicable _
4. Cumple con el criterio nº 3 y el cálculo se realiza utilizando cualquier certificación reconocida (p. ej., PAS 2050). _
</t>
    </r>
    <r>
      <rPr>
        <sz val="8"/>
        <color rgb="FFFF0000"/>
        <rFont val="Santander Text"/>
      </rPr>
      <t>5. La repotenciación o el desarrollo de nuevas instalaciones de almacenamiento por bombeo sobre centrales hidroeléctricas existentes, siempre que cumplan los requisitos medioambientales y cuenten con las licencias necesarias para operar</t>
    </r>
    <r>
      <rPr>
        <sz val="8"/>
        <color theme="1"/>
        <rFont val="Santander Text"/>
        <family val="2"/>
      </rPr>
      <t>. _</t>
    </r>
  </si>
  <si>
    <r>
      <t xml:space="preserve">Cumple UN criterio aplicable _
1. Central de pasada sin capacidad de almacenamiento artificial o baja _
2. Densidad de potencia superior a 5 W/m2 _
3. Emisiones del ciclo de vida inferiores a 100 gCO2e/kWh y emisiones de gases de efecto invernadero verificadas por un tercero y calculadas utilizando UNO: 
a. ISO 14067:2018
b. ISO 14064-1:2018
c. Herramienta G-res
</t>
    </r>
    <r>
      <rPr>
        <strike/>
        <sz val="8"/>
        <color rgb="FFFF0000"/>
        <rFont val="Santander Text"/>
      </rPr>
      <t>d. Certificado EPA Energy Star _</t>
    </r>
  </si>
  <si>
    <t>Generación de electricidad con energía geotérmica</t>
  </si>
  <si>
    <t xml:space="preserve">A.1.6. Generación de electricidad a partir de energía geotérmica </t>
  </si>
  <si>
    <t xml:space="preserve">Generación de electricidad a partir de energía geotérmica </t>
  </si>
  <si>
    <t>Construcción o explotación de instalaciones de generación de electricidad que produzcan electricidad a partir de energía geotérmica.</t>
  </si>
  <si>
    <r>
      <rPr>
        <b/>
        <sz val="8"/>
        <color rgb="FF000000"/>
        <rFont val="Santander Text"/>
        <family val="2"/>
      </rPr>
      <t>¿De qué se trata?</t>
    </r>
    <r>
      <rPr>
        <sz val="8"/>
        <color rgb="FF000000"/>
        <rFont val="Santander Text"/>
        <family val="2"/>
      </rPr>
      <t xml:space="preserve"> Construcción o explotación de instalaciones de generación de electricidad que produzcan electricidad a partir de energía geotérmica. </t>
    </r>
  </si>
  <si>
    <t>Cumple TODOS los criterios aplicables _
1.Emisiones directas inferiores a 100gCO2e/kWh._
4. Cumple lo dispuesto en el párrafo 3 y el cálculo se realiza utilizando cualquier certificación reconocida (por ejemplo, PAS 2050)._</t>
  </si>
  <si>
    <t>Cumple TODOS los criterios aplicables  _
1. Emisiones directas inferiores a 100gCO2e/kWh. _
2. Emisiones de GEI  cuantificadas del ciclo de vida verificadas por terceros independientes.  _
3. Ahorro de emisiones de ciclo de vida verificado por terceros y calculado UTILIZANDO UNO: 
a. ISO 14067:2018
b. ISO 14064-1:2018 _</t>
  </si>
  <si>
    <t xml:space="preserve">Energía solar – cogeneración de calor/frío/energía </t>
  </si>
  <si>
    <t xml:space="preserve">A.1.17. Energía solar – cogeneración de calor/frío/energía </t>
  </si>
  <si>
    <t xml:space="preserve">A.1.17. Cogeneración de calor/frío y energía a partir de energía solar </t>
  </si>
  <si>
    <t xml:space="preserve">Cogeneración de calor/frío y energía a partir de energía solar </t>
  </si>
  <si>
    <t>Construcción y funcionamiento de instalaciones de cogeneración de electricidad y calor/frío a partir de energía solar.</t>
  </si>
  <si>
    <r>
      <rPr>
        <b/>
        <sz val="8"/>
        <color rgb="FF000000"/>
        <rFont val="Santander Text"/>
        <family val="2"/>
      </rPr>
      <t>¿De qué se trata?</t>
    </r>
    <r>
      <rPr>
        <sz val="8"/>
        <color rgb="FF000000"/>
        <rFont val="Santander Text"/>
        <family val="2"/>
      </rPr>
      <t xml:space="preserve"> Construcción y operación de instalaciones de cogeneración de electricidad y calor/frío a partir de energía solar.</t>
    </r>
  </si>
  <si>
    <t>Cumple TODOS los criterios aplicables  _
1. Construcción y operación de instalaciones cogeneradoras de electricidad y calor/frío a partir de energía solar. _</t>
  </si>
  <si>
    <t xml:space="preserve">Energía geotérmica – cogeneración de calor/frío/energía </t>
  </si>
  <si>
    <t xml:space="preserve">A.1.18. Energía geotérmica – cogeneración de calor/frío/energía </t>
  </si>
  <si>
    <t xml:space="preserve">A.1.18. Cogeneración de calor/frío y energía a partir de energía geotérmica </t>
  </si>
  <si>
    <t xml:space="preserve">Cogeneración de calor/frío y energía a partir de energía geotérmica </t>
  </si>
  <si>
    <t>Construcción y funcionamiento de instalaciones de cogeneración de electricidad y calor/frío a partir de energía geotérmica.</t>
  </si>
  <si>
    <r>
      <rPr>
        <b/>
        <sz val="8"/>
        <color rgb="FF000000"/>
        <rFont val="Santander Text"/>
        <family val="2"/>
      </rPr>
      <t xml:space="preserve">¿De qué se trata? </t>
    </r>
    <r>
      <rPr>
        <sz val="8"/>
        <color rgb="FF000000"/>
        <rFont val="Santander Text"/>
        <family val="2"/>
      </rPr>
      <t>Construcción y operación de instalaciones de cogeneración de electricidad y calor/frío a partir de energía geotérmica.</t>
    </r>
  </si>
  <si>
    <t xml:space="preserve">Cumple TODOS los criterios aplicables _
1. Emisiones de gases de efecto invernadero del ciclo de vida de la generación combinada de calor y frío y energía geotérmica inferior a 100 gCO2e/kWh. _
3. Cumple con el criterio 1 y el cálculo se realiza utilizando cualquier certificación reconocida (e.g. PAS 2050), verificado por un tercero independiente. </t>
  </si>
  <si>
    <t>Cumple TODOS los criterios aplicables _
1. Emisiones de gases de efecto invernadero del ciclo de vida de la generación combinada de calor y frío y energía geotérmica inferior a 100 gCO2e/kWh. _
2. Emisiones del ciclo de vida verificadas por terceros y calculadas UTILIZANDO UNO:  
- ISO 14067:2018
- ISO 14064-1:2018 _</t>
  </si>
  <si>
    <t xml:space="preserve">Solar térmica - producción de calor/frío </t>
  </si>
  <si>
    <t xml:space="preserve">A.1.21. Solar térmica - producción de calor/frío </t>
  </si>
  <si>
    <t xml:space="preserve">A.1.21. Producción de calor/frío a partir de la calefacción solar térmica </t>
  </si>
  <si>
    <t>Construcción u operación de instalaciones para la generación de calor/frío a través de la tecnología solar térmica</t>
  </si>
  <si>
    <r>
      <rPr>
        <b/>
        <sz val="8"/>
        <color rgb="FF000000"/>
        <rFont val="Santander Text"/>
        <family val="2"/>
      </rPr>
      <t xml:space="preserve">¿De qué se trata? </t>
    </r>
    <r>
      <rPr>
        <sz val="8"/>
        <color rgb="FF000000"/>
        <rFont val="Santander Text"/>
        <family val="2"/>
      </rPr>
      <t xml:space="preserve">Construcción u operación de instalaciones para la generación de calor/frío a través de la tecnología solar térmica. </t>
    </r>
  </si>
  <si>
    <t>Cumple TODOS los criterios aplicables  _
1. Los sistemas de calefacción/refrigeración se alimentan con calefacción solar térmica. _</t>
  </si>
  <si>
    <t xml:space="preserve">Energía geotérmica - producción de calor/frío </t>
  </si>
  <si>
    <t xml:space="preserve">A.1.22. Energía geotérmica - producción de calor/frío </t>
  </si>
  <si>
    <t xml:space="preserve">A.1.22. Producción de calor/frío a partir de energía geotérmica </t>
  </si>
  <si>
    <t xml:space="preserve">Producción de calor/frío a partir de energía geotérmica </t>
  </si>
  <si>
    <t xml:space="preserve">Construcción u operación de instalaciones para la generación de calor/frío mediante la tecnología de calefacción geotérmica. </t>
  </si>
  <si>
    <r>
      <rPr>
        <b/>
        <sz val="8"/>
        <color rgb="FF000000"/>
        <rFont val="Santander Text"/>
        <family val="2"/>
      </rPr>
      <t xml:space="preserve">¿De qué se trata? </t>
    </r>
    <r>
      <rPr>
        <sz val="8"/>
        <color rgb="FF000000"/>
        <rFont val="Santander Text"/>
        <family val="2"/>
      </rPr>
      <t xml:space="preserve">Construcción u operación de instalaciones para la generación de calor/frío mediante la tecnología de calefacción geotérmica. </t>
    </r>
  </si>
  <si>
    <t>Cumple TODOS los criterios aplicables _
2. Cumple con el criterio 1 y el cálculo se realiza utilizando cualquier certificación reconocida (p. ej. PAS 2050). _</t>
  </si>
  <si>
    <t>Cumple TODOS los criterios aplicables _
1. Emisiones de ciclo de vida más bajas de 100gCO2e/kWh verificadas por terceros y calculadas UTILIZANDO UNO: 
- ISO 14067:2018
- ISO 14064-1:2018_</t>
  </si>
  <si>
    <t>Combustibles renovables, bioenergía y calor residual</t>
  </si>
  <si>
    <t>Generación de electricidad con combustibles renovables</t>
  </si>
  <si>
    <t>A.1.7. Generación de electricidad con combustibles renovables</t>
  </si>
  <si>
    <t xml:space="preserve">A.1.7. Generación de electricidad a partir de combustibles gaseosos y líquidos no fósiles renovables </t>
  </si>
  <si>
    <t xml:space="preserve">Generación de electricidad a partir de combustibles gaseosos y líquidos no fósiles renovables </t>
  </si>
  <si>
    <t>Producción de electricidad utilizando combustibles gaseosos y líquidos renovables</t>
  </si>
  <si>
    <r>
      <rPr>
        <b/>
        <sz val="8"/>
        <color rgb="FF000000"/>
        <rFont val="Santander Text"/>
        <family val="2"/>
      </rPr>
      <t xml:space="preserve">¿De qué se trata? </t>
    </r>
    <r>
      <rPr>
        <sz val="8"/>
        <color rgb="FF000000"/>
        <rFont val="Santander Text"/>
        <family val="2"/>
      </rPr>
      <t xml:space="preserve">Producción de electricidad utilizando combustibles gaseosos y líquidos renovables 
</t>
    </r>
    <r>
      <rPr>
        <b/>
        <sz val="8"/>
        <color rgb="FF000000"/>
        <rFont val="Santander Text"/>
        <family val="2"/>
      </rPr>
      <t>¿De qué NO se trata?</t>
    </r>
    <r>
      <rPr>
        <sz val="8"/>
        <color rgb="FF000000"/>
        <rFont val="Santander Text"/>
        <family val="2"/>
      </rPr>
      <t xml:space="preserve"> Producir electricidad exclusivamente a partir de biomasa, biogás o biolíquidos </t>
    </r>
  </si>
  <si>
    <t>Cumple TODOS los criterios aplicables  _
2. Cumple lo dispuesto en el párrafo 1 y el cálculo se realiza utilizando cualquier certificación reconocida (por ejemplo, PAS 2050). _
3. Los informes de emisiones de metano cumplen UNO de los siguientes requisitos: 
a. En la construcción - emisiones físicas y equipos de medición y monitoreo de metano. 
b. En construcción - programa de detección y reparación de fugas. 
c. Durante el funcionamiento – se informa de la medición física del metano y se elimina la fuga. _
5. Fuga de CO2 del transporte de carbono certificado con las normas aceptadas por Santander. _
6. Las fuentes producidas a partir de biomasa agrícola no deben ser obtenidas a partir de tierras con un alto valor de biodiversidad ni derivarse de una producción insostenible, como las reservas naturales.  _
8. El uso del combustible biometano, certificado por GOO, se acepta como alternativa a la conexión física de la tubería. _</t>
  </si>
  <si>
    <t>Cumple TODOS los criterios aplicables  _
1. Hidrógeno azul o verde, o emisiones directas inferiores a 100gCO2e/kWh verificada por terceros y calculada UTILIZANDO UNO: 
a. ISO 14067:2018
b. ISO 14064-1:2018 _
3.Los informes de emisiones de metano cumplen UNO de los siguientes requisitos: 
a. En la construcción - emisiones físicas y equipos de medición y monitoreo de metano. 
b. En construcción - programa de detección y reparación de fugas. 
c. Durante el funcionamiento – se informa de la medición física del metano y se elimina la fuga. _
4. Fuga de CO2 del transporte de carbono por debajo del 0,5%, captura de carbono de acuerdo con las normas y sus tecnologías permiten una actividad relacionada con la generación de energía. _
6. Las fuentes producidas a partir de biomasa agrícola no deben ser obtenidas a partir de tierras con un alto valor de biodiversidad ni derivarse de una producción insostenible, como las reservas naturales.  _
7. La producción de hidrógeno, acero, cemento y productos químicos funciona dentro del límite de intensidad de carbono permitido (por ejemplo, acero: metal caliente 1,331 tCO2e/t; horno de arco eléctrico (EAF) acero de alta aleación: 0,266 tCO2e/t producto). _</t>
  </si>
  <si>
    <t>Generación de electricidad con bioenergía</t>
  </si>
  <si>
    <t>A.1.8. Generación de electricidad con bioenergía</t>
  </si>
  <si>
    <t xml:space="preserve">A.1.8. Generación de electricidad a partir de bioenergía </t>
  </si>
  <si>
    <t xml:space="preserve">Generación de electricidad a partir de bioenergía </t>
  </si>
  <si>
    <t>Producir electricidad exclusivamente a partir de biomasa, biogás o biolíquidos</t>
  </si>
  <si>
    <r>
      <rPr>
        <b/>
        <sz val="8"/>
        <color rgb="FF000000"/>
        <rFont val="Santander Text"/>
        <family val="2"/>
      </rPr>
      <t xml:space="preserve">¿De qué se trata? </t>
    </r>
    <r>
      <rPr>
        <sz val="8"/>
        <color rgb="FF000000"/>
        <rFont val="Santander Text"/>
        <family val="2"/>
      </rPr>
      <t xml:space="preserve">Producción de electricidad exclusivamente a partir de biomasa, biogás o biolíquidos. 
</t>
    </r>
    <r>
      <rPr>
        <b/>
        <sz val="8"/>
        <color rgb="FF000000"/>
        <rFont val="Santander Text"/>
        <family val="2"/>
      </rPr>
      <t xml:space="preserve">¿De qué NO se trata? </t>
    </r>
    <r>
      <rPr>
        <sz val="8"/>
        <color rgb="FF000000"/>
        <rFont val="Santander Text"/>
        <family val="2"/>
      </rPr>
      <t xml:space="preserve">Generación de electricidad a partir de la mezcla de combustibles renovables con biogás o biolíquidos. 
</t>
    </r>
    <r>
      <rPr>
        <b/>
        <sz val="8"/>
        <color rgb="FF000000"/>
        <rFont val="Santander Text"/>
        <family val="2"/>
      </rPr>
      <t>Evidencia recomendada</t>
    </r>
    <r>
      <rPr>
        <sz val="8"/>
        <color rgb="FF000000"/>
        <rFont val="Santander Text"/>
        <family val="2"/>
      </rPr>
      <t>: International Sustainability &amp; Carbon Certification (ISCC) Solid Biomass (NL).</t>
    </r>
  </si>
  <si>
    <r>
      <t xml:space="preserve">Cumple UN criterio aplicable _
2. Materia prima sujeta a la evaluación de riesgo ESCC de Santander (resultado de 2,8 o superior) (solo para Brasil, o cualquier otro país donde pueda realizarse una evaluación equivalente). _
3. Materia prima certificada específicamente por ISCC Plus o RSB Biomass con UNO de los siguientes criterios:
a. La intensidad de emisiones de GEI del ciclo de vida es inferior a 100 gCO₂e/kWh.
b. Las emisiones del ciclo de vida son al menos un 65 % inferiores al nivel de referencia de los combustibles fósiles. _
</t>
    </r>
    <r>
      <rPr>
        <sz val="8"/>
        <color rgb="FFFF0000"/>
        <rFont val="Santander Text"/>
      </rPr>
      <t>7. La materia prima de biomasa no peligrosa debe:
-Evitar su eliminación en vertederos.
-Proceder de una empresa oficial de gestión de residuos, o de fuentes certificadas como sostenibles (p. ej., PEFC/FSC), o ser un subproducto/residuo de un proceso interno de fabricación.
-Someterse a una evaluación ambiental y social adicional para confirmar que no existen condiciones que puedan dificultar el proceso de etiquetado. _</t>
    </r>
  </si>
  <si>
    <r>
      <t xml:space="preserve">Cumple TODOS los criterios aplicables  _
1. La materia prima cumple UNO de los siguientes criterios:
a. UNO de los siguientes certificados disponibles:
      - 2BSvs
     - Better Biomass
     - Bonsucro EU
     - ISCC EU
     - KZR INiG system
     - REDcert
     - Red Tractor
     - RSB EU RED
     - SQC
     - TASCC
     - UFAS
     - SURE
     - SBP
     - </t>
    </r>
    <r>
      <rPr>
        <sz val="8"/>
        <rFont val="Santander Text"/>
      </rPr>
      <t>AACS</t>
    </r>
    <r>
      <rPr>
        <sz val="8"/>
        <color rgb="FFFF0000"/>
        <rFont val="Santander Text"/>
        <family val="2"/>
      </rPr>
      <t xml:space="preserve">
</t>
    </r>
    <r>
      <rPr>
        <sz val="8"/>
        <color rgb="FF000000"/>
        <rFont val="Santander Text"/>
        <family val="2"/>
      </rPr>
      <t>b. Cumple TODOS LOS siguientes requisitos:
- Los biocarburantes, biolíquidos y combustibles de biomasa no deben producirse utilizando tierras o materiales de alto valor medioambiental. 
- Ahorro de emisiones de efecto invernadero superior al 80% en relación con la línea de referencia del combustible. _
4. - Potencia térmica nominal total de 50-100 MV y tecnología de cogeneración de alta eficiencia. 
- En el caso de instalaciones de electricidad únicamente, nivel de eficiencia energética con las mejores técnicas disponibles. _
5. Potencia térmica nominal total superior a 100 MW, de acuerdo con UNA de las siguientes condiciones:
a. La actividad alcanza una eficiencia eléctrica del 36%. 
b. Aplica una eficiencia combinada de calor y energía altamente eficiente. 
c. Utiliza tecnología de captura y almacenamiento de carbono con fugas de CO2 limitadas a menos del 0,5% y secuestro de carbono de acuerdo con las normas (i.e. ISO 27914:2017).  _
6. Generación anaeróbica: Biogás utilizado directamente para electricidad o generación de calor / actualizado como bio-metano / usado como materia prima en la industria química. _</t>
    </r>
  </si>
  <si>
    <t xml:space="preserve">Fabricación de biogás/biocarburantes para transporte </t>
  </si>
  <si>
    <t xml:space="preserve">A.1.13. Fabricación de biogás/biocarburantes para transporte </t>
  </si>
  <si>
    <t xml:space="preserve">A.1.13. Fabricación de biogás y biocombustibles para su uso en el transporte y de biolíquidos </t>
  </si>
  <si>
    <t xml:space="preserve">Fabricación de biogás y biocombustibles para su uso en el transporte y de biolíquidos </t>
  </si>
  <si>
    <t>Fabricación de biogás o biocarburantes para el transporte y biolíquidos</t>
  </si>
  <si>
    <r>
      <rPr>
        <b/>
        <sz val="8"/>
        <color rgb="FF000000"/>
        <rFont val="Santander Text"/>
        <family val="2"/>
      </rPr>
      <t xml:space="preserve">¿De qué se trata? </t>
    </r>
    <r>
      <rPr>
        <sz val="8"/>
        <color rgb="FF000000"/>
        <rFont val="Santander Text"/>
        <family val="2"/>
      </rPr>
      <t xml:space="preserve">Fabricación de biogás o biocarburantes para el transporte y biolíquidos. </t>
    </r>
  </si>
  <si>
    <t>Cumple UN criterio aplicable _
2. El certificado de materia prima cumple UNO, verificando O BIEN la intensidad de las emisiones de gases de efecto invernadero por debajo de 100 gCO2e/kWh o el ahorro de emisiones durante el ciclo de vida por encima del 65 %. _
3. (BR): Renovabio como certificación O MATERIA PRIMA sujeta a evaluaciones de riesgo ESCC de Santander (solo para Brasil). _</t>
  </si>
  <si>
    <r>
      <t xml:space="preserve">Cumple TODOS los criterios aplicables _
1. La materia prima cumple UNO de los siguientes criterios (no aplicable a instalaciones con una potencia térmica nominal total inferior a 2 MW que utilicen combustibles gaseosos de biomasa):
a. Certificados disponibles (UNO)
a. 2BSvs
b. Better Biomass
c. ISCC EU
d. Sistema KZR INiG
e. REDcert
f. RSB EU RED
g. SURE
h. SBP
</t>
    </r>
    <r>
      <rPr>
        <sz val="8"/>
        <color rgb="FFFF0000"/>
        <rFont val="Santander Text"/>
        <family val="2"/>
      </rPr>
      <t xml:space="preserve">i. AACS
</t>
    </r>
    <r>
      <rPr>
        <sz val="8"/>
        <color rgb="FF000000"/>
        <rFont val="Santander Text"/>
        <family val="2"/>
      </rPr>
      <t>b. Cumple con TODO lo siguiente:
- Los biocombustibles, biolíquidos y combustibles de biomasa no deben producirse utilizando tierras o materiales de alto valor de biodiversidad o reservados, ni derivarse de una producción insostenible.
- Reducción de las emisiones de gases de efecto invernadero superior al 65 % en relación con la línea de base de combustible. _
4. NO consiste en cultivos alimentarios y forrajeros. _
5. Incluye el uso de etanol SOLO si se fabrica a partir de celulosa o hemicelulosa mediante tecnologías de segunda generación. _
6. Fugas de CO2 de los métodos de transporte de carbono inferiores al 0,5 %, y los sitios de secuestro de carbono cumplen con la norma ISO 27914:2017. _
7. Generación anaeróbica: biogás utilizado directamente para la generación de electricidad o calor / convertido en biometano / utilizado como combustible para vehículos o barcos / utilizado como materia prima en la industria química. _</t>
    </r>
  </si>
  <si>
    <t xml:space="preserve">Combustibles renovables – cogeneración de calor/frío/energía </t>
  </si>
  <si>
    <t xml:space="preserve">A.1.19. Combustibles renovables – cogeneración de calor/frío/energía </t>
  </si>
  <si>
    <t xml:space="preserve">A.1.19. Cogeneración de calor/frío y energía a partir de combustibles gaseosos y líquidos renovables no fósiles </t>
  </si>
  <si>
    <t xml:space="preserve">Cogeneración de calor/frío y energía a partir de combustibles gaseosos y líquidos renovables no fósiles </t>
  </si>
  <si>
    <t xml:space="preserve">Instalaciones combinadas de calefacción/refrigeración y generación de energía que utilizan combustibles gaseosos y líquidos de origen renovable. </t>
  </si>
  <si>
    <r>
      <rPr>
        <b/>
        <sz val="8"/>
        <color rgb="FF000000"/>
        <rFont val="Santander Text"/>
        <family val="2"/>
      </rPr>
      <t xml:space="preserve">¿De qué se trata? </t>
    </r>
    <r>
      <rPr>
        <sz val="8"/>
        <color rgb="FF000000"/>
        <rFont val="Santander Text"/>
        <family val="2"/>
      </rPr>
      <t xml:space="preserve">Instalaciones combinadas de calefacción/refrigeración y generación de energía que utilizan combustibles gaseosos y líquidos de origen renovable. 
</t>
    </r>
    <r>
      <rPr>
        <b/>
        <sz val="8"/>
        <color rgb="FF000000"/>
        <rFont val="Santander Text"/>
        <family val="2"/>
      </rPr>
      <t xml:space="preserve">¿De qué NO se trata? </t>
    </r>
    <r>
      <rPr>
        <sz val="8"/>
        <color rgb="FF000000"/>
        <rFont val="Santander Text"/>
        <family val="2"/>
      </rPr>
      <t xml:space="preserve">Cogeneración de calor/frío y energía a partir del uso exclusivo de biogás y combustibles biolíquidos. </t>
    </r>
  </si>
  <si>
    <t>Cumple TODOS los criterios aplicables _
3. Emisiones de gases de efecto invernadero del ciclo de vida de la generación combinada de calor y frío y energía a partir de combustibles gaseosos inferiores a 100 gCO2e/kWh; verificadas por terceros independientes y calculadas sobre la base de datos específicos del proyecto utilizando certificaciones reconocidas local o internacionalmente. _
4. Los informes de emisiones de metano cumplen UNO de los siguientes requisitos: 
a. En la construcción - emisiones físicas y equipos de medición y monitoreo de metano. 
b. En construcción - programa de detección y reparación de fugas. 
c. Durante el funcionamiento – se informa de la medición física del metano y se elimina la fuga. _
7. Fuga de CO2 del transporte de carbono y secuestro certificado basado en estándares aceptados para Santander. _
9. Los biocarburantes, biolíquidos y combustibles de biomasa no deben producirse utilizando tierras o materiales de alto valor medioambiental. _
10. Los certificados GOO sobre el uso del combustible biometano se aceptan como alternativa a una conexión física canalizada. _</t>
  </si>
  <si>
    <t xml:space="preserve">Cumple TODOS los criterios aplicables  _
1. Reducción de las emisiones de gases de efecto invernadero procedentes del ciclo de vida: 
- 73,4 % para el hidrógeno, siendo inferior a 3tCO2e/Th2. 
- 70% para combustibles sintéticos a base de hidrógeno en comparación con un comparador de combustibles fósiles de 94g CO2e/MJ. _
2. Emisiones del ciclo de vida verificadas por terceros y calculadas UTILIZANDO UNO :  
- ISO 14067:2018
- ISO 14064-1:2018 _
4. Los informes de emisiones de metano cumplen UNO de los siguientes requisitos: 
a. En la construcción - emisiones físicas y equipos de medición y monitoreo de metano. 
b. En construcción - programa de detección y reparación de fugas. 
c. Durante el funcionamiento – se informa de la medición física del metano y se elimina la fuga. _
5. La fuga de CO2 de los métodos de transporte de carbono por debajo del 0,5 % y los lugares de secuestro de carbono cumplen la norma ISO 27914:2017. _
6. Las tecnologías de captura de carbono permiten una actividad relacionada con la generación de energía.  _
8. La producción de hidrógeno, acero, cemento y productos químicos funciona dentro del umbral de intensidad de carbono permitido (por ejemplo, acero metálico caliente: 1,331 tCO2e/t; horno de arco eléctrico (EAF) acero de alta aleación: 0,266 tCO2e/t).  _
9. Los biocarburantes, biolíquidos y combustibles de biomasa no deben producirse utilizando tierras o materiales de alto valor medioambiental. _
</t>
  </si>
  <si>
    <t xml:space="preserve">Bioenergía - Cogeneración de calor/frío/energía </t>
  </si>
  <si>
    <t xml:space="preserve">A.1.20. Bioenergía - Cogeneración de calor/frío/energía </t>
  </si>
  <si>
    <t xml:space="preserve">A.1.20. Cogeneración de calor/frío y energía a partir de bioenergía </t>
  </si>
  <si>
    <t xml:space="preserve">Cogeneración de calor/frío y energía a partir de bioenergía </t>
  </si>
  <si>
    <t>Construcción y explotación de instalaciones de cogeneración de electricidad y calor/frío a partir de bioenergía</t>
  </si>
  <si>
    <r>
      <rPr>
        <b/>
        <sz val="8"/>
        <color rgb="FF000000"/>
        <rFont val="Santander Text"/>
        <family val="2"/>
      </rPr>
      <t xml:space="preserve">¿De qué se trata? </t>
    </r>
    <r>
      <rPr>
        <sz val="8"/>
        <color rgb="FF000000"/>
        <rFont val="Santander Text"/>
        <family val="2"/>
      </rPr>
      <t xml:space="preserve">Cogeneración de calor/frío y energía exclusivamente a partir de biomasa, biogás o biolíquidos. 
</t>
    </r>
    <r>
      <rPr>
        <b/>
        <sz val="8"/>
        <color rgb="FF000000"/>
        <rFont val="Santander Text"/>
        <family val="2"/>
      </rPr>
      <t xml:space="preserve">¿De qué NO se trata? </t>
    </r>
    <r>
      <rPr>
        <sz val="8"/>
        <color rgb="FF000000"/>
        <rFont val="Santander Text"/>
        <family val="2"/>
      </rPr>
      <t xml:space="preserve">Cogeneración a partir de la mezcla de combustibles renovables con biogás o biolíquidos. </t>
    </r>
  </si>
  <si>
    <r>
      <t>Cumple UNO de los criterios aplicables _
3</t>
    </r>
    <r>
      <rPr>
        <strike/>
        <sz val="8"/>
        <color theme="1"/>
        <rFont val="Santander Text"/>
      </rPr>
      <t>.</t>
    </r>
    <r>
      <rPr>
        <strike/>
        <sz val="8"/>
        <color rgb="FFFF0000"/>
        <rFont val="Santander Text"/>
      </rPr>
      <t>El certificado de materia prima cumple con UNO, verificando O BIEN que la intensidad de emisiones de GEI sea inferior a 100 gCO₂e/kWh o que el ahorro de emisiones del ciclo de vida sea superior al 65 %</t>
    </r>
    <r>
      <rPr>
        <sz val="8"/>
        <color rgb="FFFF0000"/>
        <rFont val="Santander Text"/>
      </rPr>
      <t xml:space="preserve">. Materia prima sujeta a evaluaciones de riesgo ESCC de Santander (solo para Brasil)
4.La materia prima está certificada por ISCC Plus o RSB Biomass con:
A. La intensidad de emisiones de GEI del ciclo de vida es inferior a 100 gCO₂e/kWh o
B. Las emisiones del ciclo de vida son al menos un 65 % menores _
</t>
    </r>
    <r>
      <rPr>
        <strike/>
        <sz val="8"/>
        <color rgb="FFFF0000"/>
        <rFont val="Santander Text"/>
      </rPr>
      <t>4.(BR): Renovabio como certificación O materia prima sujeta a evaluaciones de riesgo ESCC de Santander (solo para Brasil). _</t>
    </r>
    <r>
      <rPr>
        <sz val="8"/>
        <color rgb="FFFF0000"/>
        <rFont val="Santander Text"/>
      </rPr>
      <t xml:space="preserve">
5.Materia prima de biomasa no peligrosa que evita la disposición en vertederos, procedente de una empresa oficial de gestión de residuos, o que se origine de bosques bien gestionados o fuentes certificadas de manera sostenible como PEFC/FSC, o derivada como subproducto o residuo de un proceso de fabricación interno. Se requiere una evaluación ambiental y social adicional para garantizar que no existan condiciones que puedan obstaculizar el proceso de etiquetado._</t>
    </r>
  </si>
  <si>
    <t>Cumple TODOS los criterios aplicables _
1. La materia prima cumple con UNO de los siguientes requisitos:
a. Dispone de UNO de los siguientes certificados
    -  2BSvs
     - Better Biomass
     - Bonsucro EU
     - ISCC EU
     - KZR INiG system
     - REDcert
     - Red Tractor
     - RSB EU RED
     - SQC
     - TASCC
     - UFAS
     - SURE
     - SBP
     - AACS
b. Cumple TODOS LOS siguientes requisitos:
- Los biocarburantes, biolíquidos y combustibles de biomasa no se producirán utilizando tierras o materiales de alto valor ambiental. 
- Ahorro de emisiones de efecto invernadero superior al 80% en relación con la línea de referencia del combustible. _
2. Generación anaeróbica: Biogás utilizado directamente para electricidad o generación de calor / actualizado para bio-metano / usado como materia prima en la industria química. _</t>
  </si>
  <si>
    <t xml:space="preserve">Combustibles renovables - producción de calor/frío </t>
  </si>
  <si>
    <t xml:space="preserve">A.1.23. Combustibles renovables - producción de calor/frío </t>
  </si>
  <si>
    <t xml:space="preserve">A.1.23. Producción de calor/frío a partir de combustibles gaseosos y líquidos no fósiles renovables </t>
  </si>
  <si>
    <t xml:space="preserve">Producción de calor/frío a partir de combustibles gaseosos y líquidos no fósiles renovables </t>
  </si>
  <si>
    <t xml:space="preserve">Construcción y explotación de instalaciones de generación de calor que producen calor/frío utilizando combustibles gaseosos y líquidos de origen renovable. </t>
  </si>
  <si>
    <r>
      <rPr>
        <b/>
        <sz val="8"/>
        <color rgb="FF000000"/>
        <rFont val="Santander Text"/>
        <family val="2"/>
      </rPr>
      <t xml:space="preserve">¿De qué se trata? </t>
    </r>
    <r>
      <rPr>
        <sz val="8"/>
        <color rgb="FF000000"/>
        <rFont val="Santander Text"/>
        <family val="2"/>
      </rPr>
      <t xml:space="preserve">Construcción y explotación de instalaciones de generación de calor que producen calor/frío utilizando combustibles gaseosos y líquidos de origen renovable. 
</t>
    </r>
    <r>
      <rPr>
        <b/>
        <sz val="8"/>
        <color rgb="FF000000"/>
        <rFont val="Santander Text"/>
        <family val="2"/>
      </rPr>
      <t xml:space="preserve">¿De qué NO se trata? </t>
    </r>
    <r>
      <rPr>
        <sz val="8"/>
        <color rgb="FF000000"/>
        <rFont val="Santander Text"/>
        <family val="2"/>
      </rPr>
      <t xml:space="preserve">Producción de calor/frío a partir del uso exclusivo de biogás y combustibles biolíquidos. </t>
    </r>
  </si>
  <si>
    <t>Cumple TODOS los criterios aplicables  _
2. Cumple con el criterio 1 y el cálculo se realiza utilizando cualquier certificación reconocida (p. ej. PAS 2050).  _
3. Los informes de emisiones de metano cumplen UNO de los siguientes requisitos: 
a. En la construcción - emisiones físicas y equipos de medición y monitoreo de metano. 
b. En construcción - programa de detección y reparación de fugas. 
c. Durante el funcionamiento – se informa de la medición física del metano y se elimina la fuga.  _
6. Fuga de CO2 del transporte de carbono y secuestro certificado basado en estándares aceptados para Santander.  _
8. Los biocarburantes, biolíquidos y combustibles de biomasa no deben producirse derivados de elementos / terrenos con un alto valor de biodiversidad. _
9. Los certificados GOO sobre el uso del combustible biometano se aceptan como alternativa a una conexión física canalizada. _</t>
  </si>
  <si>
    <t>Cumple TODOS los criterios aplicables  _
1. Emisiones de ciclo de vida más bajas de 100gCO2e/kWh verificadas por terceros y calculadas UTILIZANDO UNO: 
a. ISO 14064-1:2018
b. ISO 14067:2018 _
3. Los informes de emisiones de metano cumplen UNO de los siguientes requisitos: 
a. En la construcción - emisiones físicas y equipos de medición y monitoreo de metano. 
b. En construcción - programa de detección y reparación de fugas. 
c. Durante el funcionamiento – se informa de la medición física del metano y se elimina la fuga.  _
4. La fuga de CO2 de los métodos de transporte de carbono por debajo del 0,5 % y los lugares de secuestro de carbono cumplen la norma ISO 27914:2017.  _
5. Las tecnologías de captura de carbono permiten una actividad relacionada con la generación de energía. _
7. La producción de hidrógeno, acero, cemento y productos químicos funciona dentro del umbral de intensidad de carbono permitido (por ejemplo, acero metálico caliente: 1,331 tCO2e/t; horno de arco eléctrico (EAF) acero de alta aleación: 0,266 tCO2e/t). _
8. Los biocarburantes, biolíquidos y combustibles de biomasa no deben producirse derivados de elementos / terrenos con un alto valor de biodiversidad. _</t>
  </si>
  <si>
    <t xml:space="preserve">Bioenergía - producción de calor/frío </t>
  </si>
  <si>
    <t xml:space="preserve">A.1.24. Bioenergía - producción de calor/frío </t>
  </si>
  <si>
    <t xml:space="preserve">A.1.24. Producción de calor/frío a partir de bioenergía </t>
  </si>
  <si>
    <t xml:space="preserve">Producción de calor/frío a partir de bioenergía </t>
  </si>
  <si>
    <t>Construcción y explotación de instalaciones que produzcan calor/refrigeración exclusivamente a partir de biomasa, biogás o biolíquidos</t>
  </si>
  <si>
    <r>
      <rPr>
        <b/>
        <sz val="8"/>
        <color rgb="FF000000"/>
        <rFont val="Santander Text"/>
        <family val="2"/>
      </rPr>
      <t xml:space="preserve">¿De qué se trata? </t>
    </r>
    <r>
      <rPr>
        <sz val="8"/>
        <color rgb="FF000000"/>
        <rFont val="Santander Text"/>
        <family val="2"/>
      </rPr>
      <t xml:space="preserve">Construcción y explotación de instalaciones que produzcan calor/refrigeración exclusivamente a partir de biomasa, biogás o biolíquidos. 
</t>
    </r>
    <r>
      <rPr>
        <b/>
        <sz val="8"/>
        <color rgb="FF000000"/>
        <rFont val="Santander Text"/>
        <family val="2"/>
      </rPr>
      <t xml:space="preserve">¿De qué NO se trata? </t>
    </r>
    <r>
      <rPr>
        <sz val="8"/>
        <color rgb="FF000000"/>
        <rFont val="Santander Text"/>
        <family val="2"/>
      </rPr>
      <t xml:space="preserve">Producción de calor/frío a partir de la mezcla de combustibles renovables con biogás o biolíquidos. </t>
    </r>
  </si>
  <si>
    <t>Cumple TODOS los criterios aplicables _
1. La materia prima cumple con UNO de los siguientes requisitos:
a. Dispone de UNO de los siguientes certificados
  a. 2BSvs
  b. Better Biomass
  c. Bonsucro EU
  d. ISCC EU
  e. KZR INiG system
  f. REDcert
  g. Red Tractor
  h. RSB EU RED
  i. SQC
  j. TASCC
  k. UFAS
  l. SURE
  m. SBP
  n. AACS
b. Cumple TODOS LOS siguientes requisitos:
- Los biocarburantes, biolíquidos y combustibles de biomasa no se producirán utilizando tierras o materiales de alto valor ambiental. 
- Ahorro de emisiones de efecto invernadero superior al 80% en relación con la línea de referencia del combustible. _
2. Generación anaeróbica: Biogás utilizado directamente para electricidad o generación de calor / actualizado para bio-metano / usado como materia prima en la industria química. _</t>
  </si>
  <si>
    <t xml:space="preserve">Calor residual - producción de calor/frío </t>
  </si>
  <si>
    <t xml:space="preserve">A.1.25. Calor residual - producción de calor/frío </t>
  </si>
  <si>
    <t xml:space="preserve">A.1.25. Producción de calor/frío utilizando calor residual </t>
  </si>
  <si>
    <t xml:space="preserve">Producción de calor/frío utilizando calor residual </t>
  </si>
  <si>
    <t>Construcción y operación de instalaciones que producen calor/frío utilizando calor residual</t>
  </si>
  <si>
    <r>
      <rPr>
        <b/>
        <sz val="8"/>
        <color rgb="FF000000"/>
        <rFont val="Santander Text"/>
        <family val="2"/>
      </rPr>
      <t xml:space="preserve">¿De qué se trata? </t>
    </r>
    <r>
      <rPr>
        <sz val="8"/>
        <color rgb="FF000000"/>
        <rFont val="Santander Text"/>
        <family val="2"/>
      </rPr>
      <t xml:space="preserve">Construcción y operación de instalaciones que producen calor/frío utilizando calor residual. </t>
    </r>
  </si>
  <si>
    <t>Cumple TODOS los criterios aplicables
2. La actividad produce electricidad a partir del calor residual.</t>
  </si>
  <si>
    <t xml:space="preserve">Cumple TODOS los criterios aplicables  _
1. Cumple con la definición: Construcción y explotación de instalaciones que producen calor/frío utilizando calor residual. </t>
  </si>
  <si>
    <t>Transmisión y distribución</t>
  </si>
  <si>
    <t>Transmisión y distribución de electricidad</t>
  </si>
  <si>
    <t xml:space="preserve">A.1.9. Transmisión y distribución de electricidad </t>
  </si>
  <si>
    <t xml:space="preserve">Transmisión y distribución de electricidad </t>
  </si>
  <si>
    <t xml:space="preserve">Sistemas de transmisión que transportan la electricidad en el sistema interconectado de alta y muy alta tensión. </t>
  </si>
  <si>
    <t xml:space="preserve">a) Sistemas de transmisión que transportan la electricidad en el sistema interconectado de alta y muy alta tensión. 
b) Sistemas de distribución que transportan electricidad en sistemas de distribución de alta tensión, media tensión y baja tensión. </t>
  </si>
  <si>
    <t>Cumple UN criterio aplicable  _
1. La infraestructura o cualquier criterio de equipamiento cumple con UNO de los siguientes requisitos:
a. Más del 67% de la capacidad de generación recientemente capacitada en el sistema es inferior a 100 g CO2e/kWh.
b. Coeficiente medio de emisión de la red del sistema por debajo de 100 g CO2e/kWh durante un período de cinco años. 
c. El sistema es el sistema europeo interconectado. _
2. Cumple UNA de estas actividades elegibles: 
a. Construcción o reparación de infraestructuras de red con un factor de emisión medio de la red de sistemas inferior a 100gCO2e/kWh durante un período de cinco años. 
b. Equipo/infraestructura para aumentar la generación o el uso de electricidad renovable. 
c. Construcción y explotación de estaciones de carga de vehículos eléctricos e infraestructuras de apoyo para la electrificación del transporte, sujetas al cumplimiento de los criterios técnicos definidos en el sector del transporte, en las siguientes actividades : 
- Infraestructuras para el transporte ferroviario. 
- Infraestructuras que permiten el transporte por carretera de bajo carbono y el transporte público. 
- Infraestructura que permite el transporte de agua con bajo carbono. 
- Infraestructura aeroportuaria de bajo carbono.  _
3. - Transformadores de transmisión y distribución. 
- Para transformadores de potencia media con tensión muy alta para equipos que no superen los 36 KV, aplicarán los requisitos de nivel AAA0 en pérdidas sin carga establecidos en la norma EN 50588-1.  _
4. - Aumentar el control y la observabilidad del sistema eléctrico. 
- Permitir el desarrollo y la integración de fuentes de energía renovables. _</t>
  </si>
  <si>
    <t>Facilitadora</t>
  </si>
  <si>
    <t xml:space="preserve">Redes para gases renovables/de bajo carbono </t>
  </si>
  <si>
    <t xml:space="preserve">A.1.14. Redes para gases renovables/de bajo carbono </t>
  </si>
  <si>
    <t xml:space="preserve">A.1.14. Redes de transmisión y distribución de gases renovables y bajos en carbono </t>
  </si>
  <si>
    <t xml:space="preserve">Redes de transmisión y distribución de gases renovables y bajos en carbono </t>
  </si>
  <si>
    <t xml:space="preserve">Redes para la distribución de gases de carbono con bajo contenido de carbono. </t>
  </si>
  <si>
    <t xml:space="preserve">1) Conversión, refundición adaptación de las redes de gas para la transmisión y distribución de gases renovables y de bajo carbono. 
2) Construcción operación de conductos de transmisión y distribución dedicados al transporte de hidrógeno a otros gases de bajo carbono. </t>
  </si>
  <si>
    <t>Cumple TODOS los criterios aplicables  _
1. Cumple con UNA de las siguientes actividades: 
a. Nuevas redes de transmisión y distribución dedicadas al hidrógeno u otros gases de bajo carbono. 
b. Conversión/reaprovechamiento de las redes de gas natural existentes al 100% de hidrógeno. 
c. Readaptación de las redes de transmisión y distribución de gas que permiten la integración de hidrógeno y otros gases de bajo carbono en la red. _
2. Incluye la detección de fugas y la reparación de conductos de gas existentes y otros elementos de la red para reducir la fuga de metano. _</t>
  </si>
  <si>
    <t xml:space="preserve">Distribución de calefacción/refrigeración del distrito </t>
  </si>
  <si>
    <t xml:space="preserve">A.1.15. Distribución de calefacción/refrigeración del distrito </t>
  </si>
  <si>
    <t xml:space="preserve">A.1.15. Distribución de calefacción/refrigeración urbana </t>
  </si>
  <si>
    <t xml:space="preserve">Distribución de calefacción/refrigeración urbana </t>
  </si>
  <si>
    <t xml:space="preserve">Tuberías e infraestructuras asociadas para la distribución de calefacción y refrigeración, terminadas en la subestación o el intercambiador de calor. </t>
  </si>
  <si>
    <r>
      <rPr>
        <b/>
        <sz val="8"/>
        <color rgb="FF000000"/>
        <rFont val="Santander Text"/>
        <family val="2"/>
      </rPr>
      <t xml:space="preserve">¿De qué se trata? </t>
    </r>
    <r>
      <rPr>
        <sz val="8"/>
        <color rgb="FF000000"/>
        <rFont val="Santander Text"/>
        <family val="2"/>
      </rPr>
      <t xml:space="preserve">Tuberías e infraestructuras asociadas para la distribución de calefacción y refrigeración, terminadas en la subestación o el intercambiador de calor. </t>
    </r>
  </si>
  <si>
    <t>Cumple UN criterio aplicable _
1. Si la actividad se relaciona con La CONSTRUCCIÓN: El sistema se adhiere a patrones de calefacción y refrigeración eficientes distintos. _
2. Si la actividad está relacionada con La REMODELACIÓN: La eficientación del sistema urbano de calefacción/refrigeración comienza en un período de 3 años y se sostiene contractualmente.  _
3. Actividades elegibles: 
a. Modificación de los regímenes de temperatura más bajos. 
b. Sistemas piloto avanzados. _</t>
  </si>
  <si>
    <t>Almacenamiento</t>
  </si>
  <si>
    <t>Almacenamiento de electricidad</t>
  </si>
  <si>
    <t xml:space="preserve">A.1.10. Almacenamiento de electricidad </t>
  </si>
  <si>
    <t xml:space="preserve">Almacenamiento de electricidad </t>
  </si>
  <si>
    <t xml:space="preserve">Instalaciones que almacenan energía y la devuelven posteriormente en forma de electricidad, incluyendo energía hidroeléctrica bombeada, almacenamiento electroquímico y mecánico. </t>
  </si>
  <si>
    <r>
      <rPr>
        <b/>
        <sz val="8"/>
        <color rgb="FF000000"/>
        <rFont val="Santander Text"/>
        <family val="2"/>
      </rPr>
      <t xml:space="preserve">¿De qué se trata? </t>
    </r>
    <r>
      <rPr>
        <sz val="8"/>
        <color rgb="FF000000"/>
        <rFont val="Santander Text"/>
        <family val="2"/>
      </rPr>
      <t xml:space="preserve">Instalaciones que almacenan energía y la devuelven posteriormente en forma de electricidad, incluyendo energía hidroeléctrica bombeada, almacenamiento electroquímico y mecánico. </t>
    </r>
  </si>
  <si>
    <t>Cumple TODOS los criterios aplicables  _
1. Cumple la definición, donde la actividad incluye el almacenamiento de energía química y el medio de almacenamiento (como hidrógeno o amoníaco) cumple con los criterios técnicos de los requisitos de fabricación._</t>
  </si>
  <si>
    <t>Almacenamiento de energía térmica</t>
  </si>
  <si>
    <t xml:space="preserve">A.1.11. Almacenamiento de energía térmica </t>
  </si>
  <si>
    <t xml:space="preserve">Almacenamiento de energía térmica </t>
  </si>
  <si>
    <t xml:space="preserve">Instalaciones que almacenan energía térmica y la devuelven posteriormente en forma de energía térmica u otros vectores energéticos. </t>
  </si>
  <si>
    <r>
      <rPr>
        <b/>
        <sz val="8"/>
        <color rgb="FF000000"/>
        <rFont val="Santander Text"/>
        <family val="2"/>
      </rPr>
      <t>¿De qué se trata?</t>
    </r>
    <r>
      <rPr>
        <sz val="8"/>
        <color rgb="FF000000"/>
        <rFont val="Santander Text"/>
        <family val="2"/>
      </rPr>
      <t xml:space="preserve"> Instalaciones que almacenan energía térmica y la devuelven posteriormente en forma de energía térmica u otros vectores energéticos. </t>
    </r>
  </si>
  <si>
    <t>Cumple TODOS los criterios aplicables  _
1. La actividad almacena energía térmica, incluido el almacenamiento de energía térmica subterránea (UTES) o el almacenamiento de energía térmica Aquifer (ATES)._</t>
  </si>
  <si>
    <t>Almacenamiento de hidrógeno</t>
  </si>
  <si>
    <t xml:space="preserve">A.1.12. Almacenamiento de hiidrógeno </t>
  </si>
  <si>
    <t xml:space="preserve">A.1.12. Almacenamiento de hidrógeno </t>
  </si>
  <si>
    <t xml:space="preserve">Almacenamiento de hidrógeno </t>
  </si>
  <si>
    <t>Construcción y operación de instalaciones que almacenan hidrógeno y lo devuelven posteriormente</t>
  </si>
  <si>
    <r>
      <rPr>
        <b/>
        <sz val="8"/>
        <color rgb="FF000000"/>
        <rFont val="Santander Text"/>
        <family val="2"/>
      </rPr>
      <t xml:space="preserve">¿De qué se trata? </t>
    </r>
    <r>
      <rPr>
        <sz val="8"/>
        <color rgb="FF000000"/>
        <rFont val="Santander Text"/>
        <family val="2"/>
      </rPr>
      <t>Construcción y operación de instalaciones que almacenan hidrógeno y lo devuelven posteriormente.</t>
    </r>
  </si>
  <si>
    <r>
      <t xml:space="preserve">Cumple </t>
    </r>
    <r>
      <rPr>
        <sz val="8"/>
        <color rgb="FFFF0000"/>
        <rFont val="Santander Text"/>
        <family val="2"/>
      </rPr>
      <t xml:space="preserve">UN </t>
    </r>
    <r>
      <rPr>
        <sz val="8"/>
        <color rgb="FF000000"/>
        <rFont val="Santander Text"/>
        <family val="2"/>
      </rPr>
      <t>criterio aplicable  _
1. Cumple con UNA actividad elegible: 
a. Construcción de instalaciones de almacenamiento de hidrógeno. 
b. Conversión de instalaciones de almacenamiento de gas subterráneo existentes en instalaciones de almacenamiento dedicadas al almacenamiento de hidrógeno. 
c. Operación de instalaciones de almacenamiento de hidrógeno. _
2. 
- Hidrógeno almacenado en las instalaciones: Ciclo de vida de las emisiones de gases de efecto invernadero del 73,4% para el hidrógeno, siendo menos de 3tCO2e/Th2 y 70% para los combustibles sintéticos basados en hidrógeno en comparación con un comparador de combustibles fósiles de 94g CO2e/MJ.  _
4. El hidrógeno almacenado facilita un ahorro cuantificado de emisiones de gases de efecto invernadero del ciclo de vida de la instalación que será verificado por terceros independientes y calculado utilizando cualquier certificación reconocida internacional o localmente. _
6. La fuga de CO2 de los métodos de transporte de carbono y los sitios de secuestro de carbono cumplen con las normas aceptadas por Santander. _</t>
    </r>
  </si>
  <si>
    <t>Cumple TODOS los criterios aplicables  _
1. Cumple con UNA actividad elegible: 
a. Construcción de instalaciones de almacenamiento de hidrógeno. 
b. Conversión de instalaciones de almacenamiento de gas subterráneo existentes en instalaciones de almacenamiento dedicadas al almacenamiento de hidrógeno. 
c. Operación de instalaciones de almacenamiento de hidrógeno. _
2. 
- Hidrógeno almacenado en las instalaciones: Ciclo de vida de las emisiones de gases de efecto invernadero del 73,4% para el hidrógeno, siendo menos de 3tCO2e/Th2 y 70% para los combustibles sintéticos basados en hidrógeno en comparación con un comparador de combustibles fósiles de 94g CO2e/MJ.  _
3. El hidrógeno almacenado facilita un ahorro cuantificado de emisiones de gases de efecto invernadero del ciclo de vida de la instalación que será verificado por un tercero independiente y calculado utilizando: 
- ISO 14067:2018
- ISO 14064- 1:2018 _
5. La fuga de CO2 de los métodos de transporte de carbono por debajo del 0,5 % y los lugares de secuestro de carbono cumplen la norma ISO 27914:2017. _</t>
  </si>
  <si>
    <t>Instalación y funcionamiento de bombas de calor eléctricas</t>
  </si>
  <si>
    <t xml:space="preserve">Bombas de calor eléctricas </t>
  </si>
  <si>
    <t xml:space="preserve">A.1.16. Bombas de calor eléctricas </t>
  </si>
  <si>
    <t xml:space="preserve">A.1.16. Instalación y operación de bombas de calor eléctricas </t>
  </si>
  <si>
    <t xml:space="preserve">Instalación y operación de bombas de calor eléctricas </t>
  </si>
  <si>
    <t>Cumple TODOS los criterios aplicables  _
2. Bombas de calor eléctricas (aerotermia de fuente de aire, o fuente de tierra/fuente de agua). _</t>
  </si>
  <si>
    <t>Cumple TODOS los criterios aplicables  _
1. La instalación y el funcionamiento de bombas de calor eléctricas se ajustan al umbral del refrigerante: El potencial de calentamiento global no supera los 675. _</t>
  </si>
  <si>
    <t>Combustibles gaseosos fósiles y nucleares</t>
  </si>
  <si>
    <t>Energía nuclear – producción de energía con un desperdicio mínimo</t>
  </si>
  <si>
    <t>A.1.26. Energía nuclear – producción de energía con un desperdicio mínimo</t>
  </si>
  <si>
    <t xml:space="preserve">A.1.26. Etapas precomerciales de tecnologías avanzadas para producir energía a partir de procesos nucleares con residuos mínimos del ciclo del combustible </t>
  </si>
  <si>
    <t xml:space="preserve">Etapas precomerciales de tecnologías avanzadas para producir energía a partir de procesos nucleares con residuos mínimos del ciclo del combustible </t>
  </si>
  <si>
    <t xml:space="preserve">Instalaciones innovadoras de generación de electricidad, autorizadas por las autoridades competentes de los Estados miembros de conformidad con la legislación nacional aplicable, que producen energía a partir de procesos nucleares con un mínimo de residuos del ciclo del combustible. </t>
  </si>
  <si>
    <r>
      <rPr>
        <b/>
        <sz val="8"/>
        <color rgb="FF000000"/>
        <rFont val="Santander Text"/>
        <family val="2"/>
      </rPr>
      <t xml:space="preserve">¿De qué se trata? </t>
    </r>
    <r>
      <rPr>
        <sz val="8"/>
        <color rgb="FF000000"/>
        <rFont val="Santander Text"/>
        <family val="2"/>
      </rPr>
      <t xml:space="preserve">Instalaciones innovadoras de generación de electricidad, autorizadas por las autoridades competentes de los Estados miembros de conformidad con la legislación nacional aplicable, que producen energía a partir de procesos nucleares con un mínimo de residuos del ciclo del combustible. </t>
    </r>
  </si>
  <si>
    <t>Cumple TODOS los criterios aplicables _
2. Para países no pertenecientes a la UE, los mismos criterios coherentes que la taxonomía de la UE, excepto el cumplimiento de la LTO</t>
  </si>
  <si>
    <t>Cumple TODOS los criterios aplicables  _
1. El proyecto tiene una licencia para operar de un miembro de la UE. _</t>
  </si>
  <si>
    <t>Transición</t>
  </si>
  <si>
    <t xml:space="preserve">Energía nuclear - Construcción/operación segura </t>
  </si>
  <si>
    <t xml:space="preserve">A.1.27. Energía nuclear - Construcción/operación segura </t>
  </si>
  <si>
    <t xml:space="preserve">A.1.27. Construcción y explotación segura de nuevas centrales nucleares. para la generación de electricidad y/o calor. incluida la producción de hidrógeno. utilizando las mejores tecnologías disponibles </t>
  </si>
  <si>
    <t xml:space="preserve">Construcción y explotación segura de nuevas centrales nucleares. para la generación de electricidad y/o calor. incluida la producción de hidrógeno. utilizando las mejores tecnologías disponibles </t>
  </si>
  <si>
    <t xml:space="preserve">Construcción y operación segura de nuevas instalaciones de energía nuclear con construcción emitida para 2045 de conformidad con la legislación nacional aplicable, para producir/procesar electricidad o calor, incluidos procesos industriales como la producción de hidrógeno (nuevas instalaciones nucleares) y sus actualizaciones de seguridad. </t>
  </si>
  <si>
    <r>
      <rPr>
        <b/>
        <sz val="8"/>
        <color rgb="FF000000"/>
        <rFont val="Santander Text"/>
        <family val="2"/>
      </rPr>
      <t>¿De qué se trata?</t>
    </r>
    <r>
      <rPr>
        <sz val="8"/>
        <color rgb="FF000000"/>
        <rFont val="Santander Text"/>
        <family val="2"/>
      </rPr>
      <t xml:space="preserve"> Construcción y operación segura de nuevas instalaciones de energía nuclear con construcción emitida para 2045 de conformidad con la legislación nacional aplicable, para producir/procesar electricidad o calor, incluidos procesos industriales como la producción de hidrógeno (nuevas instalaciones nucleares) y sus actualizaciones de seguridad. </t>
    </r>
  </si>
  <si>
    <t>Cumple TODOS los criterios aplicables _
1. La construcción tiene licencia para operar de un miembro de la UE. _</t>
  </si>
  <si>
    <t xml:space="preserve">Energía nuclear - generación de electricidad </t>
  </si>
  <si>
    <t xml:space="preserve">A.1.28. Energía nuclear - generación de electricidad </t>
  </si>
  <si>
    <t xml:space="preserve">A.1.28. Generación de electricidad a partir de energía nuclear en instalaciones existentes </t>
  </si>
  <si>
    <t xml:space="preserve">Generación de electricidad a partir de energía nuclear en instalaciones existentes </t>
  </si>
  <si>
    <t>Autorización de ampliación antes de 2040 para instalaciones nucleares existentes, de conformidad con la legislación nacional aplicable, del tiempo de servicio de explotación segura de las centrales nucleares.</t>
  </si>
  <si>
    <r>
      <rPr>
        <b/>
        <sz val="8"/>
        <color rgb="FF000000"/>
        <rFont val="Santander Text"/>
        <family val="2"/>
      </rPr>
      <t xml:space="preserve">¿De qué se trata? </t>
    </r>
    <r>
      <rPr>
        <sz val="8"/>
        <color rgb="FF000000"/>
        <rFont val="Santander Text"/>
        <family val="2"/>
      </rPr>
      <t>Autorización de ampliación antes de 2040 para instalaciones nucleares existentes, de conformidad con la legislación nacional aplicable, del tiempo de servicio de explotación segura de las centrales nucleares.</t>
    </r>
  </si>
  <si>
    <t>Cumple TODOS los criterios aplicables _
1. La extensión tiene licencia para operar desde un Estado miembro de la UE. _</t>
  </si>
  <si>
    <t xml:space="preserve">Combustibles fósiles - generación de electricidad </t>
  </si>
  <si>
    <t xml:space="preserve">A.1.29. Combustibles fósiles - generación de electricidad </t>
  </si>
  <si>
    <t xml:space="preserve">A.1.29. Generación de electricidad a partir de combustibles fósiles gaseosos </t>
  </si>
  <si>
    <t xml:space="preserve">Generación de electricidad a partir de combustibles fósiles gaseosos </t>
  </si>
  <si>
    <t>Instalaciones de generación de electricidad que producen electricidad utilizando combustibles fósiles gaseosos</t>
  </si>
  <si>
    <r>
      <rPr>
        <b/>
        <sz val="8"/>
        <color rgb="FF000000"/>
        <rFont val="Santander Text"/>
        <family val="2"/>
      </rPr>
      <t xml:space="preserve">¿De qué se trata? </t>
    </r>
    <r>
      <rPr>
        <sz val="8"/>
        <color rgb="FF000000"/>
        <rFont val="Santander Text"/>
        <family val="2"/>
      </rPr>
      <t xml:space="preserve">Instalaciones de generación de electricidad que producen electricidad utilizando combustibles fósiles gaseosos. 
</t>
    </r>
    <r>
      <rPr>
        <b/>
        <sz val="8"/>
        <color rgb="FF000000"/>
        <rFont val="Santander Text"/>
        <family val="2"/>
      </rPr>
      <t>¿De qué NO se trata?</t>
    </r>
    <r>
      <rPr>
        <sz val="8"/>
        <color rgb="FF000000"/>
        <rFont val="Santander Text"/>
        <family val="2"/>
      </rPr>
      <t xml:space="preserve"> Generación de electricidad a partir del uso exclusivo de combustibles gaseosos y líquidos renovables no fósiles.</t>
    </r>
  </si>
  <si>
    <t>Cumple TODOS los criterios aplicables _
7. Para países no pertenecientes a la UE, los mismos criterios coherentes que la taxonomía de la UE, excepto el cumplimiento de la LTO</t>
  </si>
  <si>
    <t>Cumple TODOS los criterios aplicables  _
1. Emisiones de ciclo de vida más bajas del tan 100gCO2e/kWh verificadas por terceros y calculadas UTILIZANDO UNO: 
a. ISO 14067:2018
b. ISO 14064-1:2018 _
2. La fuga de CO2 de los métodos de transporte de carbono por debajo del 0,5 %.  _ 
3. Los lugares de secuestro de carbono cumplen la norma ISO 27914:2017. _
4. La producción de hidrógeno, acero, cemento y productos químicos funciona dentro del umbral de intensidad de carbono permitido (por ejemplo, acero metálico caliente: 1,331 tCO2e/t; horno de arco eléctrico (EAF) acero de alta aleación: 0,266 tCO2e/t). _
5. Si los criterios #1, #2, #3 y #4 no aplican, en caso de autorización de construcción concedida hasta el 31 de diciembre de 2030, TODOS LOS requisitos siguientes: 
a. Las emisiones directas de gases de efecto invernadero inferiores a 270gCO2e/kWh O las emisiones anuales superiores a la capacidad de la instalación por encima de los 20 años son inferiores a la media de 550kgCO2e/kWh. 
b. La sustitución conduce a una reducción del 55% de las emisiones de gases de efecto invernadero durante la vida útil de la nueva capacidad de instalación. 
c. Acuerdo público, sujeto a la evaluación de la consulta de las partes interesadas, afirmando que la energía que debe sustituirse no puede generarse a partir de fuentes de energía renovables en términos de coste, viabilidad y eficacia. 
d. La actividad sustituye a otra electricidad de alta emisión que utiliza combustibles fósiles sólidos o líquidos. 
e. La nueva capacidad de producción no supera la anterior en más del 15%. 
f. Plan aprobado para el compromiso de utilizar combustibles gaseosos renovables/de bajo carbono hasta el 31 de diciembre de 2035. _
6. Cumple UNO de los siguientes criterios adicionales:
a. En la construcción - emisiones físicas y equipos de medición y monitoreo de metano. 
b. En construcción - Programa de detección y reparación de fugas. 
c. Durante el funcionamiento – se informa de la medición física del metano y se elimina la fuga.  _</t>
  </si>
  <si>
    <t xml:space="preserve">Combustibles fósiles - producción de calor/frío </t>
  </si>
  <si>
    <t xml:space="preserve">A.1.30. Combustibles fósiles - producción de calor/frío </t>
  </si>
  <si>
    <t xml:space="preserve">A.1.30. Producción de calor/frío a partir de combustibles fósiles gaseosos en un sistema eficiente de calefacción y refrigeración urbana </t>
  </si>
  <si>
    <t xml:space="preserve">Producción de calor/frío a partir de combustibles fósiles gaseosos en un sistema eficiente de calefacción y refrigeración urbana </t>
  </si>
  <si>
    <t>Construcción, remodelación y funcionamiento de instalaciones de generación de calor que producen calor/frío utilizando combustibles fósiles conectados a la calefacción y refrigeración urbanas eficientes</t>
  </si>
  <si>
    <r>
      <rPr>
        <b/>
        <sz val="8"/>
        <color rgb="FF000000"/>
        <rFont val="Santander Text"/>
        <family val="2"/>
      </rPr>
      <t xml:space="preserve">¿De qué se trata? </t>
    </r>
    <r>
      <rPr>
        <sz val="8"/>
        <color rgb="FF000000"/>
        <rFont val="Santander Text"/>
        <family val="2"/>
      </rPr>
      <t xml:space="preserve">Construcción, remodelación y funcionamiento de instalaciones de generación de calor que producen calor/frío utilizando combustibles fósiles conectados a la calefacción y refrigeración urbanas eficientes. 
</t>
    </r>
    <r>
      <rPr>
        <b/>
        <sz val="8"/>
        <color rgb="FF000000"/>
        <rFont val="Santander Text"/>
        <family val="2"/>
      </rPr>
      <t xml:space="preserve">¿De qué NO se trata? </t>
    </r>
    <r>
      <rPr>
        <sz val="8"/>
        <color rgb="FF000000"/>
        <rFont val="Santander Text"/>
        <family val="2"/>
      </rPr>
      <t xml:space="preserve">Producción de calor/frío en un eficiente caldeo urbano con uso de combustibles gaseosos y líquidos renovables no fósiles y biogás/combustibles biolíquidos. </t>
    </r>
  </si>
  <si>
    <t>Cumple TODOS los criterios aplicables  _
1. Emisiones de ciclo de vida más bajas del tan 100gCO2e/kWh verificadas por terceros y calculadas UTILIZANDO UNO: 
a. ISO 14067:2018
b. ISO 14064-1:2018 _
2. La fuga de CO2 de los métodos de transporte de carbono por debajo del 0,5 %. _
3. Los lugares de secuestro de carbono cumplen la norma ISO 27914:2017. _
4. La producción de hidrógeno, acero, cemento y productos químicos funciona dentro del umbral de intensidad de carbono permitido (por ejemplo, acero metálico caliente: 1,331 tCO2e/t; horno de arco eléctrico (EAF) acero de alta aleación: 0,266 tCO2e/t). _
5. Si #1, #2, #3 y #4 no aplican, en caso de autorización de construcción concedida hasta el 31 de diciembre de 2030, TODOS LOS requisitos siguientes: 
a. Las emisiones directas de gases de efecto invernadero inferiores a 270gCO2e/kWh O las emisiones anuales superiores a la capacidad de la instalación por encima de los 20 años son inferiores a la media de 550kgCO2e/kWh. 
b. La sustitución conduce a una reducción del 55% de las emisiones de gases de efecto invernadero durante la vida útil de la nueva capacidad de instalación. 
c. Acuerdo público, sujeto a la evaluación de la consulta de las partes interesadas, afirmando que la energía que debe sustituirse no puede generarse a partir de fuentes de energía renovables en términos de coste, viabilidad y eficacia. 
d. La actividad sustituye a otra electricidad de alta emisión que utiliza combustibles fósiles sólidos o líquidos. 
e. La nueva capacidad de producción no supera la anterior en más del 15%. 
f. Plan aprobado para el compromiso de utilizar combustibles gaseosos renovables/de bajo carbono hasta el 31 de diciembre de 2035. _
6. Cumple UNO de los siguientes criterios adicionales:
a. En la construcción - emisiones físicas y equipos de medición y monitoreo de metano. 
b. En construcción - Programa de detección y reparación de fugas. 
c. Durante el funcionamiento – se informa de la medición física del metano y se elimina la fuga.  _</t>
  </si>
  <si>
    <t xml:space="preserve">Combustibles gaseosos fósiles - cogeneración de calor/frío y energía </t>
  </si>
  <si>
    <t xml:space="preserve">A.1.31. Combustibles gaseosos fósiles - cogeneración de calor/frío y energía </t>
  </si>
  <si>
    <t xml:space="preserve">A.1.31. Cogeneración de alta eficiencia de calor/frío y energía a partir de combustibles gaseosos fósiles </t>
  </si>
  <si>
    <t xml:space="preserve">Cogeneración de alta eficiencia de calor/frío y energía a partir de combustibles gaseosos fósiles </t>
  </si>
  <si>
    <t xml:space="preserve">Construcción, remodelación y funcionamiento de instalaciones combinadas de calefacción/refrigeración y generación de energía utilizando combustibles fósiles gaseosos. </t>
  </si>
  <si>
    <r>
      <rPr>
        <b/>
        <sz val="8"/>
        <color rgb="FF000000"/>
        <rFont val="Santander Text"/>
        <family val="2"/>
      </rPr>
      <t xml:space="preserve">¿De qué se trata? </t>
    </r>
    <r>
      <rPr>
        <sz val="8"/>
        <color rgb="FF000000"/>
        <rFont val="Santander Text"/>
        <family val="2"/>
      </rPr>
      <t xml:space="preserve">Construcción, remodelación y funcionamiento de instalaciones combinadas de calefacción/refrigeración y generación de energía utilizando combustibles fósiles gaseosos. 
</t>
    </r>
    <r>
      <rPr>
        <b/>
        <sz val="8"/>
        <color rgb="FF000000"/>
        <rFont val="Santander Text"/>
        <family val="2"/>
      </rPr>
      <t>¿De qué NO se trata?</t>
    </r>
    <r>
      <rPr>
        <sz val="8"/>
        <color rgb="FF000000"/>
        <rFont val="Santander Text"/>
        <family val="2"/>
      </rPr>
      <t xml:space="preserve"> Cogeneración de calor/frío y energía de alta eficiencia a partir del uso exclusivo de combustibles gaseosos y líquidos renovables no fósiles. </t>
    </r>
  </si>
  <si>
    <t>Cumple TODOS los criterios aplicables  _
1. Emisiones de ciclo de vida más bajas del tan 100gCO2e/kWh verificadas por terceros y calculadas UTILIZANDO UNO: 
a. ISO 14067:2018
b. ISO 14064-1:2018 _
2. La fuga de CO2 de los métodos de transporte de carbono por debajo del 0,5%.  _
3. Los lugares de secuestro de carbono cumplen la norma ISO 27914:2017._
4. La producción de hidrógeno, acero, cemento y productos químicos funciona dentro del umbral de intensidad de carbono permitido (por ejemplo, acero metálico caliente: 1,331 tCO2e/t; horno de arco eléctrico (EAF) acero de alta aleación: 0,266 tCO2e/t).  _
5. Si #1, #2, #3 y #4  no aplican, en caso de autorización de construcción concedida hasta el 31 de diciembre de 2030, TODOS LOS requisitos siguientes:
a. Las emisiones directas de gases de efecto invernadero inferiores a 270gCO2e/kWh O las emisiones anuales superiores a la capacidad de la instalación por encima de los 20 años son inferiores a la media de 550kgCO2e/kWh. 
b. La sustitución conduce a una reducción del 55% de las emisiones de gases de efecto invernadero durante la vida útil de la nueva capacidad de instalación. 
c. Acuerdo público, sujeto a la evaluación de la consulta de las partes interesadas, afirmando que la energía que debe sustituirse no puede generarse a partir de fuentes de energía renovables en términos de coste, viabilidad y eficacia. 
d. La actividad sustituye a otra electricidad de alta emisión que utiliza combustibles fósiles sólidos o líquidos. 
e. La nueva capacidad de producción no supera la anterior en más del 15%. 
f. Plan aprobado para el compromiso de utilizar combustibles gaseosos renovables/de bajo carbono hasta el 31 de diciembre de 2035. _
6. Cumple UNO de los siguientes criterios adicionales:
a. En la construcción - emisiones físicas y equipos de medición y monitoreo de metano. 
b. En construcción - Programa de detección y reparación de fugas. 
c. Durante el funcionamiento – se informa de la medición física del metano y se elimina la fuga.  _</t>
  </si>
  <si>
    <t>Compra de energía renovable</t>
  </si>
  <si>
    <t xml:space="preserve">Adquisición de energía renovable </t>
  </si>
  <si>
    <t xml:space="preserve">A.1.32. Adquisición de energía renovable </t>
  </si>
  <si>
    <t>Adquisición de energía procedente de fuentes renovables</t>
  </si>
  <si>
    <r>
      <rPr>
        <b/>
        <sz val="8"/>
        <color rgb="FF000000"/>
        <rFont val="Santander Text"/>
        <family val="2"/>
      </rPr>
      <t xml:space="preserve">¿De qué se trata? </t>
    </r>
    <r>
      <rPr>
        <sz val="8"/>
        <color rgb="FF000000"/>
        <rFont val="Santander Text"/>
        <family val="2"/>
      </rPr>
      <t>Adquisición de energía procedente de fuentes renovables.</t>
    </r>
  </si>
  <si>
    <r>
      <t xml:space="preserve">Cumple UN criterio aplicable _
</t>
    </r>
    <r>
      <rPr>
        <sz val="8"/>
        <color rgb="FFFF0000"/>
        <rFont val="Santander Text"/>
      </rPr>
      <t xml:space="preserve">1. </t>
    </r>
    <r>
      <rPr>
        <strike/>
        <sz val="8"/>
        <color rgb="FFFF0000"/>
        <rFont val="Santander Text"/>
      </rPr>
      <t>Medio</t>
    </r>
    <r>
      <rPr>
        <sz val="8"/>
        <color rgb="FFFF0000"/>
        <rFont val="Santander Text"/>
      </rPr>
      <t xml:space="preserve"> (≈1 año, aunque pueden aceptarse periodos más cortos si se justifican de forma creíble):</t>
    </r>
    <r>
      <rPr>
        <strike/>
        <sz val="8"/>
        <color rgb="FFFF0000"/>
        <rFont val="Santander Text"/>
      </rPr>
      <t xml:space="preserve"> PPAs o VPPAs a largo plazo</t>
    </r>
    <r>
      <rPr>
        <sz val="8"/>
        <color rgb="FFFF0000"/>
        <rFont val="Santander Text"/>
      </rPr>
      <t>. _</t>
    </r>
    <r>
      <rPr>
        <sz val="8"/>
        <color theme="1"/>
        <rFont val="Santander Text"/>
        <family val="2"/>
      </rPr>
      <t xml:space="preserve">
2. Certificados de energía renovable (REC) integrados a largo plazo. _
3. Si el 100 % de la energía no es renovable, la proporción de asignación verde se determinará mediante un enfoque prorrateado. _</t>
    </r>
  </si>
  <si>
    <t>Transporte</t>
  </si>
  <si>
    <t>Transporte terrestre</t>
  </si>
  <si>
    <t xml:space="preserve">Transporte ferroviario interurbano de pasajeros </t>
  </si>
  <si>
    <t xml:space="preserve">A.2.1. Transporte ferroviario interurbano de pasajeros </t>
  </si>
  <si>
    <t xml:space="preserve">Compra, financiación, alquiler, arrendamiento y explotación del transporte de pasajeros utilizando material rodante ferroviario en las redes principales. </t>
  </si>
  <si>
    <r>
      <rPr>
        <b/>
        <sz val="8"/>
        <color rgb="FF000000"/>
        <rFont val="Santander Text"/>
      </rPr>
      <t>¿De qué se trata?</t>
    </r>
    <r>
      <rPr>
        <sz val="8"/>
        <color rgb="FF000000"/>
        <rFont val="Santander Text"/>
      </rPr>
      <t xml:space="preserve"> Compra, financiación, alquiler, arrendamiento y explotación del transporte de pasajeros utilizando material rodante ferroviario en las redes principales. </t>
    </r>
  </si>
  <si>
    <t>Cumple TODOS los criterios aplicables  _
3. Menos de 50 gCO2/km hasta 2026. _</t>
  </si>
  <si>
    <t>Cumple UN criterio aplicable _
1. Cero emisiones directas de CO2. 
2. Cero emisiones directas de CO2 (tubo de escape) cuando se utilizan en una vía con la infraestructura necesaria y utilizan un motor convencional en el que esta infraestructura no está disponible (bimodo).  _</t>
  </si>
  <si>
    <t>9) Industria, innovación e infraestructura
11) Ciudades y comunidades sostenibles</t>
  </si>
  <si>
    <t xml:space="preserve">Transporte de mercancías por ferrocarril </t>
  </si>
  <si>
    <t xml:space="preserve">A.2.2. Transporte de mercancías por ferrocarril </t>
  </si>
  <si>
    <t xml:space="preserve">A.2.2. Transporte ferroviario de mercancías </t>
  </si>
  <si>
    <t xml:space="preserve">Transporte ferroviario de mercancías </t>
  </si>
  <si>
    <t xml:space="preserve">Compra, financiación, arrendamiento financiero, alquiler y operación de transporte de mercancías. </t>
  </si>
  <si>
    <r>
      <rPr>
        <b/>
        <sz val="8"/>
        <color rgb="FF000000"/>
        <rFont val="Santander Text"/>
        <family val="2"/>
      </rPr>
      <t xml:space="preserve">¿De qué se trata? </t>
    </r>
    <r>
      <rPr>
        <sz val="8"/>
        <color rgb="FF000000"/>
        <rFont val="Santander Text"/>
        <family val="2"/>
      </rPr>
      <t xml:space="preserve">Compra, financiación, arrendamiento financiero, alquiler y operación de transporte de mercancías. </t>
    </r>
  </si>
  <si>
    <t>Cumple TODOS los criterios aplicables  _
3. Hasta 2029 por debajo de 25g de CO2 por tonelada-km (carga).  _
4. 2023 – 2049 por debajo de 21 g de CO2 por tonelada-km (carga).  _
5. A partir de 2050, a continuación, 18g CO2 por tonelada-km (carga). _
6. El objetivo principal (más del 25% de participación) no es el transporte de combustibles fósiles. _</t>
  </si>
  <si>
    <t xml:space="preserve">Cumple TODOS los criterios aplicables  _
1. Cero emisiones directas de CO2 (tubo de escape) cuando se utilizan en una vía con la infraestructura necesaria y utilizan un motor convencional en el que esta infraestructura no está disponible (bimodo). _
2. No se dedica al transporte de combustibles fósiles.  _
</t>
  </si>
  <si>
    <t xml:space="preserve">Transporte urbano y suburbano, transporte de pasajeros por carretera </t>
  </si>
  <si>
    <t xml:space="preserve">A.2.3. Transporte urbano y suburbano, transporte de pasajeros por carretera </t>
  </si>
  <si>
    <t xml:space="preserve">A.2.3. Transporte urbano y suburbano. transporte de viajeros por carretera </t>
  </si>
  <si>
    <t xml:space="preserve">Transporte urbano y suburbano. transporte de viajeros por carretera </t>
  </si>
  <si>
    <t>Compra, financiación, arrendamiento, alquiler y explotación de vehículos de transporte urbano y suburbano de pasajeros y transporte de pasajeros por carretera.</t>
  </si>
  <si>
    <r>
      <rPr>
        <b/>
        <sz val="8"/>
        <color rgb="FF000000"/>
        <rFont val="Santander Text"/>
        <family val="2"/>
      </rPr>
      <t xml:space="preserve">¿De qué se trata? </t>
    </r>
    <r>
      <rPr>
        <sz val="8"/>
        <color rgb="FFFF0000"/>
        <rFont val="Santander Text"/>
        <family val="2"/>
      </rPr>
      <t>Compra, financiación, arrendamiento, alquiler y explotación de vehículos de transporte urbano y suburbano de pasajeros y transporte de pasajeros por carretera.</t>
    </r>
  </si>
  <si>
    <t>Cumple UN criterio aplicable  _
3. Nueva flota: Emisiones directas por debajo de 20g CO2e/km hasta 2025.  _
4. Renovación de la flota: Emisiones directas por debajo de 30g CO2e/km.  _
5. Renovación y desintegración: Emisiones directas por debajo de 40gCO2e/km. _
6. El proyecto incluye la desintegración física del vehículo recuperado.  _
7. Criterios basados en la ocupación real.  _</t>
  </si>
  <si>
    <t>Cumple UN criterio aplicable  _
1. Transporte urbano o suburbano de pasajeros con emisiones cero de CO2. 
2. Hasta el 31 de diciembre de 2025. 
Los autobuses o los autobuses tienen un tipo de carrocería clasificado como UNO: 
a. CA (de una cubierta) 
b. CB (de dos pisos) 
c. CC (plataforma única, articulada) 
d. CD (de dos pisos, articulado) 
Cuando no se disponga de este estándar, el CO2 directo es cero. _</t>
  </si>
  <si>
    <t xml:space="preserve">Dispositivos de mobilidad personal, logística de ciclos </t>
  </si>
  <si>
    <t xml:space="preserve">A.2.4. Dispositivos de mobilidad personal, logística de ciclos </t>
  </si>
  <si>
    <t xml:space="preserve">A.2.4. Operación de dispositivos de movilidad personal. Logística de ciclo </t>
  </si>
  <si>
    <t xml:space="preserve">Operación de dispositivos de movilidad personal. Logística de ciclo </t>
  </si>
  <si>
    <t xml:space="preserve">Dispositivos de transporte en los que la propulsión procede de la actividad física del usuario, de un motor de emisiones cero o de una mezcla de este motor con actividad física. </t>
  </si>
  <si>
    <r>
      <rPr>
        <b/>
        <sz val="8"/>
        <color rgb="FF000000"/>
        <rFont val="Santander Text"/>
        <family val="2"/>
      </rPr>
      <t xml:space="preserve">¿De qué se trata? </t>
    </r>
    <r>
      <rPr>
        <sz val="8"/>
        <color rgb="FF000000"/>
        <rFont val="Santander Text"/>
        <family val="2"/>
      </rPr>
      <t xml:space="preserve">Dispositivos de transporte en los que la propulsión procede de la actividad física del usuario, de un motor de emisiones cero o de una mezcla de este motor con actividad física. </t>
    </r>
  </si>
  <si>
    <t>Cumple TODOS los criterios aplicables  _
3. Cualquier vehículo o equipo adquirido en un taller especializado de bicicletas.  _</t>
  </si>
  <si>
    <t>Cumple UN criterio aplicable  _
1. Bicicletas, bicicletas eléctricas (sin necesidad de licencia) u otra forma de dispositivos de movilidad de autopropulsión. _
2. Los dispositivos de movilidad personal autorizados a operar en la misma infraestructura pública que las bicicletas o los peatones.  _</t>
  </si>
  <si>
    <t xml:space="preserve">Motocicletas, coches de pasajeros y vehículos comerciales ligeros </t>
  </si>
  <si>
    <t xml:space="preserve">A.2.5. Motocicletas, coches de pasajeros y vehículos comerciales ligeros </t>
  </si>
  <si>
    <t xml:space="preserve">A.2.5. Transporte en motos. turismos y vehículos comerciales ligeros </t>
  </si>
  <si>
    <t xml:space="preserve">Transporte en motos. turismos y vehículos comerciales ligeros </t>
  </si>
  <si>
    <t xml:space="preserve">Vehículos designados como turismos, vehículos comerciales ligeros o motocicletas. </t>
  </si>
  <si>
    <r>
      <rPr>
        <b/>
        <sz val="8"/>
        <color rgb="FF000000"/>
        <rFont val="Santander Text"/>
      </rPr>
      <t xml:space="preserve">¿De qué se trata? </t>
    </r>
    <r>
      <rPr>
        <sz val="8"/>
        <color rgb="FF000000"/>
        <rFont val="Santander Text"/>
      </rPr>
      <t xml:space="preserve">Vehículos designados como turismos, vehículos comerciales ligeros o motocicletas. </t>
    </r>
  </si>
  <si>
    <t>Cumple UN criterio aplicable _
3. Factor de intensidad de carbono inferior a 75 g de CO2/km y hasta 50 g en 2026 _
4. Grúas/carretillas elevadoras: cero emisiones directas _</t>
  </si>
  <si>
    <t>Cumple TODOS los criterios aplicables _
1. Caso de turismos y vehículos comerciales ligeros:
- Hasta finales de 2025, emisiones inferiores a 50 g de CO2 por km.
- A partir de enero de 2026, cero emisiones de CO2. _
2. Caso de motocicletas con matrícula con menos de 4 ruedas: cero emisiones de CO2. _</t>
  </si>
  <si>
    <t xml:space="preserve">Transporte de mercancías por carretera </t>
  </si>
  <si>
    <t xml:space="preserve">A.2.6. Transporte de mercancías por carretera </t>
  </si>
  <si>
    <t xml:space="preserve">A.2.6. Servicios de transporte de mercancías por carretera </t>
  </si>
  <si>
    <t xml:space="preserve">Servicios de transporte de mercancías por carretera </t>
  </si>
  <si>
    <t xml:space="preserve">Vehículos designados como vehículos comerciales ligeros y camiones comerciales, para servicios de transporte de mercancías por carretera </t>
  </si>
  <si>
    <r>
      <rPr>
        <b/>
        <sz val="8"/>
        <color rgb="FF000000"/>
        <rFont val="Santander Text"/>
        <family val="2"/>
      </rPr>
      <t xml:space="preserve">¿De qué se trata? </t>
    </r>
    <r>
      <rPr>
        <sz val="8"/>
        <color rgb="FF000000"/>
        <rFont val="Santander Text"/>
        <family val="2"/>
      </rPr>
      <t xml:space="preserve">Vehículos designados como vehículos comerciales ligeros y camiones comerciales, para servicios de transporte de mercancías por carretera </t>
    </r>
  </si>
  <si>
    <t>Cumple TODOS los criterios aplicables _
3. Vehículos comerciales ligeros con emisiones inferiores a 75 g de CO2/km. _
4. Emisiones de camiones comerciales un 50 % inferiores al umbral de cada subgrupo _</t>
  </si>
  <si>
    <t>Cumple TODOS los criterios aplicables  _
1. El vehículo cumple con UNO de los siguientes critérios:
a. Vehículos comerciales ligeros: Cero emisiones directas de CO2. 
b. Camiones comerciales: El motor emite menos de 1gCO2/kWh o 1 g CO2/km 
c. Los camiones comerciales con más de 7,5 toneladas cumplen UNO de los siguientes requisitos::
       i. El motor emite un nivel por debajo de 1gCO2/kWh o 1 g de CO2/km.
      ii. Cuando no sea posible, menos emisiones que la mitad de la referencia de todos los vehículos del mismo subgrupo. _
2. No se dedica al transporte de combustibles fósiles.  _</t>
  </si>
  <si>
    <t>Transporte acuático</t>
  </si>
  <si>
    <t xml:space="preserve">Transporte acuático interior de pasajeros </t>
  </si>
  <si>
    <t xml:space="preserve">A.2.7. Transporte acuático interior de pasajeros </t>
  </si>
  <si>
    <t xml:space="preserve">Buques de pasaje en aguas interiores en los que participen buques que no sean adecuados para el transporte marítimo. </t>
  </si>
  <si>
    <r>
      <rPr>
        <b/>
        <sz val="8"/>
        <color rgb="FF000000"/>
        <rFont val="Santander Text"/>
      </rPr>
      <t xml:space="preserve">¿De qué se trata? </t>
    </r>
    <r>
      <rPr>
        <sz val="8"/>
        <color rgb="FF000000"/>
        <rFont val="Santander Text"/>
      </rPr>
      <t xml:space="preserve">Buques de pasaje en aguas interiores en los que participen buques que no sean adecuados para el transporte marítimo. </t>
    </r>
  </si>
  <si>
    <r>
      <t xml:space="preserve">Cumple UN criterio aplicable  _
2. Hasta 2026: Los depósitos híbridos y de combustible dual obtienen al menos el 50% de su energía de combustibles con emisiones cero o energía plug-in para su funcionamiento normal. _
4. Vehículos pesados: Las emisiones directas son un 50% más bajas que la media de referencia. _
5. Un 10% más eficiente que un estándar global como EEDI. _
6. Operar a continuación </t>
    </r>
    <r>
      <rPr>
        <sz val="8"/>
        <color rgb="FFFF0000"/>
        <rFont val="Santander Text"/>
        <family val="2"/>
      </rPr>
      <t>75</t>
    </r>
    <r>
      <rPr>
        <sz val="8"/>
        <color rgb="FF000000"/>
        <rFont val="Santander Text"/>
        <family val="2"/>
      </rPr>
      <t xml:space="preserve">g CO2/pasajero-kilómetro. </t>
    </r>
  </si>
  <si>
    <r>
      <t xml:space="preserve">Cumple UN criterio aplicable  _
1. Los buques no tienen emisiones directas de CO2. _
2. Hasta 2026: Los depósitos híbridos y de combustible dual obtienen al menos el 50% de su energía de combustibles con emisiones cero o energía plug-in para su funcionamiento normal. _
</t>
    </r>
    <r>
      <rPr>
        <sz val="8"/>
        <rFont val="Santander Text"/>
        <family val="2"/>
      </rPr>
      <t>3</t>
    </r>
    <r>
      <rPr>
        <sz val="8"/>
        <color rgb="FF000000"/>
        <rFont val="Santander Text"/>
        <family val="2"/>
      </rPr>
      <t>. 2026 - 2030: Los buques operan por debajo de una intensidad de gases de efecto invernadero de 76,4g CO2e/MJ. _</t>
    </r>
  </si>
  <si>
    <t xml:space="preserve">Transporte acuático interior de mercancías </t>
  </si>
  <si>
    <t xml:space="preserve">A.2.8. Transporte acuático interior de mercancías </t>
  </si>
  <si>
    <t xml:space="preserve">Buques de carga en aguas interiores que incluyan buques que no sean adecuados para el transporte marítimo. </t>
  </si>
  <si>
    <r>
      <rPr>
        <b/>
        <sz val="8"/>
        <color rgb="FF000000"/>
        <rFont val="Santander Text"/>
      </rPr>
      <t>¿De qué se trata? Buques de carga en aguas interiores</t>
    </r>
    <r>
      <rPr>
        <sz val="8"/>
        <color rgb="FF000000"/>
        <rFont val="Santander Text"/>
      </rPr>
      <t xml:space="preserve"> que incluyan buques que no sean adecuados para el transporte marítimo. </t>
    </r>
  </si>
  <si>
    <t>Cumple TODOS los criterios aplicables  _
3. Cumple con UNO de los siguientes requerimientos:
a. Barcos de energía solar, eléctrica o de hidrógeno. 
b. Veleros sin motor. 
c. Buques de transporte de agua que no tienen emisiones directas de CO2. _
4. Los buques de carga no transportan más del 25% de carbón/petróleo de combustibles fósiles. _</t>
  </si>
  <si>
    <t>Cumple TODOS los criterios aplicables  _
1. La actividad se ajusta a los siguientes requerimientos: 
a. Cero emisiones directas de CO2. 
b. Para 2026: Los buques deberán tener emisiones directas de CO2 un 50 % por debajo del valor medio de referencia para las emisiones de CO2 definidas para los vehículos pesados de acuerdo con el indicador operativo de eficiencia energética. 
c. 2026 - 2030: Los buques operan por debajo de una intensidad de gases de efecto invernadero de 76.4g CO2e/MJ.  _
2. No se dedica al transporte de combustibles fósiles. _</t>
  </si>
  <si>
    <t>Readaptación del transporte acuático interior</t>
  </si>
  <si>
    <t>A.2.9. Readaptación del transporte acuático interior</t>
  </si>
  <si>
    <t xml:space="preserve">A.2.9. Adaptación del transporte de pasajeros y mercancías en aguas interiores </t>
  </si>
  <si>
    <t xml:space="preserve">Adaptación del transporte de pasajeros y mercancías en aguas interiores </t>
  </si>
  <si>
    <t xml:space="preserve">Readaptación y actualización de buques para el transporte de mercancías o pasajeros en aguas interiores. </t>
  </si>
  <si>
    <r>
      <rPr>
        <b/>
        <sz val="8"/>
        <color rgb="FF000000"/>
        <rFont val="Santander Text"/>
        <family val="2"/>
      </rPr>
      <t xml:space="preserve">¿De qué se trata? </t>
    </r>
    <r>
      <rPr>
        <sz val="8"/>
        <color rgb="FF000000"/>
        <rFont val="Santander Text"/>
        <family val="2"/>
      </rPr>
      <t xml:space="preserve">Readaptación y actualización de </t>
    </r>
    <r>
      <rPr>
        <b/>
        <sz val="8"/>
        <color rgb="FF000000"/>
        <rFont val="Santander Text"/>
        <family val="2"/>
      </rPr>
      <t>buques para el transporte de mercancías o pasajeros en aguas interiores</t>
    </r>
    <r>
      <rPr>
        <sz val="8"/>
        <color rgb="FF000000"/>
        <rFont val="Santander Text"/>
        <family val="2"/>
      </rPr>
      <t xml:space="preserve">. </t>
    </r>
  </si>
  <si>
    <t>Cumple TODOS los criterios aplicables  _
1. La actividad cumple con UNO de los siguientes requerimientos: 
a. El consumo de combustible de los buques de pasaje interiores debe reducirse en un 15%/unidad/día. 
b. El consumo de combustible de los buques de transporte terrestre debe reducirse en un 15% por unidad/tonelada-km.  _
2. No se dedica al transporte de combustibles fósiles._</t>
  </si>
  <si>
    <t xml:space="preserve">Transporte marítimo y costero de mercancías, buques para operaciones portuarias y actividades auxiliares </t>
  </si>
  <si>
    <t xml:space="preserve">A.2.10. Transporte marítimo y costero de mercancías, buques para operaciones portuarias y actividades auxiliares </t>
  </si>
  <si>
    <t xml:space="preserve">A.2.10. Transporte marítimo y costero de mercancías. buques para operaciones portuarias y actividades auxiliares </t>
  </si>
  <si>
    <t xml:space="preserve">Transporte marítimo y costero de mercancías. buques para operaciones portuarias y actividades auxiliares </t>
  </si>
  <si>
    <t xml:space="preserve">Buques diseñados y equipados para el transporte de mercancías y pasajeros O necesarios para operaciones portuarias y actividades auxiliares. </t>
  </si>
  <si>
    <r>
      <rPr>
        <b/>
        <sz val="8"/>
        <color rgb="FF000000"/>
        <rFont val="Santander Text"/>
        <family val="2"/>
      </rPr>
      <t xml:space="preserve">¿De qué se trata? </t>
    </r>
    <r>
      <rPr>
        <sz val="8"/>
        <color rgb="FF000000"/>
        <rFont val="Santander Text"/>
        <family val="2"/>
      </rPr>
      <t xml:space="preserve">Buques diseñados y equipados para el </t>
    </r>
    <r>
      <rPr>
        <b/>
        <sz val="8"/>
        <color rgb="FF000000"/>
        <rFont val="Santander Text"/>
        <family val="2"/>
      </rPr>
      <t>transporte de mercancías y pasajeros O necesarios para operaciones portuarias y actividades auxiliares</t>
    </r>
    <r>
      <rPr>
        <sz val="8"/>
        <color rgb="FF000000"/>
        <rFont val="Santander Text"/>
        <family val="2"/>
      </rPr>
      <t xml:space="preserve">. </t>
    </r>
  </si>
  <si>
    <t>Cumple TODOS los criterios aplicables  _
3. Cumple con UNO de los siguientes tipos de embarcaciones:
a. Barcos solares, eléctricos o de hidrógeno.
b. Barcos de vela sin motor.
c. Embarcaciones de transporte acuático con cero emisiones directas de CO2 _
4. Los buques de carga no transportan más del 25 % de carbón/petróleo de combustibles fósiles _</t>
  </si>
  <si>
    <t>Cumple TODOS los criterios aplicables _
1. Cumple UNO de los siguientes criterios
a. Los buques tienen cero emisiones directas (tubo de escape)
b. Hasta 2026: Los buques híbridos y de doble combustible obtienen más del 25% de su energía de cero emisiones directas de CO2.
c. Hasta 2026: Cuando sea tecnológica y económicamente inviable, buques con un valor de emisiones de CO2 inferior en un 50% al valor medio de referencia definido para los vehículos pesados y utilizados exclusivamente para la explotación de servicios costeros y de corta distancia.
d. Hasta 2026: Cuando sea tecnológica y económicamente inviable, alcanzar un EEDI un 10% inferior a los requisitos del EEDI aplicables el 1 de abril de 2022.
e. A partir de 2026: Cuando sea tecnológica y económicamente inviable, si el buque es capaz de funcionar con cero emisiones de combustibles, debe reducir un 20% los requisitos de EEDI aplicables el 1 de abril de 2022 y:
- El buque es capaz de enchufarse en el atraque.
- Si funciona con gas, aplica medidas de mitigación del metano.
f. A partir de 2026: Cuando sea tecnológica y económicamente inviable, Índice de Eficiencia Energética de Buques Existentes (EEXI) equivalente a reducir el EEDI un 10% por debajo de los requisitos EEXI para 2023 y la media de GEI por debajo de 76,4CO2e/MJ. _
2.  NO dedicados al transporte de combustibles fósiles. _</t>
  </si>
  <si>
    <t xml:space="preserve">Transporte marítimo y costero de pasajeros </t>
  </si>
  <si>
    <t xml:space="preserve">A.2.11. Transporte marítimo y costero de pasajeros </t>
  </si>
  <si>
    <t>Compra/financiación de buques destinados a la realización del transporte de pasajeros. Incluye: Operación de ferries, taxis acuáticos y excursiones, crucero o barcos turísticos.</t>
  </si>
  <si>
    <r>
      <rPr>
        <b/>
        <sz val="8"/>
        <color theme="1"/>
        <rFont val="Santander Text"/>
        <family val="2"/>
      </rPr>
      <t xml:space="preserve">¿De qué se trata? </t>
    </r>
    <r>
      <rPr>
        <sz val="8"/>
        <color theme="1"/>
        <rFont val="Santander Text"/>
        <family val="2"/>
      </rPr>
      <t xml:space="preserve">Compra/financiación de buques destinados a la realización del transporte de pasajeros. Incluye: </t>
    </r>
    <r>
      <rPr>
        <b/>
        <sz val="8"/>
        <color theme="1"/>
        <rFont val="Santander Text"/>
        <family val="2"/>
      </rPr>
      <t>Operación de ferries, taxis acuáticos y excursiones, crucero o barcos turísticos</t>
    </r>
    <r>
      <rPr>
        <sz val="8"/>
        <color theme="1"/>
        <rFont val="Santander Text"/>
        <family val="2"/>
      </rPr>
      <t>.</t>
    </r>
  </si>
  <si>
    <t xml:space="preserve">Cumple con UN criterio aplicable _
1. Cero emisiones de CO2. _
2. Hasta 2026: Los depósitos híbridos y de combustible dual obtienen más del 25% de su energía a partir de cero emisiones directas de CO2. _
3. Hasta 2026: Cuando no sea viable desde el punto de vista tecnológico y económico, un buque con un 50 % menos que el valor medio de emisiones de CO2 de referencia definido para los vehículos pesados y utilizado exclusivamente para prestar servicios costeros y marítimos de corta duración.  _
4. Hasta 2026: Cuando fuera tecnológicamente inviable y económicamente, alcanzó el EDI un 10% por debajo de los requisitos EDI aplicables el 1 de abril de 2022. _
5. A partir de 2026: Cuando sea tecnológicamente imposible y económicamente, si el buque puede realizar emisiones cero de los combustibles, deberá reducir los requisitos de EDI del 20 % aplicables a partir del 1 de abril de 2022 y:
- El barco es capaz de conectarse al muelle.
- Si se alimenta de gas, implementa medidas de mitigación de metano. _
6. A partir de 2026: Cuando tecnológicamente y económicamente no es viable, el EEXI (Energy Efficiency Existing Ship Index) equivale a reducir el EDI al 10% por debajo de los requisitos del EEXI para 2023 y el nivel medio de emisiones de gases de efecto invernadero 77.4CO2e/MJ. _
</t>
  </si>
  <si>
    <t xml:space="preserve">Readaptación del transporte marítimo y costero de mercancías y pasajeros </t>
  </si>
  <si>
    <t xml:space="preserve">A.2.12. Readaptación del transporte marítimo y costero de mercancías y pasajeros </t>
  </si>
  <si>
    <t xml:space="preserve">A.2.12. Adaptación del transporte marítimo y costero de mercancías y del transporte de pasajeros por agua </t>
  </si>
  <si>
    <t xml:space="preserve">Adaptación del transporte marítimo y costero de mercancías y del transporte de pasajeros por agua </t>
  </si>
  <si>
    <t>Mejora de los buques destinados al transporte de mercancías o pasajeros y de los buques necesarios para las operaciones portuarias y las actividades auxiliares.</t>
  </si>
  <si>
    <r>
      <rPr>
        <b/>
        <sz val="8"/>
        <color rgb="FF000000"/>
        <rFont val="Santander Text"/>
        <family val="2"/>
      </rPr>
      <t xml:space="preserve">¿De qué se trata? </t>
    </r>
    <r>
      <rPr>
        <sz val="8"/>
        <color rgb="FF000000"/>
        <rFont val="Santander Text"/>
        <family val="2"/>
      </rPr>
      <t xml:space="preserve">Mejora de los buques destinados al </t>
    </r>
    <r>
      <rPr>
        <b/>
        <sz val="8"/>
        <color rgb="FF000000"/>
        <rFont val="Santander Text"/>
        <family val="2"/>
      </rPr>
      <t>transporte de mercancías o pasajeros</t>
    </r>
    <r>
      <rPr>
        <sz val="8"/>
        <color rgb="FF000000"/>
        <rFont val="Santander Text"/>
        <family val="2"/>
      </rPr>
      <t xml:space="preserve"> y de los buques necesarios </t>
    </r>
    <r>
      <rPr>
        <b/>
        <sz val="8"/>
        <color rgb="FF000000"/>
        <rFont val="Santander Text"/>
        <family val="2"/>
      </rPr>
      <t>para las operaciones portuarias y las actividades auxiliares</t>
    </r>
    <r>
      <rPr>
        <sz val="8"/>
        <color rgb="FF000000"/>
        <rFont val="Santander Text"/>
        <family val="2"/>
      </rPr>
      <t>.</t>
    </r>
  </si>
  <si>
    <t>Cumple UN criterio aplicable _
1. La actividad de readaptación reduce el consumo de combustible del buque en al menos un 15%. _
2. Permite a los buques alcanzar el valor EEXI al menos un 10% por debajo de los requisitos aplicables el 1 de enero de 2023 y: 
- El barco es capaz de conectarse al muelle.
- Si se alimenta de gas, implementa medidas de mitigación de metano. _</t>
  </si>
  <si>
    <t>Transporte aéreo</t>
  </si>
  <si>
    <t xml:space="preserve">Arrendamiento de aeronaves </t>
  </si>
  <si>
    <t xml:space="preserve">A.2.18. Arrendamiento de aeronaves </t>
  </si>
  <si>
    <t xml:space="preserve">Arrendamiento y leasing de piezas y equipos de aeronaves. </t>
  </si>
  <si>
    <t xml:space="preserve">¿De qué se trata? Arrendamiento y leasing de piezas y equipos de aeronaves. </t>
  </si>
  <si>
    <t>Cumple UN criterio aplicable 
1. Aeronaves con cero emisiones directas de CO2. _
2. Si se entrega antes de 2024: Deberá cumplir lo siguiente antes de 2028 (a partir de 2028, la aeronave está certificada para operar con una mezcla de combustibles de aviación sostenibles del 100%): 
[TABLE A.2.18] _
3. Si se entrega después de 2024: Deberá cumplir los criterios de "fabricación de aeronaves" y el compromiso de que otra aeronave no conforme sea retirada permanentemente en el plazo de 6 meses a partir de la fecha de entrega de la primera. _</t>
  </si>
  <si>
    <t xml:space="preserve">Transporte aéreo de pasajeros y mercancías </t>
  </si>
  <si>
    <t xml:space="preserve">A.2.19. Transporte aéreo de pasajeros y mercancías </t>
  </si>
  <si>
    <t xml:space="preserve">Compra, financiación y explotación de aeronaves, incluido el transporte de pasajeros y mercancías. </t>
  </si>
  <si>
    <r>
      <rPr>
        <b/>
        <sz val="8"/>
        <color rgb="FF000000"/>
        <rFont val="Santander Text"/>
        <family val="2"/>
      </rPr>
      <t xml:space="preserve">¿De qué se trata? </t>
    </r>
    <r>
      <rPr>
        <sz val="8"/>
        <color rgb="FF000000"/>
        <rFont val="Santander Text"/>
        <family val="2"/>
      </rPr>
      <t xml:space="preserve">Compra, financiación y explotación de aeronaves, </t>
    </r>
    <r>
      <rPr>
        <b/>
        <sz val="8"/>
        <color rgb="FF000000"/>
        <rFont val="Santander Text"/>
        <family val="2"/>
      </rPr>
      <t>incluido el transporte de pasajeros y mercancías</t>
    </r>
    <r>
      <rPr>
        <sz val="8"/>
        <color rgb="FF000000"/>
        <rFont val="Santander Text"/>
        <family val="2"/>
      </rPr>
      <t xml:space="preserve">. </t>
    </r>
  </si>
  <si>
    <t>Cumple TODOS los criterios aplicables  _
5. El SAF mínimo comparte el 5% en 2022 y aumenta la tasa en un 2%.  _
6. Aviones híbridos para el transporte de mercancías o distancias cortas.  _
7. El objetivo principal no es el transporte de combustibles fósiles. _</t>
  </si>
  <si>
    <t>Cumple UN criterio aplicable _
1. Aviones con cero emisiones directas de CO2 _
2. Si se entrega antes de 2024 Debe cumplir lo siguiente: hasta 2028 (a partir de 2028, la aeronave está certificada para operar con una mezcla del 100% de combustibles de aviación sostenibles):
[A.2.19] _
3. Si se entrega después de 2024: Debe cumplir con los criterios de «fabricación de la aeronave» y con el compromiso de que se retire definitivamente otra aeronave no conforme en el plazo de 6 meses desde la entrega de la primera. _
4. Después de 2030: se operará con una cuota del 15% de combustibles de aviación sostenibles (SAF) e incrementando la tasa en un 2% anual. _</t>
  </si>
  <si>
    <t xml:space="preserve">Operaciones de transporte aéreo en tierra </t>
  </si>
  <si>
    <t xml:space="preserve">A.2.20. Operaciones de transporte aéreo en tierra </t>
  </si>
  <si>
    <t xml:space="preserve">Fabricación, reparación, mantenimiento, readaptación de equipos y actividades de servicio relacionadas con el transporte aéreo. </t>
  </si>
  <si>
    <r>
      <rPr>
        <b/>
        <sz val="8"/>
        <color rgb="FF000000"/>
        <rFont val="Santander Text"/>
        <family val="2"/>
      </rPr>
      <t xml:space="preserve">¿De qué se trata? </t>
    </r>
    <r>
      <rPr>
        <sz val="8"/>
        <color rgb="FF000000"/>
        <rFont val="Santander Text"/>
        <family val="2"/>
      </rPr>
      <t xml:space="preserve">Fabricación, reparación, mantenimiento, readaptación de equipos y actividades de servicio relacionadas con el transporte aéreo. </t>
    </r>
  </si>
  <si>
    <t>Cumple TODOS los criterios aplicables  _
1. Vehículos de conducción en tierra con cero emisiones de CO2. _
2. La propulsión de todos los dispositivos y equipos de tierra proviene de un motor de emisiones cero.  _</t>
  </si>
  <si>
    <t>Infrastructura</t>
  </si>
  <si>
    <t xml:space="preserve">Movilidad personal, logística de ciclos </t>
  </si>
  <si>
    <t xml:space="preserve">A.2.13. Movilidad personal, logística de ciclos </t>
  </si>
  <si>
    <t xml:space="preserve">A.2.13. Infraestructura para movilidad personal. logística de ciclo </t>
  </si>
  <si>
    <t xml:space="preserve">Infraestructura para movilidad personal. logística de ciclo </t>
  </si>
  <si>
    <t xml:space="preserve">Construcción, actualización, mantenimiento y explotación de infraestructuras para la movilidad personal. </t>
  </si>
  <si>
    <r>
      <rPr>
        <b/>
        <sz val="8"/>
        <color rgb="FF000000"/>
        <rFont val="Santander Text"/>
        <family val="2"/>
      </rPr>
      <t xml:space="preserve">¿De qué se trata? </t>
    </r>
    <r>
      <rPr>
        <sz val="8"/>
        <color rgb="FF000000"/>
        <rFont val="Santander Text"/>
        <family val="2"/>
      </rPr>
      <t>Construcción, actualización, mantenimiento y explotación de</t>
    </r>
    <r>
      <rPr>
        <b/>
        <sz val="8"/>
        <color rgb="FF000000"/>
        <rFont val="Santander Text"/>
        <family val="2"/>
      </rPr>
      <t xml:space="preserve"> infraestructuras para la movilidad personal. </t>
    </r>
  </si>
  <si>
    <t>Cumple TODOS los criterios aplicables  _
1. La infraestructura que se construye y opera está dedicada a la movilidad personal activa, personal o logística del ciclo. _</t>
  </si>
  <si>
    <t xml:space="preserve">Transporte por carretera de bajo carbono y transporte público </t>
  </si>
  <si>
    <t xml:space="preserve">A.2.15. Transporte por carretera de bajo carbono y transporte público </t>
  </si>
  <si>
    <t xml:space="preserve">A.2.15. Infraestructura que permita el transporte por carretera y el transporte público con bajas emisiones de carbono </t>
  </si>
  <si>
    <t xml:space="preserve">Infraestructura que permita el transporte por carretera y el transporte público con bajas emisiones de carbono </t>
  </si>
  <si>
    <t xml:space="preserve">Construcción, actualización, mantenimiento y explotación de infraestructuras necesarias para la operación de emisiones cero de CO2 en el transporte por carretera, transbordo o transporte urbano. </t>
  </si>
  <si>
    <r>
      <rPr>
        <b/>
        <sz val="8"/>
        <color rgb="FF000000"/>
        <rFont val="Santander Text"/>
        <family val="2"/>
      </rPr>
      <t xml:space="preserve">¿De qué se trata? </t>
    </r>
    <r>
      <rPr>
        <sz val="8"/>
        <color rgb="FF000000"/>
        <rFont val="Santander Text"/>
        <family val="2"/>
      </rPr>
      <t xml:space="preserve">Construcción, actualización, mantenimiento y explotación de infraestructuras necesarias para la operación de emisiones cero de CO2 en el transporte por carretera, transbordo o transporte urbano. </t>
    </r>
  </si>
  <si>
    <r>
      <t xml:space="preserve">Cumple TODOS los criterios aplicables _
1. Cumple UNO o más de los criterios aplicables _
a. Dedicado a la operación de vehículos con cero emisiones de CO2 por el tubo de escape (puntos de carga eléctrica, mejoras en la conexión a la red eléctrica, estaciones de abastecimiento de hidrógeno o sistemas de carreteras eléctricas (ERS)).
b. Dedicado al transbordo de mercancías entre diferentes modos de transporte (infraestructura y superestructuras para carga, descarga y transbordo)
c. Dedicados al transporte público urbano y suburbano de pasajeros (incluidos los sistemas de señalización asociados para los sistemas de metro, tranvía y ferrocarril). </t>
    </r>
    <r>
      <rPr>
        <sz val="8"/>
        <color rgb="FFFF0000"/>
        <rFont val="Santander Text"/>
        <family val="2"/>
      </rPr>
      <t>_</t>
    </r>
    <r>
      <rPr>
        <sz val="8"/>
        <color theme="1"/>
        <rFont val="Santander Text"/>
        <family val="2"/>
      </rPr>
      <t xml:space="preserve">
2. No dedicados al transporte o almacenamiento de combustibles fósiles. </t>
    </r>
  </si>
  <si>
    <t xml:space="preserve">Infraestructura de transporte de agua </t>
  </si>
  <si>
    <t xml:space="preserve">A.2.16. Infraestructura de transporte de agua </t>
  </si>
  <si>
    <t xml:space="preserve">A.2.16. Infraestructura que permite el transporte de agua con bajas emisiones de carbono </t>
  </si>
  <si>
    <t xml:space="preserve">Infraestructura que permite el transporte de agua con bajas emisiones de carbono </t>
  </si>
  <si>
    <t xml:space="preserve">Construcción, modernización, mantenimiento y explotación de las infraestructuras necesarias para la operación cero de CO2 de los buques u operaciones portuarias. </t>
  </si>
  <si>
    <r>
      <rPr>
        <b/>
        <sz val="8"/>
        <color rgb="FF000000"/>
        <rFont val="Santander Text"/>
        <family val="2"/>
      </rPr>
      <t xml:space="preserve">¿De qué se trata? </t>
    </r>
    <r>
      <rPr>
        <sz val="8"/>
        <color rgb="FF000000"/>
        <rFont val="Santander Text"/>
        <family val="2"/>
      </rPr>
      <t xml:space="preserve">Construcción, modernización, mantenimiento y explotación de las infraestructuras necesarias para la operación cero de CO2 de los buques u operaciones portuarias. </t>
    </r>
  </si>
  <si>
    <t>Cumple TODOS los criterios aplicables  _
1. Actividad en conformidad con UNO de los siguientes criterios:
a. Dedicada a la operación con buques con cero emisiones directas de CO2. 
b. Dedicada al suministro de energía eléctrica en el lado de la costa. 
c. Dedicada al rendimiento de las operaciones del puerto (cero CO2). 
d. Dedicada al transporte de mercancías entre modos. _
3. El objetivo principal (más del 25% de participación) no es el transporte de combustibles fósiles. _</t>
  </si>
  <si>
    <t>Cumple UNO o más criterios aplicables  _
1. Actividad en conformidad con UNO de los siguientes criterios:
a. Dedicada a la operación con buques con cero emisiones directas de CO2. 
b. Dedicada al suministro de energía eléctrica en el lado de la costa. 
c. Dedicada al rendimiento de las operaciones del puerto (cero CO2). 
d. Dedicada al transporte de mercancías entre modos. _
2. No se dedica al transporte/almacenamiento de combustibles fósiles. _</t>
  </si>
  <si>
    <t xml:space="preserve">Infraestructura aeroportuaria </t>
  </si>
  <si>
    <t xml:space="preserve">A.2.17. Infraestructura aeroportuaria </t>
  </si>
  <si>
    <t xml:space="preserve">A.2.17. Infraestructura aeroportuaria de baja emisión de carbono </t>
  </si>
  <si>
    <t xml:space="preserve">Infraestructura aeroportuaria de baja emisión de carbono </t>
  </si>
  <si>
    <t xml:space="preserve">Construcción, actualización, mantenimiento y explotación de infraestructuras necesarias para la operación de aeronaves u operaciones del aeropuerto, así como energía eléctrica fija o aire preacondicionado para aeronaves estacionarias; con cero emisiones de CO2. </t>
  </si>
  <si>
    <r>
      <rPr>
        <b/>
        <sz val="8"/>
        <color rgb="FF000000"/>
        <rFont val="Santander Text"/>
        <family val="2"/>
      </rPr>
      <t xml:space="preserve">¿De qué se trata? </t>
    </r>
    <r>
      <rPr>
        <sz val="8"/>
        <color rgb="FF000000"/>
        <rFont val="Santander Text"/>
        <family val="2"/>
      </rPr>
      <t xml:space="preserve">Construcción, actualización, mantenimiento y explotación de infraestructuras necesarias para la operación de aeronaves u operaciones del aeropuerto, así como energía eléctrica fija o aire preacondicionado para aeronaves estacionarias; con cero emisiones de CO2. </t>
    </r>
  </si>
  <si>
    <t>Cumple UNO o más criterios aplicables _
1. Infraestructura dedicada a UNO de los siguientes: 
a. Aeronaves con cero emisiones de CO2.
b. Alimentación eléctrica fija en tierra / aire preacondicionado para aeronaves estacionarias.
c. Rendimiento de cero emisiones de CO2 de las operaciones propias del aeropuerto.
d. Dedicado al transbordo de carga con transporte ferroviario y marítimo (infraestructuras y superestructuras de terminales para carga, descarga y transbordo de mercancías). _
2. NO dedicado al transporte/almacenamiento de combustibles fósiles _</t>
  </si>
  <si>
    <t xml:space="preserve">Transporte ferroviario </t>
  </si>
  <si>
    <t xml:space="preserve">A.2.14. Transporte ferroviario </t>
  </si>
  <si>
    <t xml:space="preserve">A.2.14. Infraestructura para el transporte ferroviario </t>
  </si>
  <si>
    <t xml:space="preserve">Infraestructura para el transporte ferroviario </t>
  </si>
  <si>
    <t xml:space="preserve">Construcción, actualización, mantenimiento y operación de ferrocarriles, metros e infraestructura civil y de seguridad </t>
  </si>
  <si>
    <r>
      <rPr>
        <b/>
        <sz val="8"/>
        <color rgb="FF000000"/>
        <rFont val="Santander Text"/>
        <family val="2"/>
      </rPr>
      <t xml:space="preserve">¿De qué se trata? </t>
    </r>
    <r>
      <rPr>
        <sz val="8"/>
        <color rgb="FF000000"/>
        <rFont val="Santander Text"/>
        <family val="2"/>
      </rPr>
      <t xml:space="preserve">Construcción, actualización, mantenimiento y operación de ferrocarriles, metros e infraestructura civil y de seguridad </t>
    </r>
  </si>
  <si>
    <t>Cumple TODOS los criterios aplicables  _
5. Desarrollo/mejora de la infraestructura ferroviaria.  _
6. El objetivo principal (más del 25% de participación) no es el transporte de combustibles fósiles. _</t>
  </si>
  <si>
    <t>Cumple TODOS los criterios aplicables  _
1.Infraestructura o subsistema de vía electrificada.  _
2. Infraestructura e instalaciones dedicadas al transporte de mercancías o al transporte de pasajeros. _
3. Herramientas digitales que permiten un aumento de la eficiencia, capacidad o ahorro de energía.  _
4. No se dedica al transporte de combustibles fósiles. _</t>
  </si>
  <si>
    <t>Vehículos de hidrógeno</t>
  </si>
  <si>
    <t xml:space="preserve">Vehículos impulsados por hidrógeno </t>
  </si>
  <si>
    <t xml:space="preserve">A.2.21. Vehículos impulsados por hidrógeno </t>
  </si>
  <si>
    <t xml:space="preserve">A.2.21. Vehículos propulsados por hidrógeno </t>
  </si>
  <si>
    <t xml:space="preserve">Vehículos propulsados por hidrógeno </t>
  </si>
  <si>
    <t>Cumple TODOS los criterios aplicables  _
1. Vehículos impulsados por hidrógeno (hidrógeno verde y azul). _
2. El objetivo principal no es el transporte de combustibles fósiles.  _</t>
  </si>
  <si>
    <t>Construcción &amp; Real Estate</t>
  </si>
  <si>
    <t>Construcción de nuevos edificios</t>
  </si>
  <si>
    <t>España – Construcción de edificios residenciales</t>
  </si>
  <si>
    <t>A.3.1.1.1. España – Construcción de edificios residenciales</t>
  </si>
  <si>
    <t xml:space="preserve">A.3.1.1.1. Construcción de nuevos edificios residenciales en España </t>
  </si>
  <si>
    <t xml:space="preserve">Construcción de nuevos edificios residenciales en España </t>
  </si>
  <si>
    <t>Proyectos de construcción para edificios residenciales con vistas a venderlos</t>
  </si>
  <si>
    <r>
      <rPr>
        <b/>
        <sz val="8"/>
        <color rgb="FF000000"/>
        <rFont val="Santander Text"/>
        <family val="2"/>
      </rPr>
      <t xml:space="preserve">¿De qué se trata? </t>
    </r>
    <r>
      <rPr>
        <sz val="8"/>
        <color rgb="FF000000"/>
        <rFont val="Santander Text"/>
        <family val="2"/>
      </rPr>
      <t xml:space="preserve">Proyectos de construcción para edificios residenciales con vistas a venderlos. 
</t>
    </r>
    <r>
      <rPr>
        <b/>
        <sz val="8"/>
        <color rgb="FF000000"/>
        <rFont val="Santander Text"/>
        <family val="2"/>
      </rPr>
      <t xml:space="preserve">¿De qué NO se trata? </t>
    </r>
    <r>
      <rPr>
        <sz val="8"/>
        <color rgb="FF000000"/>
        <rFont val="Santander Text"/>
        <family val="2"/>
      </rPr>
      <t xml:space="preserve">Cualquier edificio de más de 5.000 m2 o ubicado fuera de España. </t>
    </r>
  </si>
  <si>
    <r>
      <t xml:space="preserve">Cumple UN criterio aplicable _
4. Los edificios nuevos aportan UNO de los siguientes certificados:
</t>
    </r>
    <r>
      <rPr>
        <sz val="8"/>
        <color rgb="FFFF0000"/>
        <rFont val="Santander Text"/>
      </rPr>
      <t>a</t>
    </r>
    <r>
      <rPr>
        <sz val="8"/>
        <color theme="1"/>
        <rFont val="Santander Text"/>
        <family val="2"/>
      </rPr>
      <t xml:space="preserve">. Eficiencia energética dentro del 15 % superior del parque edificatorio nacional o regional.
– Calificación C o superior en Andalucía, Aragón, Baleares, Castilla y León, Castilla-La Mancha, Ceuta, Galicia, Madrid, Melilla, Navarra y La Rioja.
– Calificación D o superior en Asturias, Canarias, Cantabria, Cataluña, Extremadura, Murcia, País Vasco y Valencia.
b. LEED (Gold o superior).
c. BREEAM (Excellent o superior; “Very good” puede aceptarse con una puntuación mínima del 70 % en la categoría de Energía).
d. Certificación DGNB (Gold o superior).
e. EDGE (Advanced o Zero Carbon).
f. Passivhaus (Classic o superior).
g. Home Quality Mark (4 estrellas o superior).
h. NABERS (4,5 estrellas o superior).
i. PBE Edificia (calificación ENCE B).
j. Austin Energy Green Buildings.
k. BEAM Plus.
l. SCE.
m. CCS CASA Colombia.
n. Green Building Initiative.
o. WELL.
p. Lider A.
</t>
    </r>
    <r>
      <rPr>
        <sz val="8"/>
        <color rgb="FFFF0000"/>
        <rFont val="Santander Text"/>
      </rPr>
      <t>q. Phius CORE 2021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</si>
  <si>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la región de construcción y la zona climática de los edificios (véase la tabla siguiente):
[TABLA A.3.1.1.1.] _
2.1. Los edificios de más de 5000 m2 deben someterse a controles de estanqueidad y revelar el PCA del ciclo de vida a inversores y clientes._
3. Cumple TODOS los criterios de economía circular:
- Identificación, separación, procesamiento, gestión, recogida y reciclaje de residuos (tasa del 90 %) mediante sistemas de clasificación y auditorías previas a la demolición.
- Ciclo de vida del GWP del edificio calculado y comunicado a las partes interesadas previa solicitud.
- Diseño de adaptabilidad probada al marco de información de nivel 2 de la UE.
- Uso de materiales secundarios y medidos con herramientas electrónicas. 
-Hormigón/vidrio/ladrillo/cerámica: máx. 70 % de materia prima primaria.
-Biológico: máx. 80 % de materia prima primaria.
-Plástico no biológico: máx. 50 % de materia prima primaria.
- Metales: máx. 30 % de materia prima primaria.
- Yeso: máx. 65 % de materia prima primaria.
- ISO 22057:2022 Declaración ambiental de producto _</t>
  </si>
  <si>
    <t>7) Energía asequible y no contaminante
9) Industria, innovación e infraestructura
11) Ciudades y comunidades sostenibles</t>
  </si>
  <si>
    <t>España – Construcción de edificios comerciales</t>
  </si>
  <si>
    <t>A.3.1.1.2. España – Construcción de edificios comerciales</t>
  </si>
  <si>
    <t xml:space="preserve">A.3.1.1.2. Construcción de nuevos edificios comerciales o en España </t>
  </si>
  <si>
    <t xml:space="preserve">Construcción de nuevos edificios comerciales o en España </t>
  </si>
  <si>
    <t>Proyectos de construcción para edificios no residenciales con vistas a venderlos</t>
  </si>
  <si>
    <r>
      <rPr>
        <b/>
        <sz val="8"/>
        <color rgb="FF000000"/>
        <rFont val="Santander Text"/>
        <family val="2"/>
      </rPr>
      <t>¿De qué se trata?</t>
    </r>
    <r>
      <rPr>
        <sz val="8"/>
        <color rgb="FF000000"/>
        <rFont val="Santander Text"/>
        <family val="2"/>
      </rPr>
      <t xml:space="preserve"> Proyectos de construcción para edificios no residenciales con vistas a venderlos 
</t>
    </r>
    <r>
      <rPr>
        <b/>
        <sz val="8"/>
        <color rgb="FF000000"/>
        <rFont val="Santander Text"/>
        <family val="2"/>
      </rPr>
      <t xml:space="preserve">¿De qué NO se trata? </t>
    </r>
    <r>
      <rPr>
        <sz val="8"/>
        <color rgb="FF000000"/>
        <rFont val="Santander Text"/>
        <family val="2"/>
      </rPr>
      <t xml:space="preserve">Cualquier edificio de menos de 5.000 m2 o ubicado fuera de España </t>
    </r>
  </si>
  <si>
    <r>
      <t xml:space="preserve">Cumple UN criterio aplicable _
4. Los edificios nuevos aportan UNO de los siguientes certificados:
a. Eficiencia energética dentro del 15 % superior del parque edificatorio nacional o regional.
– Calificación C o superior en Andalucía, Aragón, Baleares, Castilla y León, Castilla-La Mancha, Ceuta, Galicia, Madrid, Melilla, Navarra y La Rioja.
– Calificación D o superior en Asturias, Canarias, Cantabria, Cataluña, Extremadura, Murcia, País Vasco y Valencia.
b. LEED (Gold o superior).
c. BREEAM (Excellent o superior, donde “Very good” puede aceptarse con una puntuación mínima del 70 % en la categoría de Energía).
d. Certificación DGNB (Gold o superior).
e. EDGE (Advanced o Zero Carbon).
f. Passivhaus (Classic o superior).
g. Home Quality Mark (4 estrellas o superior).
h. NABERS (4,5 estrellas o superior).
i. PBE Edificia (calificación ENCE B).
j. Austin Energy Green Buildings.
k. BEAM Plus.
l. SCE.
m. CCS CASA Colombia.
n. Green Building Initiative.
o. WELL.
p. Lider A.
</t>
    </r>
    <r>
      <rPr>
        <sz val="8"/>
        <color rgb="FFFF0000"/>
        <rFont val="Santander Text"/>
      </rPr>
      <t>q. Phius CORE 2021</t>
    </r>
    <r>
      <rPr>
        <sz val="8"/>
        <color theme="1"/>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</si>
  <si>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la región de construcción y la zona climática de los edificios (consulte la tabla a continuación). PED real no modelado: 
[TABLA A.3.1.1.2.] 
Para edificios de más de 5000 m2, es necesario verificar las desviaciones de hermeticidad e integridad térmica; así como los cálculos del PCA del ciclo de vida que se comunican a las partes interesadas. _
3. Cumple TODOS los criterios de economía circular:
- Identificación, separación, procesamiento, gestión, recogida y reciclaje de residuos (tasa del 90 %) mediante sistemas de clasificación y auditorías previas a la demolición.
- Cálculo del ciclo de vida del GWP del edificio y divulgación a las partes interesadas que lo soliciten.
- Diseño de adaptabilidad probada al marco de información de nivel 2 de la UE.
- Uso de materiales secundarios y medición con herramientas electrónicas. 
- Hormigón/vidrio/ladrillo/cerámica: máx. 70 % de materia prima primaria.
-De base biológica: máx. 80 % de materia prima primaria.
-Plástico no de base biológica: máx. 50 % de materia prima primaria.
-Metales: máx. 30 % de materia prima primaria.
-Yeso: máx. 65 % de materia prima primaria.
-  ISO 22057:2022 Declaración Ambiental de Producto. _</t>
  </si>
  <si>
    <t>Portugal – Construcción de edificios residenciales</t>
  </si>
  <si>
    <t>A.3.1.2.1. Portugal – Construcción de edificios residenciales</t>
  </si>
  <si>
    <t xml:space="preserve">A.3.1.2.1. Construcción de nuevos edificios residenciales en Portugal </t>
  </si>
  <si>
    <t xml:space="preserve">Construcción de nuevos edificios residenciales en Portugal </t>
  </si>
  <si>
    <t xml:space="preserve">Proyectos de construcción para edificios residenciales con vistas a venderlos . </t>
  </si>
  <si>
    <r>
      <rPr>
        <b/>
        <sz val="8"/>
        <color rgb="FF000000"/>
        <rFont val="Santander Text"/>
        <family val="2"/>
      </rPr>
      <t xml:space="preserve">¿De qué se trata? </t>
    </r>
    <r>
      <rPr>
        <sz val="8"/>
        <color rgb="FF000000"/>
        <rFont val="Santander Text"/>
        <family val="2"/>
      </rPr>
      <t xml:space="preserve">Proyectos de construcción para edificios residenciales con vistas a venderlos.
</t>
    </r>
    <r>
      <rPr>
        <b/>
        <sz val="8"/>
        <color rgb="FF000000"/>
        <rFont val="Santander Text"/>
        <family val="2"/>
      </rPr>
      <t xml:space="preserve">¿De qué NO se trata? </t>
    </r>
    <r>
      <rPr>
        <sz val="8"/>
        <color rgb="FF000000"/>
        <rFont val="Santander Text"/>
        <family val="2"/>
      </rPr>
      <t>Cualquier edificio de más de 5.000 m2 o ubicado fuera de Portugal.</t>
    </r>
  </si>
  <si>
    <r>
      <t xml:space="preserve">Cumple UN criterio aplicable _
4. Los edificios nuevos aportan UNO de los siguientes certificados:
a. Eficiencia energética dentro del 15 % superior del parque edificatorio nacional o regional (la calificación EPC es B o superior).
b. LEED (Gold o superior).
c. BREEAM (Excellent o superior; “Very good” puede aceptarse con una puntuación mínima del 70 % en la categoría de Energía).
d. Certificación DGNB (Gold o superior).
e. EDGE (Advanced o Zero Carbon).
f. Passivhaus (Classic o superior).
g. Home Quality Mark (4 estrellas o superior).
h. NABERS (4,5 estrellas o superior).
i. PBE Edificia (calificación ENCE B).
j. Lider A (nivel C o superior, siempre que cumpla con el Top 15 %).
k. Adene – Certificação de eficiência energética e qualidade do ar (SCE: clasificación A o superior, siempre que represente el 15 % más eficiente).
l. Austin Energy Green Buildings.
m. BEAM Plus.
n. SCE.
o. CCS CASA Colombia.
p. Green Building Initiative.
q. WELL.
</t>
    </r>
    <r>
      <rPr>
        <sz val="8"/>
        <color rgb="FFFF0000"/>
        <rFont val="Santander Text"/>
      </rPr>
      <t>r.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</si>
  <si>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Nuevos edificios con RNT real, no modelado, inferior a 0,45. 
Para edificios de más de 5000 m2, es necesario comprobar la hermeticidad y las desviaciones de la integridad térmica; además, se comunican a las partes interesadas los cálculos del PCA del ciclo de vida. _
4. Cumple TODOS los criterios de la economía circular:
- Identificación, separación, procesamiento, gestión, recogida y reciclaje de residuos (tasa del 90 %) mediante sistemas de clasificación y auditorías previas a la demolición.
- El PCA del ciclo de vida del edificio se calcula y se comunica a las partes interesadas que lo soliciten.
- Diseño de adaptabilidad probada al marco de información de nivel 2 de la UE.
- Uso de materiales secundarios y medición con herramientas electrónicas. 
- Hormigón/vidrio/ladrillo/cerámica: máx. 70 % de materia prima primaria.
- Biológico: máx. 80 % de materia prima primaria.
- Plástico no biológico: máx. 50 % de materia prima primaria.
- Metales: máx. 30 % de materia prima primaria.
- Yeso: máx. 65 % de materia prima principal.
-   ISO 22057:2022 Declaración ambiental de producto . _</t>
  </si>
  <si>
    <t>Portugal – Construcción de edificios comerciales</t>
  </si>
  <si>
    <t>A.3.1.2.2.  Portugal – Construcción de edificios comerciales</t>
  </si>
  <si>
    <t xml:space="preserve">A.3.1.2.2. Construcción de nuevos edificios comerciales o en Portugal </t>
  </si>
  <si>
    <t xml:space="preserve">Construcción de nuevos edificios comerciales o en Portugal 
</t>
  </si>
  <si>
    <t xml:space="preserve">Proyectos de construcción para edificios no residenciales con vistas a venderlos. </t>
  </si>
  <si>
    <r>
      <rPr>
        <b/>
        <sz val="8"/>
        <color rgb="FF000000"/>
        <rFont val="Santander Text"/>
        <family val="2"/>
      </rPr>
      <t xml:space="preserve">¿De qué se trata? </t>
    </r>
    <r>
      <rPr>
        <sz val="8"/>
        <color rgb="FF000000"/>
        <rFont val="Santander Text"/>
        <family val="2"/>
      </rPr>
      <t xml:space="preserve">Proyectos de construcción para edificios no residenciales con vistas a venderlos. 
</t>
    </r>
    <r>
      <rPr>
        <b/>
        <sz val="8"/>
        <color rgb="FF000000"/>
        <rFont val="Santander Text"/>
        <family val="2"/>
      </rPr>
      <t xml:space="preserve">¿De qué NO se trata? </t>
    </r>
    <r>
      <rPr>
        <sz val="8"/>
        <color rgb="FF000000"/>
        <rFont val="Santander Text"/>
        <family val="2"/>
      </rPr>
      <t xml:space="preserve">Cualquier edificio de menos de 5.000 m2 o ubicado fuera de Portugal. </t>
    </r>
  </si>
  <si>
    <r>
      <t xml:space="preserve">Cumple UN criterio aplicable _
4. Los edificios nuevos aportan UNO de los siguientes certificados:
a. Eficiencia energética dentro del 15 % superior del parque edificatorio nacional o regional (la calificación EPC es B o superior).
b. LEED (Gold o superior).
c. BREEAM (Excellent o superior, donde “Very good” puede aceptarse con una puntuación mínima del 70 % en la categoría de Energía).
d. Certificación DGNB (Gold o superior).
e. EDGE (Advanced o Zero Carbon).
f. Passivhaus (Classic o superior).
g. Home Quality Mark (4 estrellas o superior).
h. NABERS (4,5 estrellas o superior).
i. PBE Edificia (calificación ENCE B).
j. Lider A (nivel C o superior, siempre que cumpla con el Top 15 %).
k. Adene – Certificação de eficiência energética e qualidade do ar (SCE: clasificación A o superior, siempre que represente el 15 % más eficiente).
l. Austin Energy Green Buildings.
m. BEAM Plus.
n. SCE.
o. CCS CASA Colombia.
p. Green Building Initiative.
q. WELL.
</t>
    </r>
    <r>
      <rPr>
        <sz val="8"/>
        <color rgb="FFFF0000"/>
        <rFont val="Santander Text"/>
      </rPr>
      <t>r.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</si>
  <si>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 Edificios nuevos con RIEE real, no modelado, inferior a 0,675.
- Para edificios de más de 5000 m2, se comunican a las partes interesadas las desviaciones de hermeticidad e integridad térmica, así como los cálculos del PCA del ciclo de vida. _
3. Cumple TODOS los criterios de economía circular:
- Identificación, separación, procesamiento, gestión, recogida y reciclaje de residuos (tasa del 90 %) mediante sistemas de clasificación y auditorías previas a la demolición.
- Cálculo del ciclo de vida del GWP del edificio y divulgación a las partes interesadas que lo soliciten.
- Diseño de adaptabilidad probada al marco de información de nivel 2 de la UE.
- Uso de materiales secundarios y medición con herramientas electrónicas. 
- Hormigón/vidrio/ladrillo/cerámica: máx. 70 % de materia prima primaria.
-De base biológica: máx. 80 % de materia prima primaria.
-Plástico no de base biológica: máx. 50 % de materia prima primaria.
-Metales: máx. 30 % de materia prima primaria.
-Yeso: máx. 65 % de materia prima primaria.
- Declaración Ambiental de Producto ISO 22057:2022 . _</t>
  </si>
  <si>
    <t>Polonia – Construcción de edificios residenciales</t>
  </si>
  <si>
    <t>A.3.1.3.1. Polonia – Construcción de edificios residenciales</t>
  </si>
  <si>
    <t xml:space="preserve">A.3.1.3.1. Construcción de nuevos edificios residenciales o en Polonia </t>
  </si>
  <si>
    <t xml:space="preserve">Construcción de nuevos edificios residenciales o en Polonia </t>
  </si>
  <si>
    <t>Proyectos de construcción para edificios residenciales con vistas a venderlos.</t>
  </si>
  <si>
    <r>
      <rPr>
        <b/>
        <sz val="8"/>
        <color rgb="FF000000"/>
        <rFont val="Santander Text"/>
        <family val="2"/>
      </rPr>
      <t>¿De qué se trata?</t>
    </r>
    <r>
      <rPr>
        <sz val="8"/>
        <color rgb="FF000000"/>
        <rFont val="Santander Text"/>
        <family val="2"/>
      </rPr>
      <t xml:space="preserve"> Proyectos de construcción para edificios residenciales con vistas a venderlos. 
</t>
    </r>
    <r>
      <rPr>
        <b/>
        <sz val="8"/>
        <color rgb="FF000000"/>
        <rFont val="Santander Text"/>
        <family val="2"/>
      </rPr>
      <t xml:space="preserve">¿De qué NO se trata? </t>
    </r>
    <r>
      <rPr>
        <sz val="8"/>
        <color rgb="FF000000"/>
        <rFont val="Santander Text"/>
        <family val="2"/>
      </rPr>
      <t xml:space="preserve">Cualquier edifício con más de 5.000 m2 o localizado fuera de Polonia. </t>
    </r>
  </si>
  <si>
    <r>
      <t xml:space="preserve">Cumple UN criterio aplicable _
4. Los edificios nuevos aportan UNO de los siguientes certificados:
a. Eficiencia energética dentro del 15 % superior del parque edificatorio nacional o regional (PED).
b. LEED (Gold o superior).
c. BREEAM (Excellent o superior, donde “Very good” puede aceptarse con una puntuación mínima del 70 % en la categoría de Energía).
d. Certificación DGNB (Gold o superior).
e. EDGE (Advanced o Zero Carbon).
f. Passivhaus (Classic o superior).
g. Home Quality Mark (4 estrellas o superior).
h. NABERS (4,5 estrellas o superior).
i. PBE Edificia (calificación ENCE B).
j. Austin Energy Green Buildings.
k. BEAM Plus.
l. SCE.
m. CCS CASA Colombia.
n. Green Building Initiative.
o. WELL.
p. Lider A.
</t>
    </r>
    <r>
      <rPr>
        <sz val="8"/>
        <color rgb="FFFF0000"/>
        <rFont val="Santander Text"/>
      </rPr>
      <t>q.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</si>
  <si>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Demanda de energía primaria (PED) real, no modelada, inferior a 63/kWh/m2/año para propiedades residenciales unifamiliares; 58,5 kWh/m2/año para propiedades residenciales multifamiliares; 67,5 kWh/m2/año para edificios de residencia colectiva. _
- Para edificios de más de 5000 m2, se comunican a las partes interesadas las desviaciones de estanqueidad al aire e integridad térmica, así como los cálculos del PCA del ciclo de vida._
3. Cumple TODOS los criterios de economía circular:
- Identificación, separación, procesamiento, gestión, recogida y reciclaje de residuos (tasa del 90 %) mediante sistemas de clasificación y auditorías previas a la demolición.
- El PCA del ciclo de vida del edificio se calcula y se comunica a las partes interesadas que lo soliciten.
- Diseño de adaptabilidad probada al marco de información de nivel 2 de la UE.
- Uso de materiales secundarios y medición con herramientas electrónicas. 
- Hormigón/vidrio/ladrillo/cerámica: máx. 70 % de materia prima primaria.
- Biológico: máx. 80 % de materia prima primaria.
- Plástico no biológico: máx. 50 % de materia prima primaria.
- Metales: máx. 30 % de materia prima primaria.
- Yeso: máx. 65 % de materia prima principal.
- ISO 22057:2022 Declaración ambiental de producto. _</t>
  </si>
  <si>
    <t>Polonia – Construcción de edificios comerciales</t>
  </si>
  <si>
    <t>A.3.1.3.2. Polonia – Construcción de edificios comerciales</t>
  </si>
  <si>
    <t xml:space="preserve">A.3.1.3.2. Construcción de nuevos edificios comerciales o en Polonia </t>
  </si>
  <si>
    <t xml:space="preserve">Construcción de nuevos edificios comerciales o en Polonia </t>
  </si>
  <si>
    <r>
      <rPr>
        <b/>
        <sz val="8"/>
        <color rgb="FF000000"/>
        <rFont val="Santander Text"/>
        <family val="2"/>
      </rPr>
      <t xml:space="preserve">¿De qué se trata? </t>
    </r>
    <r>
      <rPr>
        <sz val="8"/>
        <color rgb="FF000000"/>
        <rFont val="Santander Text"/>
        <family val="2"/>
      </rPr>
      <t xml:space="preserve">Proyectos de construcción de edificios no residenciales con vistas a venderlos.
</t>
    </r>
    <r>
      <rPr>
        <b/>
        <sz val="8"/>
        <color rgb="FF000000"/>
        <rFont val="Santander Text"/>
        <family val="2"/>
      </rPr>
      <t xml:space="preserve">¿De qué NO se trata? </t>
    </r>
    <r>
      <rPr>
        <sz val="8"/>
        <color rgb="FF000000"/>
        <rFont val="Santander Text"/>
        <family val="2"/>
      </rPr>
      <t>Cualquier edifício de menos de 5 000 m2 o ubicado fuera de Polonia.</t>
    </r>
  </si>
  <si>
    <r>
      <t xml:space="preserve">Cumple UN criterio aplicable _
4. Los edificios nuevos aportan UNO de los siguientes certificados:
a. Eficiencia energética dentro del 15 % superior del parque edificatorio nacional o regional.
b. LEED (Gold o superior).
c. BREEAM (Excellent o superior, donde “Very good” puede aceptarse con una puntuación mínima del 70 % en la categoría de Energía).
d. Certificación DGNB (Gold o superior).
e. EDGE (Advanced o Zero Carbon).
f. Passivhaus (Classic o superior).
g. Home Quality Mark (4 estrellas o superior).
h. NABERS (4,5 estrellas o superior).
i. PBE Edificia (calificación ENCE B).
j. Austin Energy Green Buildings.
k. BEAM Plus.
l. SCE.
m. CCS CASA Colombia.
n. Green Building Initiative.
o. WELL.
p. Lider A.
</t>
    </r>
    <r>
      <rPr>
        <sz val="8"/>
        <color rgb="FFFF0000"/>
        <rFont val="Santander Text"/>
      </rPr>
      <t>q. Phius CORE 2021</t>
    </r>
    <r>
      <rPr>
        <sz val="8"/>
        <color rgb="FF000000"/>
        <rFont val="Santander Text"/>
        <family val="2"/>
      </rPr>
      <t>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</si>
  <si>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Demanda de energía primaria (PED) real, no modelada, inferior a 171/kWh/m2/año para edificios de servicios públicos (incluidos hospitales, centros comerciales, oficinas y edificios sanitarios); 40,5/kWh/m2/año para otros edificios públicos o 63/kWh/m2/año para edificios no públicos (edificios de servicios públicos, almacenes y edificios de producción). 
Para edificios de más de 5000 m2, se comunican a las partes interesadas las desviaciones de hermeticidad e integridad térmica, así como los cálculos del PCA del ciclo de vida. _
3. Cumple TODOS los criterios de economía circular:
-Identificación, separación, procesamiento, gestión, recogida y reciclaje de residuos (tasa del 90 %) mediante sistemas de clasificación y auditorías previas a la demolición.
-El PCA del ciclo de vida del edificio se calcula y se comunica a las partes interesadas que lo soliciten.
- Diseño de adaptabilidad probada al marco de información de nivel 2 de la UE.
- Uso de materiales secundarios y medición con herramientas electrónicas. 
- Hormigón/vidrio/ladrillo/cerámica: máx. 70 % de materia prima primaria.
- Biológico: máx. 80 % de materia prima primaria.
- Plástico no biológico: máx. 50 % de materia prima primaria.
- Metales: máx. 30 % de materia prima primaria.
- Yeso: máx. 65 % de materia prima principal.
- ISO 22057:2022 Declaración ambiental de producto. _</t>
  </si>
  <si>
    <t xml:space="preserve">Construcción de nuevos edifícios residenciales en Reino Unido </t>
  </si>
  <si>
    <t>A.3.1.4.1. Reino Unido - Construcción de nuevos edifícios residenciales</t>
  </si>
  <si>
    <t xml:space="preserve">A.3.1.4.1. Construcción de nuevos edificios residenciales o en el Reino Unido </t>
  </si>
  <si>
    <t xml:space="preserve">Construcción de nuevos edificios residenciales o en el Reino Unido </t>
  </si>
  <si>
    <r>
      <rPr>
        <sz val="8"/>
        <color rgb="FF000000"/>
        <rFont val="Santander Text"/>
        <family val="2"/>
      </rPr>
      <t xml:space="preserve">¿De qué se trata? Proyectos de construcción para edificios residenciales en el territorio del Reino Unido con vistas a venderlos. 
</t>
    </r>
    <r>
      <rPr>
        <b/>
        <sz val="8"/>
        <color rgb="FF000000"/>
        <rFont val="Santander Text"/>
        <family val="2"/>
      </rPr>
      <t>¿De qué NO se trata? ?</t>
    </r>
    <r>
      <rPr>
        <sz val="8"/>
        <color rgb="FF000000"/>
        <rFont val="Santander Text"/>
        <family val="2"/>
      </rPr>
      <t xml:space="preserve"> Cualquier edifício con más de 5.000 m2 o localizado fuera de Reino Unido. </t>
    </r>
  </si>
  <si>
    <r>
      <t xml:space="preserve">Cumple UN criterio aplicable _
4. Los edificios nuevos aportan UNO de los siguientes certificados:
a. Eficiencia energética dentro del 15 % superior del parque edificatorio nacional o regional (EPC superior a B).
b. LEED (Gold o superior).
c. BREEAM (Excellent o superior, donde “Very good” puede aceptarse con una puntuación mínima del 70 % en la categoría de Energía).
d. Certificación DGNB (Gold o superior).
e. EDGE (Advanced o Zero Carbon).
f. Passivhaus (Classic o superior).
g. Home Quality Mark (4 estrellas o superior).
h. NABERS (4,5 estrellas o superior).
i. PBE Edificia (calificación ENCE B).
j. Austin Energy Green Buildings.
k. BEAM Plus.
l. SCE.
m. CCS CASA Colombia.
n. Green Building Initiative.
o. WELL.
p. Lider A.
</t>
    </r>
    <r>
      <rPr>
        <sz val="8"/>
        <color rgb="FFFF0000"/>
        <rFont val="Santander Text"/>
      </rPr>
      <t>q. Phius CORE 2021</t>
    </r>
    <r>
      <rPr>
        <sz val="8"/>
        <color rgb="FF000000"/>
        <rFont val="Santander Text"/>
        <family val="2"/>
      </rPr>
      <t>_</t>
    </r>
  </si>
  <si>
    <t>Cumple UN criterio aplicable _
1. Obtención actual/esperada de UNO de los siguientes certificados:
a. HQE SB v4. Certificación 
b. PED que esté un 10 % por debajo de la Net Zero Energy Building Certification™ (NZEB) 
c. Certificación de la Iniciativa de Bonos Climáticos (CBI) para Edificios con Bajas Emisiones de Carbono _
2. 
- Demanda de energía primaria (PED) real, no modelada, inferior a 40/kWh/m2/año.
- Para edificios de más de 5000 m2, se comunican a las partes interesadas las desviaciones de hermeticidad e integridad térmica, así como los cálculos del PCA del ciclo de vida. _
3. Cumple TODOS los criterios de economía circular:
-Identificación, separación, procesamiento, gestión, recogida y reciclaje de residuos (tasa del 90 %) mediante sistemas de clasificación y auditorías previas a la demolición.
-Ciclo de vida del GWP del edificio calculado y comunicado a las partes interesadas que lo soliciten.
-Diseño de adaptabilidad probada al marco de información de nivel 2 de la UE.
-Uso de materiales secundarios y medición con herramientas electrónicas. 
-Hormigón/vidrio/ladrillo/cerámica: máx. 70 % de materia prima primaria.
-De base biológica: máx. 80 % de materia prima primaria.
-Plástico no de base biológica: máx. 50 % de materia prima primaria.
-Metales: máx. 30 % de materia prima primaria.
-Yeso: máx. 65 % de materia prima primaria.
- ISO 22057:2022 Declaración Ambiental de Producto. _</t>
  </si>
  <si>
    <t>Resto de países – Construcción de edificios residenciales</t>
  </si>
  <si>
    <t>A.3.1.5.1. Resto de países – Construcción de edificios residenciales</t>
  </si>
  <si>
    <t>A.3.1.5.1. Construcción de nuevos edificios residenciales en todos los demás países (incluidos los de la UE y los no pertenecientes a la UE)</t>
  </si>
  <si>
    <t xml:space="preserve">Construcción de nuevos edificios residenciales en todos los demás países (incluidos los de la UE y los no pertenecientes a la UE)
</t>
  </si>
  <si>
    <t xml:space="preserve">Proyectos de construcción para edificios residenciales con vistas a venderlos. </t>
  </si>
  <si>
    <r>
      <rPr>
        <b/>
        <sz val="8"/>
        <color rgb="FF000000"/>
        <rFont val="Santander Text"/>
        <family val="2"/>
      </rPr>
      <t xml:space="preserve">¿De qué se trata? </t>
    </r>
    <r>
      <rPr>
        <sz val="8"/>
        <color rgb="FF000000"/>
        <rFont val="Santander Text"/>
        <family val="2"/>
      </rPr>
      <t xml:space="preserve">Proyectos de construcción para edificios residenciales con vistas a venderlos. 
</t>
    </r>
    <r>
      <rPr>
        <b/>
        <sz val="8"/>
        <color rgb="FF000000"/>
        <rFont val="Santander Text"/>
        <family val="2"/>
      </rPr>
      <t xml:space="preserve">¿De qué NO se trata? </t>
    </r>
    <r>
      <rPr>
        <sz val="8"/>
        <color rgb="FF000000"/>
        <rFont val="Santander Text"/>
        <family val="2"/>
      </rPr>
      <t xml:space="preserve">Cualquier edificio de más de 5.000 m2 o ubicado en España, Portugal, Polonia o Reino Unido. </t>
    </r>
  </si>
  <si>
    <r>
      <t xml:space="preserve">Cumple UN criterio aplicable _
4. Obtención actual o prevista de uno de los siguientes certificados y puntuaciones:
a. Certificado EPC / PED dentro del 15 % superior (ver tabla inferior*).
b. LEED (Gold o superior).
c. BREEAM (Excellent o superior / “Very good” aceptable con una puntuación mínima del 70 % en la categoría de Energía).
d. Certificación DGNB (Gold o superior).
e. EDGE (Advanced o Zero Carbon); EDGE (Certified – Nivel 1) para Chile, Brasil, Uruguay, Colombia </t>
    </r>
    <r>
      <rPr>
        <sz val="8"/>
        <color rgb="FFFF0000"/>
        <rFont val="Santander Text"/>
      </rPr>
      <t>,</t>
    </r>
    <r>
      <rPr>
        <strike/>
        <sz val="8"/>
        <color rgb="FFFF0000"/>
        <rFont val="Santander Text"/>
      </rPr>
      <t>y</t>
    </r>
    <r>
      <rPr>
        <sz val="8"/>
        <color rgb="FFFF0000"/>
        <rFont val="Santander Text"/>
      </rPr>
      <t>,</t>
    </r>
    <r>
      <rPr>
        <sz val="8"/>
        <color rgb="FF000000"/>
        <rFont val="Santander Text"/>
        <family val="2"/>
      </rPr>
      <t xml:space="preserve">Perú, </t>
    </r>
    <r>
      <rPr>
        <sz val="8"/>
        <color rgb="FFFF0000"/>
        <rFont val="Santander Text"/>
      </rPr>
      <t>Argentina, o cualquier otro país donde pueda realizarse una evaluación equivalente, demostrando que los edificios con esta certificación forman parte del Top 15 %.</t>
    </r>
    <r>
      <rPr>
        <sz val="8"/>
        <color rgb="FF000000"/>
        <rFont val="Santander Text"/>
        <family val="2"/>
      </rPr>
      <t xml:space="preserve">
f. Energy Star para edificios (85 o superior).
g. Green Globes (tres globos o superior).
h. HQE (Excellent o superior).
i. Living Building Challenge.
j. Minergie (Minergie-A y Minergie estándar).
k. Passivhaus (Classic o superior).
l. Aqua-HQE (Excellent o superior).
m. Calificación Energética de Viviendas CEV (calificación A y B).
n. Eco-casa (Nivel 1 o superior).
o. NGBS (Gold o superior).
p. Home Quality Mark (4 estrellas o superior).
q. NABERS (4,5 estrellas o superior).
r. PBE Edificia (calificación ENCE B).
s. CCCS CASA Colombia v3.0.
t. Austin Energy Green Buildings.
u. BEAM Plus.
v. SCE.
w. Green Building Initiative.
x. WELL.
y. Lider A.
</t>
    </r>
    <r>
      <rPr>
        <sz val="8"/>
        <color rgb="FFFF0000"/>
        <rFont val="Santander Text"/>
      </rPr>
      <t>z.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</si>
  <si>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la región y la zona climática de los edificios (consulte la tabla siguiente*).
[TABLA A.3.1.5.1.] _
Para los edificios de más de 5000 m2, se comunican a las partes interesadas las desviaciones de hermeticidad e integridad térmica, así como los cálculos del PCA del ciclo de vida. _
3. Cumple TODOS los criterios de economía circular:
- Identificación, separación, procesamiento, gestión, recogida y reciclaje de residuos (tasa del 90 %) mediante sistemas de clasificación y auditorías previas a la demolición.
- Ciclo de vida del GWP del edificio calculado y comunicado a las partes interesadas que lo soliciten.
- Diseño de adaptabilidad probada al marco de información de nivel 2 de la UE.
- Uso de materiales secundarios y medición con herramientas electrónicas. 
- Hormigón/vidrio/ladrillo/cerámica: máx. 70 % de materia prima primaria
- De base biológica: máx. 80 % de materia prima primaria
- Plástico no de base biológica: máx. 50 % de materia prima primaria
- Metales: máx. 30 % de materia prima primaria
- Yeso: máx. 65 % de materia prima primaria
- ISO 22057:2022 Declaración Ambiental de Producto. _</t>
  </si>
  <si>
    <t>Resto de países y Reino Unido- Construcción de edificios comerciales</t>
  </si>
  <si>
    <t>A.3.1.5.2. Resto de países y Reino Unido- Construcción de edificios comerciales</t>
  </si>
  <si>
    <t xml:space="preserve">A.3.1.5.2. Construcción de nuevos edificios comerciales o en todos los demás países (incluidos los de la UE y de terceros países) </t>
  </si>
  <si>
    <t xml:space="preserve">Construcción de nuevos edificios comerciales o en todos los demás países (incluidos los de la UE y de terceros países) </t>
  </si>
  <si>
    <r>
      <rPr>
        <b/>
        <sz val="8"/>
        <color rgb="FF000000"/>
        <rFont val="Santander Text"/>
        <family val="2"/>
      </rPr>
      <t>¿De qué se trata?</t>
    </r>
    <r>
      <rPr>
        <sz val="8"/>
        <color rgb="FF000000"/>
        <rFont val="Santander Text"/>
        <family val="2"/>
      </rPr>
      <t xml:space="preserve"> Proyectos de construcción para edificios no residenciales con vistas a venderlos. 
</t>
    </r>
    <r>
      <rPr>
        <b/>
        <sz val="8"/>
        <color rgb="FF000000"/>
        <rFont val="Santander Text"/>
        <family val="2"/>
      </rPr>
      <t xml:space="preserve">¿De qué NO se trata? </t>
    </r>
    <r>
      <rPr>
        <sz val="8"/>
        <color rgb="FF000000"/>
        <rFont val="Santander Text"/>
        <family val="2"/>
      </rPr>
      <t>Cualquier edificio de menos de 5.000 m2 o ubicado en España, Portugal o Polonia.</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</si>
  <si>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 Cumple con los umbrales y puntuaciones establecidos según el año de construcción, la región y la zona climática de los edificios (consulte la tabla siguiente*). 
[TABLA A.3.1.5.2.]
- Para edificios de más de 5000 m2, se comunican a las partes interesadas las desviaciones de hermeticidad e integridad térmica, así como los cálculos del PCA del ciclo de vida. _
3. Cumple TODOS los criterios de economía circular:
- Identificación, separación, procesamiento, gestión, recogida y reciclaje de residuos (tasa del 90 %) mediante sistemas de clasificación y auditorías previas a la demolición.
- Ciclo de vida del GWP del edificio calculado y comunicado a las partes interesadas que lo soliciten.
- Diseño de adaptabilidad probada al marco de información de nivel 2 de la UE.
- Uso de materiales secundarios y medición con herramientas electrónicas. 
- Hormigón/vidrio/ladrillo/cerámica: máx. 70 % de materia prima primaria.
- De base biológica: máx. 80 % de materia prima primaria.
- Plástico no de base biológica: máx. 50 % de materia prima primaria.
- Metales: máx. 30 % de materia prima primaria.
- Yeso: máx. 65 % de materia prima primaria.
- ISO 22057:2022 Declaración ambiental de producto. _</t>
  </si>
  <si>
    <t>A.3.2. Renovación de edificios existentes</t>
  </si>
  <si>
    <t>Renovación de edificios existentes</t>
  </si>
  <si>
    <t xml:space="preserve">Obras de construcción e ingeniería civil o su preparación. </t>
  </si>
  <si>
    <r>
      <rPr>
        <b/>
        <sz val="8"/>
        <color rgb="FF000000"/>
        <rFont val="Santander Text"/>
        <family val="2"/>
      </rPr>
      <t>¿De qué se trata?</t>
    </r>
    <r>
      <rPr>
        <sz val="8"/>
        <color rgb="FF000000"/>
        <rFont val="Santander Text"/>
        <family val="2"/>
      </rPr>
      <t xml:space="preserve"> Obras de construcción e ingeniería civil o su preparación. </t>
    </r>
  </si>
  <si>
    <r>
      <t xml:space="preserve">Cumple UN criterio aplicable _
4. Obtención actual / esperada de uno de esos certificados y puntuaciones </t>
    </r>
    <r>
      <rPr>
        <sz val="8"/>
        <color rgb="FFFF0000"/>
        <rFont val="Santander Text"/>
      </rPr>
      <t>(como resultado de la financiación recibida o por recibir)</t>
    </r>
    <r>
      <rPr>
        <sz val="8"/>
        <color theme="1"/>
        <rFont val="Santander Text"/>
        <family val="2"/>
      </rPr>
      <t xml:space="preserve">:
a. EPC dentro del 15% superior del parque edificatorio nacional/regional, tales como:
- España:
     -  C o superior en Andalucía, Aragón, Baleares, Castilla y León, Castilla-La Mancha, Ceuta, Galicia, Madrid, Melilla, Navarra, La Rioja
     -  D o superior en Asturias, Canarias, Cantabria, Cataluña, Extremadura, Murcia, País Vasco, Valencia
-  Portugal: calificación EPC B
- Polonia: EPC con PED &lt; 76,59 si es residencial / 118,2 si es comercial
- Reino Unido: calificación EPC B para Inglaterra, Escocia, Gales e Irlanda del Norte (SAP&gt;79)
- Otros países: a determinar localmente
  b. LEED (Oro o superior)
  c. BREEAM (Excelente o superior / “Muy bueno” con una puntuación mínima del 70% en la categoría de Energía)
  d. EDGE (Avanzado (L2) o Cero Carbono (L3) para la UE / países desarrollados)
  e. EDGE certificado (L1) para mercados emergentes
  f. Passivhaus (Clásico o superior)
  g. Energy Star para edificios (85 o superior)
  h. Green Globes (Tres globos o superior)
  i. Minergie (Minergie A y Minergie Estándar)
  j. Calificación Energética de Viviendas CEV (Calificación A y A+)
  k. NGBS (Oro o superior)
  l. Aqua-HQE (Excelente o superior)
  m. BCA Greenmark (Gold Plus o superior)
  n. Adene Certificação de eficiência energética e qualidade do ar (SCE)
  o. Home Quality Mark (4 estrellas o superior)
  p. NABERS (4,5 estrellas o superior)
  q. Austin Energy Green Buildings
  r. BEAM Plus
  s. Lider A
 </t>
    </r>
    <r>
      <rPr>
        <sz val="8"/>
        <color rgb="FFFF0000"/>
        <rFont val="Santander Text"/>
      </rPr>
      <t xml:space="preserve"> t. Phius CORE 2021</t>
    </r>
    <r>
      <rPr>
        <sz val="8"/>
        <color theme="1"/>
        <rFont val="Santander Text"/>
        <family val="2"/>
      </rPr>
      <t xml:space="preserve">
  </t>
    </r>
    <r>
      <rPr>
        <strike/>
        <sz val="8"/>
        <color rgb="FFFF0000"/>
        <rFont val="Santander Text"/>
      </rPr>
      <t>t.</t>
    </r>
    <r>
      <rPr>
        <sz val="8"/>
        <color rgb="FFFF0000"/>
        <rFont val="Santander Text"/>
      </rPr>
      <t>u.</t>
    </r>
    <r>
      <rPr>
        <sz val="8"/>
        <color theme="1"/>
        <rFont val="Santander Text"/>
        <family val="2"/>
      </rPr>
      <t>Calificaciones equivalentes de eficiencia energética. El criterio de referencia para las equivalencias es que las calificaciones energéticas resultantes se alineen ampliamente con la noción de situarse en el 15% superior de eficiencia energética del sector inmobiliario en la región/país _</t>
    </r>
  </si>
  <si>
    <r>
      <t xml:space="preserve">Cumple UN criterio aplicable _
1. Obtención actual/prevista de uno de los siguientes certificados </t>
    </r>
    <r>
      <rPr>
        <sz val="8"/>
        <color rgb="FFFF0000"/>
        <rFont val="Santander Text"/>
      </rPr>
      <t>(como resultado de la financiación recibida o por recibir):</t>
    </r>
    <r>
      <rPr>
        <sz val="8"/>
        <color theme="1"/>
        <rFont val="Santander Text"/>
        <family val="2"/>
      </rPr>
      <t xml:space="preserve">
a. HQE SB v4. Certificación 
b. Sistema DGNB para la renovación de edificios
La traducción sería:
c. </t>
    </r>
    <r>
      <rPr>
        <strike/>
        <sz val="8"/>
        <color rgb="FFFF0000"/>
        <rFont val="Santander Text"/>
      </rPr>
      <t>PED con Certificación de Edificio de Energía Cero Neto™ (NZEB)</t>
    </r>
    <r>
      <rPr>
        <sz val="8"/>
        <color rgb="FFFF0000"/>
        <rFont val="Santander Text"/>
      </rPr>
      <t xml:space="preserve"> que esté un 10 % por debajo de la Certificación de Edificio de Energía Cero Neto™ (NZEB)</t>
    </r>
    <r>
      <rPr>
        <sz val="8"/>
        <color theme="1"/>
        <rFont val="Santander Text"/>
        <family val="2"/>
      </rPr>
      <t xml:space="preserve">
d. Certificación de la Iniciativa de Bonos Climáticos (CBI) para edificios con bajas emisiones de carbono _
2. Modernización de edificios existentes que logran una reducción mínima del 30 % en la demanda de energía primaria (PED). _
3. Cumple TODOS los criterios de la economía circular:
- Identificación, separación, procesamiento, gestión, recogida y reciclaje de residuos (tasa del 90 %) mediante sistemas de clasificación y auditorías previas a la demolición.
- Ciclo de vida del GWP del edificio calculado y comunicado a las partes interesadas que lo soliciten.
- Diseño probado de adaptabilidad al marco de información de nivel 2 de la UE.
- Uso de materiales secundarios y medición con herramientas electrónicas. 
- Hormigón/vidrio/ladrillo/cerámica: máx. 70 % de materia prima primaria.
- Biológico: máx. 80 % de materia prima primaria.
- Plástico no biológico: máx. 50 % de materia prima primaria.
- Metales: máx. 30 % de materia prima primaria.
- Yeso: máx. 30 % de materia prima primaria.
 ISO 22057:2022 Declaración ambiental de producto.</t>
    </r>
  </si>
  <si>
    <t>Adquisición de edificios</t>
  </si>
  <si>
    <t>España – Adquisición de edificios residenciales</t>
  </si>
  <si>
    <t>A.3.7.1.1. España – Adquisición de edificios residenciales</t>
  </si>
  <si>
    <t xml:space="preserve">A.3.7.1.1. Adquisición y propiedad de edificios residenciales en España </t>
  </si>
  <si>
    <t xml:space="preserve">Adquisición y propiedad de edificios residenciales en España </t>
  </si>
  <si>
    <t>Adquisición de edificios residenciales</t>
  </si>
  <si>
    <r>
      <rPr>
        <b/>
        <sz val="8"/>
        <color rgb="FF000000"/>
        <rFont val="Santander Text"/>
        <family val="2"/>
      </rPr>
      <t xml:space="preserve">¿De qué se trata? </t>
    </r>
    <r>
      <rPr>
        <sz val="8"/>
        <color rgb="FF000000"/>
        <rFont val="Santander Text"/>
        <family val="2"/>
      </rPr>
      <t>Adquisición de edificios residenciales en territorio español y proporciona uno de los siguientes certificados</t>
    </r>
  </si>
  <si>
    <r>
      <t xml:space="preserve">Cumple UN criterio aplicable _
2. Cumple con los umbrales y puntuaciones establecidos según el año de construcción del edificio, la región y la zona climática (consulte la tabla inferior).*
[TABLA A.3.7.1.1.]
En el caso del criterio Santander, considerar EPC mínimo si se construyó DESPUÉS de 2021. _
3. Obtención actual / prevista de uno de esos certificados y puntuaciones:
a. Criterio nº 2 aplicado a edificios construidos antes de 2021
b. LEED (Gold o superior)
c. BREEAM (Excellent o superior / “Very good” con una puntuación mínima del 70% en la categoría de Energía
d. Certificación DGNB (Gold o superior)
e. EDGE (Advanced o Zero Carbon)
f. Passivhaus (Classic o superior).
g. Home Quality Mark (4 starts o superior)
h. NABERS (4,5 stars o superior)
i. PBE Edificia (calificación ENCE B)
j. Austin Energy Green Buildings
k. BEAM Plus
l. SCE
m. CCS CASA Colombia
n. Green Building Initiative
o. WELL
p. Lider A
</t>
    </r>
    <r>
      <rPr>
        <sz val="8"/>
        <color rgb="FFFF0000"/>
        <rFont val="Santander Text"/>
      </rPr>
      <t>q. Phius CORE 2021</t>
    </r>
    <r>
      <rPr>
        <sz val="8"/>
        <color theme="1"/>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</si>
  <si>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la región y la zona climática de los edificios (consulte la tabla siguiente*).
[TABLA A.3.7.1.1.]
En el caso del criterio de Santander, considere el EPC mínimo si se construye DESPUÉS de 2021. _</t>
  </si>
  <si>
    <t>España – Adquisición de edificios comerciales</t>
  </si>
  <si>
    <t>A.3.7.1.2. España – Adquisición de edificios comerciales</t>
  </si>
  <si>
    <t xml:space="preserve">A.3.7.1.2. Adquisición y propiedad de edificios comerciales en España </t>
  </si>
  <si>
    <t xml:space="preserve">Adquisición y propiedad de edificios comerciales en España </t>
  </si>
  <si>
    <t>Adquisición de edificios comerciales</t>
  </si>
  <si>
    <r>
      <rPr>
        <b/>
        <sz val="8"/>
        <color rgb="FF000000"/>
        <rFont val="Santander Text"/>
        <family val="2"/>
      </rPr>
      <t>¿De qué se trata?</t>
    </r>
    <r>
      <rPr>
        <sz val="8"/>
        <color rgb="FF000000"/>
        <rFont val="Santander Text"/>
        <family val="2"/>
      </rPr>
      <t xml:space="preserve"> Adquisición de edificios comerciales en territorio español y proporciona uno de los siguientes certificados:</t>
    </r>
  </si>
  <si>
    <r>
      <t xml:space="preserve">Cumple UN criterio aplicable _
2. Cumple con los umbrales y puntuaciones establecidos según el año de construcción del edificio, la región y la zona climática (consulte la tabla inferior).*
[TABLA A.3.7.1.2.]
En el caso del criterio Santander, considerar EPC mínimo si se construyó DESPUÉS de 2021. _
3. Obtención actual / prevista de uno de esos certificados y puntuaciones:
a. Criterio nº 2 aplicado a edificios construidos antes de 2021
b. LEED (Gold o superior)
c. BREEAM (Excellent o superior / “Very good” con una puntuación mínima del 70% en la categoría de Energía
d. Certificación DGNB (Gold o superior)
e. EDGE (Advanced o Zero Carbon)
f. Passivhaus (Classic o superior).
g. Home Quality Mark (4 starts o superior)
h. NABERS (4,5 stars o superior)
i. PBE Edificia (calificación ENCE B)
j. Austin Energy Green Buildings
k. BEAM Plus
l. SCE
m. CCS CASA Colombia
n. Green Building Initiative
o. WELL
p. Lider A
</t>
    </r>
    <r>
      <rPr>
        <sz val="8"/>
        <color rgb="FFFF0000"/>
        <rFont val="Santander Text"/>
      </rPr>
      <t>q. Phius CORE 2021</t>
    </r>
    <r>
      <rPr>
        <sz val="8"/>
        <color theme="1"/>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</si>
  <si>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la región y la zona climática de los edificios (consulte la tabla siguiente*).
[TABLA A.3.7.1.2.]
En el caso del criterio de Santander, considere el EPC mínimo si se construye DESPUÉS DE 2021. _</t>
  </si>
  <si>
    <t>Portugal – Adquisición de edificios residenciales</t>
  </si>
  <si>
    <t>A.3.7.2.1. Portugal – Adquisición de edificios residenciales</t>
  </si>
  <si>
    <t xml:space="preserve">A.3.7.2.1. Adquisición y propiedad de edificios residenciales en Portugal </t>
  </si>
  <si>
    <t xml:space="preserve">Adquisición y propiedad de edificios residenciales en Portugal </t>
  </si>
  <si>
    <r>
      <rPr>
        <b/>
        <sz val="8"/>
        <color rgb="FF000000"/>
        <rFont val="Santander Text"/>
        <family val="2"/>
      </rPr>
      <t>¿De qué se trata?</t>
    </r>
    <r>
      <rPr>
        <sz val="8"/>
        <color rgb="FF000000"/>
        <rFont val="Santander Text"/>
        <family val="2"/>
      </rPr>
      <t xml:space="preserve"> Adquisición de edificios residenciales en territorio portugués y entrega uno de los siguientes certificados: </t>
    </r>
  </si>
  <si>
    <r>
      <t xml:space="preserve">Cumple UN criterio aplicable _
2. Cumple con los umbrales y puntuaciones establecidos según el año de construcción del edificio (consulte la tabla inferior).
[Tabla A.3.7.2.1.]
En el caso del criterio Santander, considerar EPC mínimo si se construyó DESPUÉS de 2021. _
3. Obtención actual / prevista de uno de esos certificados y puntuaciones:
a. Criterio nº 2 aplicado a edificios construidos antes de 2021
b. LEED (Gold o superior)
c. BREEAM (Excellent o superior / “Very good” con una puntuación mínima del 70% en la categoría de Energía
d. Certificación DGNB (Gold o superior)
e. EDGE (Advanced o Zero Carbon)
f. Passivhaus (Classic o superior)
g. Home Quality Mark (4 starts o superior)
h. NABERS (4,5 stars o superior)
i. PBE Edificia (calificación ENCE B)
j. Lider A (nivel C o superior, siempre que cumpla con el Top 15% más eficiente si se construyó antes del 31 de diciembre de 2020).
k. Adene Certificação de eficiência energética e qualidade do ar (SCE – clasificación A o superior, siempre que represente el top. 15% más eficiente si se construyó antes del 31 de diciembre de 2020)
l. Austin Energy Green Buildings
m. BEAM Plus
n. SCE
o. CCS CASA Colombia
p. Green Building Initiative
q. WELL
</t>
    </r>
    <r>
      <rPr>
        <sz val="8"/>
        <color rgb="FFFF0000"/>
        <rFont val="Santander Text"/>
      </rPr>
      <t>r. Phius CORE 2021</t>
    </r>
    <r>
      <rPr>
        <sz val="8"/>
        <color theme="1"/>
        <rFont val="Santander Text"/>
        <family val="2"/>
      </rPr>
      <t xml:space="preserve"> _</t>
    </r>
  </si>
  <si>
    <t>Cumple UN criterio aplicable _
1. Obtención actual/prevista de uno de los siguientes certificados:
a. HQE SB v4. Certificación 
b. PED es el 10 % por debajo de la Net Zero Energy Building Certification™ (NZEB) 
c. Certificación de la Iniciativa de Bonos Climáticos (CBI) para Edificios con Bajas Emisiones de Carbono _
2. Cumple con los umbrales y puntuaciones establecidos según el año de construcción de los edificios (véase la tabla siguiente).
[Tabla A.3.7.2.1.]
En el caso del criterio de Santander, considere el EPC mínimo si se construye DESPUÉS de 2021. _</t>
  </si>
  <si>
    <t>Portugal – Adquisición de edificios comerciales</t>
  </si>
  <si>
    <t>A.3.7.2.2. Portugal – Adquisición de edificios comerciales</t>
  </si>
  <si>
    <t xml:space="preserve">A.3.7.2.2. Adquisición y propiedad de edificios comerciales o en Portugal </t>
  </si>
  <si>
    <t xml:space="preserve">Adquisición y propiedad de edificios comerciales o en Portugal </t>
  </si>
  <si>
    <r>
      <rPr>
        <b/>
        <sz val="8"/>
        <color rgb="FF000000"/>
        <rFont val="Santander Text"/>
        <family val="2"/>
      </rPr>
      <t>¿De qué se trata?</t>
    </r>
    <r>
      <rPr>
        <sz val="8"/>
        <color rgb="FF000000"/>
        <rFont val="Santander Text"/>
        <family val="2"/>
      </rPr>
      <t xml:space="preserve"> Adquisición de edificios comerciales en territorio portugués que disponen de uno de los siguientes certificados:</t>
    </r>
  </si>
  <si>
    <r>
      <t xml:space="preserve">Cumple UN criterio aplicable _
2. Cumple con los umbrales y puntuaciones establecidos según el año de construcción del edificio (consulte la tabla inferior).
[TABLA A.3.7.2.2.]
Considerar EPC mínimo si se construyó DESPUÉS de 2021. _
3. Obtención actual / prevista de uno de esos certificados y puntuaciones:
a. Criterio nº 2 aplicado a edificios construidos antes de 2021
b. LEED (Gold o superior)
c. BREEAM (Excellent o superior / “Very good” con una puntuación mínima del 70% en la categoría de Energía
d. Certificación DGNB (Gold o superior)
e. EDGE (Advanced o Zero Carbon)
f. Passivhaus (Classic o superior)
g. Home Quality Mark (4 starts o superior)
h. NABERS (4,5 stars o superior)
i. PBE Edificia (calificación ENCE B)
j. Lider A (nivel C o superior, siempre que cumpla con el Top 15% más eficiente si se construyó antes del 31 de diciembre de 2020).
k. Adene Certificação de eficiência energética e qualidade do ar (SCE – clasificación A o superior, siempre que represente el top. 15% más eficiente si se construyó antes del 31 de diciembre de 2020)
l. Austin Energy Green Buildings
m. BEAM Plus
n. SCE
o. CCS CASA Colombia
p. Green Building Initiative
q. WELL
</t>
    </r>
    <r>
      <rPr>
        <sz val="8"/>
        <color rgb="FFFF0000"/>
        <rFont val="Santander Text"/>
      </rPr>
      <t>r.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</si>
  <si>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de los edificios (véase la tabla siguiente).
[TABLA A.3.7.2.2.]
Considerar EPC mínimo si se construye DESPUÉS de 2021. _</t>
  </si>
  <si>
    <t>Polonia – Adquisición de edificios residenciales</t>
  </si>
  <si>
    <t xml:space="preserve"> A.3.7.3.1.  Polonia – Adquisición de edificios residenciales</t>
  </si>
  <si>
    <t xml:space="preserve">A.3.7.3.1. Adquisición y propiedad de edificios residenciales en Polonia </t>
  </si>
  <si>
    <t xml:space="preserve">Adquisición y propiedad de edificios residenciales en Polonia </t>
  </si>
  <si>
    <r>
      <rPr>
        <b/>
        <sz val="8"/>
        <color rgb="FF000000"/>
        <rFont val="Santander Text"/>
        <family val="2"/>
      </rPr>
      <t>¿De qué se trata?</t>
    </r>
    <r>
      <rPr>
        <sz val="8"/>
        <color rgb="FF000000"/>
        <rFont val="Santander Text"/>
        <family val="2"/>
      </rPr>
      <t xml:space="preserve"> Adquisición de edificios residenciales en territorio polaco que disponen de uno de los siguientes certificados: </t>
    </r>
  </si>
  <si>
    <r>
      <t xml:space="preserve">Cumple UN criterio aplicable _
2. Cumple con los umbrales y puntuaciones establecidos según el año de construcción del edificio (consulte la tabla inferior).
[TABLA A.3.7.3.1.]
En el caso del criterio Santander, considerar EPC mínimo si se construyó DESPUÉS de 2021. _
3. Los edificios nuevos aportan UNO de los siguientes certificados:
a. Eficiencia energética dentro del 15% superior del parque edificatorio nacional o regional (PED) por debajo de 76.59/kWh/m2/año (a noviembre de 2023).
b. LEED (Gold o superior)
c. BREEAM (Excellent o superior donde “Very good” puede aceptarse con una puntuación mínima del 70% en la categoría de Energía)
d. Certificación DGNB (Gold o superior)
e. EDGE (Advanced o Zero Carbon)
f. Passivhaus (Classic o superior).
g. Home Quality Mark (4 starts o superior)
h. NABERS (4,5 stars o superior)
i. PBE Edificia (calificación ENCE B)
j. Austin Energy Green Buildings
k. BEAM Plus
l. SCE
m. CCS CASA Colombia
n. Green Building Initiative
o. WELL
p. Lider A
</t>
    </r>
    <r>
      <rPr>
        <sz val="8"/>
        <color rgb="FFFF0000"/>
        <rFont val="Santander Text"/>
      </rPr>
      <t>q.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</si>
  <si>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de los edificios (véase la tabla siguiente).
[TABLA A.3.7.3.1.]
En el caso del criterio de Santander, considere el EPC mínimo si se construye DESPUÉS de 2021. _</t>
  </si>
  <si>
    <t>Polonia – Adquisición de edificios comerciales</t>
  </si>
  <si>
    <t xml:space="preserve"> A.3.7.3.2. Polonia – Adquisición de edificios comerciales</t>
  </si>
  <si>
    <t xml:space="preserve">A.3.7.3.2. Adquisición y propiedad de edificios comerciales en Polonia </t>
  </si>
  <si>
    <t xml:space="preserve">Adquisición y propiedad de edificios comerciales en Polonia </t>
  </si>
  <si>
    <r>
      <rPr>
        <b/>
        <sz val="8"/>
        <color rgb="FF000000"/>
        <rFont val="Santander Text"/>
        <family val="2"/>
      </rPr>
      <t xml:space="preserve">¿De qué se trata? </t>
    </r>
    <r>
      <rPr>
        <sz val="8"/>
        <color rgb="FF000000"/>
        <rFont val="Santander Text"/>
        <family val="2"/>
      </rPr>
      <t xml:space="preserve">Adquisición de edificios comerciales en territorio polaco que disponen de uno de los siguientes certificados: </t>
    </r>
  </si>
  <si>
    <r>
      <t xml:space="preserve">Cumple UN criterio aplicable _
2. Cumple con los umbrales y puntuaciones establecidos según el año de construcción de los edificios (ver tabla inferior).
[TABLA A.3.7.3.2.]
Para el criterio Santander, considerar el EPC mínimo si se construyó DESPUÉS de 2021. _
3. Obtención actual/prevista de uno de estos certificados y puntuaciones:
a. Edificios construidos después del 31 de diciembre de 2020 que se encuentren dentro del 15% superior de eficiencia energética (PED &lt; 118.26 kWh/m2/año en Polonia).
b. LEED (Gold o superior)
c. BREEAM (Excellent o superior / ‘Very good’ con una puntuación mínima del 70 % en la categoría de Energía)
d. Certificación DGNB (Gold o superior)
e. EDGE (Advanced o Zero Carbon)
f. Passivhaus (Classic o superior)
g. Home Quality Mark (4 stars o superior)
h. NABERS (4,5 stars o superior)
i. PBE Edificia (calificación ENCE B)
j. Austin Energy Green Buildings
k. BEAM Plus
l. SCE
m. CCS CASA Colombia
n. Green Building Initiative
o. WELL
p. Lider A
</t>
    </r>
    <r>
      <rPr>
        <sz val="8"/>
        <color rgb="FFFF0000"/>
        <rFont val="Santander Text"/>
      </rPr>
      <t>q.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</si>
  <si>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de los edificios (véase la tabla siguiente).
[TABLA A.3.7.3.2.]
En el caso del criterio de Santander, considere el EPC mínimo si se construye DESPUÉS de 2021. _</t>
  </si>
  <si>
    <t>Reino Unido – Adquisición de edificios residenciales</t>
  </si>
  <si>
    <t>A.3.7.4.1. Reino Unido – Adquisición de edificios residenciales</t>
  </si>
  <si>
    <t xml:space="preserve">A.3.7.4.1. Adquisición y propiedad de edificios residenciales en el Reino Unido </t>
  </si>
  <si>
    <t xml:space="preserve">Adquisición y propiedad de edificios residenciales en el Reino Unido </t>
  </si>
  <si>
    <r>
      <rPr>
        <b/>
        <sz val="8"/>
        <color rgb="FF000000"/>
        <rFont val="Santander Text"/>
        <family val="2"/>
      </rPr>
      <t xml:space="preserve">¿De qué se trata? </t>
    </r>
    <r>
      <rPr>
        <sz val="8"/>
        <color rgb="FF000000"/>
        <rFont val="Santander Text"/>
        <family val="2"/>
      </rPr>
      <t>Adquisición de edificios residenciales en el territorio de Reino Unido que disponen de uno de los siguientes certificados:</t>
    </r>
  </si>
  <si>
    <r>
      <t xml:space="preserve">Cumple UN criterio aplicable _
2. Cumple con los umbrales y puntuaciones establecidos según el año de construcción de los edificios (consulte la tabla inferior).
[TABLA A.3.7.4.1.]
En el caso del criterio Santander: considerar EPC mínimo si se construyó DESPUÉS de 2021. _
3. Obtención actual/prevista de uno de estos certificados y puntuaciones:
a. Edificios construidos después del 31 de diciembre de 2020 que se encuentren dentro del 15% superior del rendimiento energético del parque edificatorio (EPC B o superior para Inglaterra, Gales, Escocia e Irlanda del Norte (SAP superior a 79).
b. LEED (Gold o superior)
c. BREEAM (Excellent o superior / ‘Very Good’ con una puntuación mínima del 70% en la categoría de Energía.
d. Certificación DGNB (Gold o superior)
e. EDGE (Advanced o Zero Carbon)
f. Passivhaus (Classic o superior)
g. Home Quality Mark (4 estrellas o superior)
h. NABERS (4,5 estrellas o superior)
i. PBE Edificia (calificación ENCE B)
j. Austin Energy Green Buildings
k. BEAM Plus
l. SCE
m. CCS CASA Colombia
n. Green Building Initiative
o. WELL
p. Lider A
</t>
    </r>
    <r>
      <rPr>
        <sz val="8"/>
        <color rgb="FFFF0000"/>
        <rFont val="Santander Text"/>
      </rPr>
      <t>q. Phius CORE 2021</t>
    </r>
    <r>
      <rPr>
        <sz val="8"/>
        <color rgb="FF000000"/>
        <rFont val="Santander Text"/>
        <family val="2"/>
      </rPr>
      <t xml:space="preserve">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</si>
  <si>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de los edificios (véase la tabla siguiente).
[TABLA A.3.7.4.1.]
Caso del criterio de Santander: Considerar EPC mínimo si se construye DESPUÉS de 2021. _</t>
  </si>
  <si>
    <t>Resto de países – Adquisición de edificios residenciales</t>
  </si>
  <si>
    <t>A.3.7.5.1. Resto de países – Adquisición de edificios residenciales</t>
  </si>
  <si>
    <t xml:space="preserve">A.3.7.5.1. Adquisición y propiedad de edificios residenciales en todos los demás países (incluidos la UE y los terceros países) </t>
  </si>
  <si>
    <t xml:space="preserve">Adquisición y propiedad de edificios residenciales en todos los demás países (incluidos la UE y los terceros países) </t>
  </si>
  <si>
    <r>
      <rPr>
        <b/>
        <sz val="8"/>
        <color rgb="FF000000"/>
        <rFont val="Santander Text"/>
        <family val="2"/>
      </rPr>
      <t xml:space="preserve">¿De qué se trata? </t>
    </r>
    <r>
      <rPr>
        <sz val="8"/>
        <color rgb="FF000000"/>
        <rFont val="Santander Text"/>
        <family val="2"/>
      </rPr>
      <t xml:space="preserve">Adquisición de edificos residenciales en cualquier territorio (excepto España, Portugal, Polonia y el Reino Unido) que dispongan de uno de los siguientes certificados: </t>
    </r>
  </si>
  <si>
    <r>
      <t>Cumple UN criterio aplicable _
3. Obtención actual / prevista de uno de esos certificados y puntuaciones:
a. Certificado EPC (B en Italia) / PED dentro del 15% superior (ver tabla en el criterio nº 2)
b. LEED (Gold o superior)
c. BREEAM (Excellent o superior / “Very good” con una puntuación mínima del 70% en la categoría de Energía
d. Certificación DGNB (Gold o superior)
e. EDGE (Advanced o Zero Carbon); EDGE (Certified – Nivel 1) para Chile, Brasil, Argentina, Uruguay, Colombia</t>
    </r>
    <r>
      <rPr>
        <sz val="8"/>
        <color rgb="FFFF0000"/>
        <rFont val="Santander Text"/>
      </rPr>
      <t>,</t>
    </r>
    <r>
      <rPr>
        <strike/>
        <sz val="8"/>
        <color rgb="FFFF0000"/>
        <rFont val="Santander Text"/>
      </rPr>
      <t>y</t>
    </r>
    <r>
      <rPr>
        <sz val="8"/>
        <color rgb="FFFF0000"/>
        <rFont val="Santander Text"/>
      </rPr>
      <t>,</t>
    </r>
    <r>
      <rPr>
        <sz val="8"/>
        <color rgb="FF000000"/>
        <rFont val="Santander Text"/>
        <family val="2"/>
      </rPr>
      <t xml:space="preserve"> Perú, </t>
    </r>
    <r>
      <rPr>
        <sz val="8"/>
        <color rgb="FFFF0000"/>
        <rFont val="Santander Text"/>
      </rPr>
      <t>o cualquier otro país donde pueda realizarse una evaluación equivalente, demostrando que los edificios con esta certificación forman parte del Top15%</t>
    </r>
    <r>
      <rPr>
        <sz val="8"/>
        <color rgb="FF000000"/>
        <rFont val="Santander Text"/>
        <family val="2"/>
      </rPr>
      <t xml:space="preserve">
f. Passivhaus (Classic o superior)
g. Energy Star para edificios (85 o superior)
h. Green Globes (Three globes o superior)
i. HQE (Excellent o superior)
j. Living Buildings Challenges
k. Minergie (Minergie A y Minergie estándar)
l. Aqua-HQE (Excellent o superior)
m. Calificación Energética de Viviendas CEV (calificación A &amp; B)
n. Eco-casa (Nivel 1 o superior)
o. NGBS (Gold o superior)
p. Home Quality Mark (4 starts o superior)
q. NABERS (4,5 stars o superior)
r. PBE Edificia (calificación ENCE B)
s. CCCS CASA Colombia v3.0
t. Austin Energy Green Buildings
u. BEAM Plus
v. SCE
w. Green Building Initiative
x. WELL
y. Lider A
z. Phius CORE 2021 _</t>
    </r>
  </si>
  <si>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Cumple con los umbrales y puntuaciones establecidos según el año de construcción, la región y la zona climática de los edificios (véase la tabla siguiente*).
[TABLA A.3.7.5.1.] _</t>
  </si>
  <si>
    <t>Resto de países y Reino Unido – Adquisición de edificios residenciales</t>
  </si>
  <si>
    <t xml:space="preserve"> A.3.7.5.2. Resto de países y Reino Unido – Adquisición de edificios residenciales</t>
  </si>
  <si>
    <t>A.3.7.5.2. Adquisición y propiedad de edificios comerciales en todos los demás países (incluidos la UE y los terceros países)</t>
  </si>
  <si>
    <t>Adquisición y propiedad de edificios comerciales en todos los demás países (incluidos la UE y los terceros países)</t>
  </si>
  <si>
    <t>Adquisición de edificios no residenciales</t>
  </si>
  <si>
    <r>
      <rPr>
        <b/>
        <sz val="8"/>
        <color rgb="FF000000"/>
        <rFont val="Santander Text"/>
        <family val="2"/>
      </rPr>
      <t>¿De qué se trata?</t>
    </r>
    <r>
      <rPr>
        <sz val="8"/>
        <color rgb="FF000000"/>
        <rFont val="Santander Text"/>
        <family val="2"/>
      </rPr>
      <t xml:space="preserve"> Adquisición de edificios comerciales en cualquier territorio (excepto España, Portugal, Polonia y el Reino Unido) que disponen de uno de los siguientes certificados: </t>
    </r>
  </si>
  <si>
    <t>Cumple UN criterio aplicable _
3. Obtención actual / prevista de uno de esos certificados y puntuaciones:
a. Certificado EPC (B en Italia) / PED dentro del 15% superior (ver tabla en el criterio nº 2)
b. LEED (Gold o superior)
c. BREEAM (Excellent o superior / “Very good” con una puntuación mínima del 70% en la categoría de Energía
d. Certificación DGNB (Gold o superior)
e. EDGE (Advanced o Zero Carbon); EDGE (Certified – Nivel 1) para Chile, Brasil, Argentina, Uruguay, Colombia,Perú., o cualquier otro país donde pueda realizarse una evaluación equivalente, demostrando que los edificios con esta certificación forman parte del Top15%
f. Passivhaus (Classic o superior)
g. Energy Star para edificios (85 o superior)
h. Green Globes (Three globes o superior)
i. HQE (Excellent o superior)
j. Living Buildings Challenges
k. Minergie (Minergie A y Minergie estándar)
l. Aqua-HQE (Excellent o superior)
m. Calificación Energética de Viviendas CEV (calificación A &amp; B)
n. Eco-casa (Nivel 1 o superior)
o. NGBS (Gold o superior)
p. Austin Energy Green Buildings
q. Home Quality Mark (4 starts o superior)
r. NABERS (4,5 stars o superior)
s. PBE Edificia (calificación ENCE B)
t. CCCS CASA Colombia v3.0
u. BEAM Plus
v. SCE
w. Green Building Initiative
x. WELL
y. Lider A
z. Phius CORE 2021 _</t>
  </si>
  <si>
    <t>Cumple UN criterio aplicable _
1. Obtención actual/prevista de uno de los siguientes certificados:
a. HQE SB v4. Certificación
b. PED que esté un 10 % por debajo de la Net Zero Energy Building Certification™ (NZEB)
c. Certificación de la Iniciativa de Bonos Climáticos (CBI) para Edificios con Bajas Emisiones de Carbono _
2.
- Cumple con los umbrales y puntuaciones establecidos según el año de construcción, la región y la zona climática de los edificios (consulte la tabla siguiente*).
[TABLA A.3.7.5.2] _</t>
  </si>
  <si>
    <t>Ingeniería civil</t>
  </si>
  <si>
    <t xml:space="preserve">Mantenimiento de carreteras y autopistas </t>
  </si>
  <si>
    <t xml:space="preserve">A.3.9. Mantenimiento de carreteras y autopistas </t>
  </si>
  <si>
    <t>A.3.9. Mantenimiento de carreteras y autopistas</t>
  </si>
  <si>
    <t>Mantenimiento de carreteras y autopistas</t>
  </si>
  <si>
    <t xml:space="preserve">Mantenimiento y restauración de instalaciones y elementos de carreteras y autopistas. </t>
  </si>
  <si>
    <r>
      <rPr>
        <b/>
        <sz val="8"/>
        <color rgb="FF000000"/>
        <rFont val="Santander Text"/>
        <family val="2"/>
      </rPr>
      <t>¿De qué se trata?</t>
    </r>
    <r>
      <rPr>
        <sz val="8"/>
        <color rgb="FF000000"/>
        <rFont val="Santander Text"/>
        <family val="2"/>
      </rPr>
      <t xml:space="preserve"> Mantenimiento y restauración de instalaciones y elementos de carreteras y autopistas. </t>
    </r>
  </si>
  <si>
    <t>Cumple TODOS los criterios aplicables  _
1. Cumple UNO de los siguientes límites de reciclado no peligroso: 
- Preparación del 100% de los residuos generados por demolición/eliminación (masa en kg), excluyendo el relleno y los materiales que se producen naturalmente. 
- Como mínimo el 50% (masa en kg) de los elementos recién instalados se reutilizan, reciclan o no general subproductos peligrosos. _
2. Los materiales reciclados no son trasladados a uma distancia mayor de 2.5 veces la distancia entre la construcción y la instalación más cercana para la producción de matérias primas equivalentes._
3.
- Uso limitado de materias primas primarias mediante el uso de materias primas secundarias.
- En el caso de los metales, un máximo del 30% procede de material primario._</t>
  </si>
  <si>
    <t xml:space="preserve">Uso de hormigón en ingeniería civil </t>
  </si>
  <si>
    <t xml:space="preserve">A.3.10. Uso de hormigón en ingeniería civil </t>
  </si>
  <si>
    <t xml:space="preserve">Utilización de hormigón para nuevas construcciones o para el mantenimiento de infraestructuras civiles que no estén relacionadas con elementos de superficies viarias y autopistas. </t>
  </si>
  <si>
    <r>
      <rPr>
        <b/>
        <sz val="8"/>
        <color rgb="FF000000"/>
        <rFont val="Santander Text"/>
        <family val="2"/>
      </rPr>
      <t xml:space="preserve">¿De qué se trata? </t>
    </r>
    <r>
      <rPr>
        <sz val="8"/>
        <color rgb="FF000000"/>
        <rFont val="Santander Text"/>
        <family val="2"/>
      </rPr>
      <t xml:space="preserve">Utilización de hormigón para nuevas construcciones o para el mantenimiento de infraestructuras civiles que no estén relacionadas con elementos de superficies viarias y autopistas. </t>
    </r>
  </si>
  <si>
    <t>Cumple TODOS los criterios aplicables _
1.
- Se necesita mejorar la identificación, separación, recogida, procesamiento y logística de los residuos.
- Gestión de calidad implantada para lograr el 90 % de reciclaje de residuos no peligrosos (masa en kg), excluyendo el relleno y los materiales de origen natural.
- Sistemas de clasificación y auditorías previas a la demolición. _
2. El diseño de la construcción apoya la circularidad: marco de información de nivel 2 de la UE. _
3.
- Uso limitado de materiales de carreteras primarios mediante el uso de materias primas secundarias. 
- En el caso del hormigón, como máximo el 70 % procede de material de cantera primario. _
4. Los materiales reciclados no se transportan a una distancia superior a 2,5 veces la distancia entre la construcción y la instalación de producción más cercana para materias primas primarias equivalentes. _
5. ISO 22057:2022 utilizada para la Declaración Ambiental de Producto a través de herramientas electrónicas. El almacenamiento a largo plazo de esta información se garantiza mediante sistemas nacionales (catastro). _
6. Los puentes, túneles, diques y esclusas son inspeccionados regularmente por el regulador nacional. Los datos se utilizan para predecir las necesidades de mantenimiento. _</t>
  </si>
  <si>
    <t>Instalación, mantenimiento y reparación</t>
  </si>
  <si>
    <t xml:space="preserve">Equipamiento de eficiencia energética </t>
  </si>
  <si>
    <t xml:space="preserve">A.3.3. Equipamiento de eficiencia energética </t>
  </si>
  <si>
    <t xml:space="preserve">A.3.3. Instalación. mantenimiento y reparación de equipos de eficiencia energética </t>
  </si>
  <si>
    <t xml:space="preserve">Instalación. mantenimiento y reparación de equipos de eficiencia energética </t>
  </si>
  <si>
    <t xml:space="preserve">Medidas individuales de renovación consistentes en la instalación, mantenimiento o reparación de equipos de eficiencia energética. </t>
  </si>
  <si>
    <r>
      <rPr>
        <b/>
        <sz val="8"/>
        <color rgb="FF000000"/>
        <rFont val="Santander Text"/>
        <family val="2"/>
      </rPr>
      <t>¿De qué se trata?</t>
    </r>
    <r>
      <rPr>
        <sz val="8"/>
        <color rgb="FF000000"/>
        <rFont val="Santander Text"/>
        <family val="2"/>
      </rPr>
      <t xml:space="preserve"> Medidas individuales de renovación consistentes en la instalación, mantenimiento o reparación de equipos de eficiencia energética. </t>
    </r>
  </si>
  <si>
    <t>Cumple UN criterio aplicable _
2. Cumple UNO de los siguientes:
a. Sustitución de ventanas para aumentar la eficiencia.
b. Sustitución de puertas exteriores para aumentar la eficiencia.
c. Sustitución/instalación de electrodomésticos (paredes, techos, buhardillas, sótanos, plantas bajas...) con fines de aislamiento y aumento de la eficiencia.
d. Instalación, sustitución, mantenimiento y reparación de sistemas de calefacción, ventilación y aire acondicionado (HVAC) y de calentamiento de agua con el fin de aumentar la eficiencia.
e. Instalación y sustitución de fuentes de luz de bajo consumo.
f. Instalación de grifos de cocina y sanitarios de bajo consumo de agua y energía:
- El caudal se registra a la presión de referencia estándar de 3 -0/+ 0,2 bar o 0,1 - 0/+0,02 para productos limitados a baja presión.
- El caudal a la presión más baja de 1,5 -0/+ 0,2 bar es ≥ 60 % del caudal máximo disponible.
- Para las duchas con mezclador, la temperatura de referencia es de 38 ± 1 ̊C.
- Cuando el caudal tiene que ser inferior a 6 l/min, cumple con la regla de temperatura de referencia de 38 ± 1 ̊C. _
3. Si el instrumento/productos/servicios no pueden aislarse de las actividades complementarias:
- Activos elegibles superiores al 50 % de la factura total.
- Servicios elegibles y asociados (instalación, entrega, etc.) superiores al 90 % de la factura total. _</t>
  </si>
  <si>
    <t>Cumple TODOS los criterios aplicables  _
1. En su caso, el output / resultado de la actividad se ha clasificado como: :
- Antes de 2021: A+++ / A++
- Después de 2021: A / B
- Opcionalmente, EPA Energy Star Certificate _
2. Cumple con UNO de los siguientes:
- Sustitución de ventanas para aumentar la eficiencia. 
- Sustitución de puertas externas para aumentar la eficiencia. 
- Sustitución/instalación de electrodomésticos (paredes, techos, lofts, sótanos, pisos térmicos...) para fines de aislamiento y aumento de la eficiencia. 
- Instalación, sustitución, mantenimiento y reparación de sistemas de calefacción, ventilación y aire acondicionado (AVAC) y calefacción de agua para aumentar la eficiencia. 
- Instalación y sustitución de fuentes de luz eficientes energéticamente. 
- Instalación de bajo agua y energía usando la cocina y los accesorios de agua sanitaria: 
     - El flujo de corriente se recorta en con la presión de referencia 3 -0/+ 0,2 bar o 0,1 - 0/+0,02 para productos limitados a presiones bajas.
     - El caudal a la presión más baja de 1,5 - 0/ + 0,2 bares es de ≥ 60% del caudal máximo disponible. 
     - Para duchas mezcladoras, la temperatura de referencia es de 38 ± 1 ̊C. 
     - Donde el flujo debe ser inferior a 6 L/min, cumple la norma de temperatura de referencia de 38 ± 1 ̊C.</t>
  </si>
  <si>
    <t xml:space="preserve">Estaciones de carga de vehículos eléctricos (edificios y estacionamiento) </t>
  </si>
  <si>
    <t xml:space="preserve">A.3.4. Estaciones de carga de vehículos eléctricos (edificios y estacionamiento) </t>
  </si>
  <si>
    <t xml:space="preserve">A.3.4. Instalación. mantenimiento y reparación de estaciones de recarga para vehículos eléctricos en edificios (y plazas de aparcamiento anexas a edificios) </t>
  </si>
  <si>
    <t xml:space="preserve">Instalación. mantenimiento y reparación de estaciones de recarga para vehículos eléctricos en edificios (y plazas de aparcamiento anexas a edificios) </t>
  </si>
  <si>
    <t xml:space="preserve">Instalación, mantenimiento o reparación de la estación de carga de vehículos eléctricos (EV) </t>
  </si>
  <si>
    <r>
      <rPr>
        <b/>
        <sz val="8"/>
        <color rgb="FF000000"/>
        <rFont val="Santander Text"/>
        <family val="2"/>
      </rPr>
      <t xml:space="preserve">¿De qué se trata? </t>
    </r>
    <r>
      <rPr>
        <sz val="8"/>
        <color rgb="FF000000"/>
        <rFont val="Santander Text"/>
        <family val="2"/>
      </rPr>
      <t xml:space="preserve">Instalación, mantenimiento o reparación de la estación de carga de vehículos eléctricos (EV) </t>
    </r>
  </si>
  <si>
    <t>Cumple UN criterio aplicable
1. La actividad cumple la definición.</t>
  </si>
  <si>
    <t>Instrumentos y dispositivos para el desempeño energético de los edificios</t>
  </si>
  <si>
    <t xml:space="preserve">A.3.5. Instrumentos y dispositivos para el desempeño energético de los edificios </t>
  </si>
  <si>
    <t xml:space="preserve">A.3.5. Instalación. mantenimiento y reparación de instrumentos y dispositivos de medición. regulación y control del rendimiento energético de los edificios </t>
  </si>
  <si>
    <t xml:space="preserve">Instalación. mantenimiento y reparación de instrumentos y dispositivos de medición. regulación y control del rendimiento energético de los edificios </t>
  </si>
  <si>
    <t xml:space="preserve">Instalación o mantenimiento de instrumentos para el control de la eficiencia energética. </t>
  </si>
  <si>
    <r>
      <rPr>
        <b/>
        <sz val="8"/>
        <color rgb="FF000000"/>
        <rFont val="Santander Text"/>
        <family val="2"/>
      </rPr>
      <t>¿De qué se trata?</t>
    </r>
    <r>
      <rPr>
        <sz val="8"/>
        <color rgb="FF000000"/>
        <rFont val="Santander Text"/>
        <family val="2"/>
      </rPr>
      <t xml:space="preserve"> Instalación o mantenimiento de instrumentos para el control de la eficiencia energética. </t>
    </r>
  </si>
  <si>
    <t>Cumple UN criterio aplicable  _
1. Sistemas solares fotovoltaicos. _
2. Paneles solares de agua caliente. _
3. Bombas de calor. _
4. Turbinas eólicas. _
5. Colectores solares traspirados. _
6. Unidades de almacenamiento de energía térmica/eléctrica. _
7.Fabricación de Micro CHP de alta eficiencia. _
8. Intercambiador de calor/sistemas de recuperación. _
9. EPA Energy Star Certificate._</t>
  </si>
  <si>
    <t xml:space="preserve">Tecnologías de energía renovable </t>
  </si>
  <si>
    <t xml:space="preserve">A.3.6. Tecnologías de energía renovable </t>
  </si>
  <si>
    <t xml:space="preserve">A.3.6. Instalación. mantenimiento y reparación de tecnologías de energías renovables </t>
  </si>
  <si>
    <t xml:space="preserve">Instalación. mantenimiento y reparación de tecnologías de energías renovables </t>
  </si>
  <si>
    <t xml:space="preserve">Instalación o mantenimiento de tecnologías de energía renovable relacionadas con uno de los criterios de elegibilidad establecidos a continuación. </t>
  </si>
  <si>
    <r>
      <rPr>
        <b/>
        <sz val="8"/>
        <color rgb="FF000000"/>
        <rFont val="Santander Text"/>
        <family val="2"/>
      </rPr>
      <t xml:space="preserve">¿De qué se trata? </t>
    </r>
    <r>
      <rPr>
        <sz val="8"/>
        <color rgb="FF000000"/>
        <rFont val="Santander Text"/>
        <family val="2"/>
      </rPr>
      <t xml:space="preserve">Instalación o mantenimiento de tecnologías de energía renovable relacionadas con uno de los criterios de elegibilidad establecidos a continuación. </t>
    </r>
  </si>
  <si>
    <t>Cumple UN criterio aplicable  _
1. Sistemas solares fotovoltaicos. _
2. Paneles solares de agua caliente. _
3. Bombas de calor. _
4. Turbinas eólicas. _
5. Colectores solares traspirados. _
6. Unidades de almacenamiento de energía térmica/eléctrica. _
7.Fabricación de Micro CHP de alta eficiencia. _
8. Intercambiador de calor/sistemas de recuperación. _
9. EPA Energy Star Certificate. _</t>
  </si>
  <si>
    <t>A.3.8. Demolición</t>
  </si>
  <si>
    <t>A.3.8. Demolición y derribo de edificios y otras estructuras</t>
  </si>
  <si>
    <t>Demolición y derribo de edificios y otras estructuras</t>
  </si>
  <si>
    <t xml:space="preserve">Demolición de edificios o cualquier infraestructura civil. </t>
  </si>
  <si>
    <r>
      <rPr>
        <b/>
        <sz val="8"/>
        <color rgb="FF000000"/>
        <rFont val="Santander Text"/>
        <family val="2"/>
      </rPr>
      <t xml:space="preserve">¿De qué se trata? </t>
    </r>
    <r>
      <rPr>
        <sz val="8"/>
        <color rgb="FF000000"/>
        <rFont val="Santander Text"/>
        <family val="2"/>
      </rPr>
      <t xml:space="preserve">Demolición de edificios o cualquier infraestructura civil. </t>
    </r>
  </si>
  <si>
    <t>Cumple TODOS los criterios aplicables _
3. Para países no pertenecientes a la UE, los mismos criterios coherentes que la taxonomía de la UE, excepto el cumplimiento de la LTO</t>
  </si>
  <si>
    <t>Cumple TODOS los criterios aplicables  _
1. Antes del inicio de la actividad, debe acordarse:
- Definición de KPI y destino. 
- Identificación de riesgos y planes de acción. 
- Detalles de la auditoría previa a la demolición (especialmente para la identificación de residuos, la entificación, la separación, la recolección y la gestión de calidad). 
- Definir el plan de gestión de residuos considerando como prioridad la descontaminación y la separación.  _
2. Cumple UNO de los siguientes límites de reciclado no peligroso:
- Masa mínima del 90% en kg, excluyendo el relleno y los materiales que se producen de forma natural. 
- Fracciones mínimas de residuos de demolición no peligrosos reciclados: 
    - 95% mineral.
    - 70% no mineral. _</t>
  </si>
  <si>
    <t>Agua y residuos</t>
  </si>
  <si>
    <t>Aguas residuales</t>
  </si>
  <si>
    <t>Recogida y tratamento de residuos</t>
  </si>
  <si>
    <t>A.6.3. Recogida y tratamento de residuos</t>
  </si>
  <si>
    <t xml:space="preserve">A.6.3. Recogida y tratamiento de aguas residuales </t>
  </si>
  <si>
    <t xml:space="preserve">Recogida y tratamiento de aguas residuales </t>
  </si>
  <si>
    <t xml:space="preserve">Construcción, renovación y funcionamiento de un sistema centralizado de aguas residuales que incluya la recogida y el tratamiento sin modificación de material relacionado con su capacidad. </t>
  </si>
  <si>
    <r>
      <rPr>
        <b/>
        <sz val="8"/>
        <color rgb="FF000000"/>
        <rFont val="Santander Text"/>
      </rPr>
      <t xml:space="preserve">¿De qué se trata? </t>
    </r>
    <r>
      <rPr>
        <sz val="8"/>
        <color rgb="FF000000"/>
        <rFont val="Santander Text"/>
      </rPr>
      <t xml:space="preserve">Construcción, renovación y funcionamiento de un sistema centralizado de aguas residuales que incluya la recogida y el tratamiento sin modificación de material relacionado con su capacidad. </t>
    </r>
  </si>
  <si>
    <t>Cumple UN criterio aplicable  _
1.Cumple con TODOS los siguientes requisitos:
- Infraestructura de tratamiento de aguas y alcantarillado de acuerdo con UNO:
a. Alimentado por energía renovable. 
b. Consumo de energía igual o por debajo de los siguientes límites:
[TABLE A.6.3]
- Caso de construcción/ampliación de una planta de tratamiento de aguas residuales que sustituye a más sistemas de tratamiento intensivo de gases de efecto invernadero: Evaluación de gases de efecto invernadero y difusión de resultados a los interesados, a petición de los interesados. _
2. Cumple con TODOS los siguientes requisitos:
- La renovación de un sistema de recolección de una planta de tratamiento de aguas residuales mejora el consumo de energía en un 20% en comparación con la línea de base. 
- El operador demuestra que no hay cambios materiales relacionados con las condiciones externas. _</t>
  </si>
  <si>
    <t>6) Agua limpia y saneamiento
11) Ciudades y comunidades sostenibles
12) Consumo y producción responsables</t>
  </si>
  <si>
    <t xml:space="preserve">Tratamiento de aguas residuales urbanas </t>
  </si>
  <si>
    <t xml:space="preserve">A.6.14. Tratamiento de aguas residuales urbanas </t>
  </si>
  <si>
    <t>Construcción, ampliación, mejora, funcionamiento y renovación de infraestructuras de aguas residuales urbanas, incluidas plantas de tratamiento, redes de alcantarillado, estructuras de gestión de aguas pluviales, conexiones a la infraestructura de aguas residuales, instalaciones descentralizadas de tratamiento de aguas residuales, incluidos sistemas individuales y otros sistemas adecuados, y estructuras de descarga de efluentes tratados.</t>
  </si>
  <si>
    <r>
      <rPr>
        <b/>
        <sz val="8"/>
        <color rgb="FF000000"/>
        <rFont val="Santander Text"/>
        <family val="2"/>
      </rPr>
      <t>¿De qué se trata?</t>
    </r>
    <r>
      <rPr>
        <sz val="8"/>
        <color rgb="FF000000"/>
        <rFont val="Santander Text"/>
        <family val="2"/>
      </rPr>
      <t xml:space="preserve"> Construcción, extensión, actualización y explotación de infraestructuras urbanas de aguas residuales. </t>
    </r>
  </si>
  <si>
    <r>
      <t>Cumple TODOS los criterios aplicables _
6. Las operaciones alimentadas por fuentes bajas en carbono que se utilizan para el</t>
    </r>
    <r>
      <rPr>
        <sz val="8"/>
        <color rgb="FFFF0000"/>
        <rFont val="Santander Text"/>
        <family val="2"/>
      </rPr>
      <t xml:space="preserve"> tratamiento de aguas residuales</t>
    </r>
    <r>
      <rPr>
        <sz val="8"/>
        <color rgb="FF000000"/>
        <rFont val="Santander Text"/>
        <family val="2"/>
      </rPr>
      <t xml:space="preserve"> son iguales o inferiores a 100 g de CO2e/kWh. _
7. Calidad del agua (postratamiento) de acuerdo con el umbral definido por la normativa local. _
8. Planes de gestión de residuos para la eliminación de lodos _</t>
    </r>
  </si>
  <si>
    <t>Cumple TODOS los criterios aplicables _
1. El tratamiento del sistema de aguas residuales no provoca el deterioro de las masas de agua afectadas y contribuye a mejorar su estado. _
2. La información relativa al estado de las masas de agua y las actividades que afectan a dicho estado se incluye en un plan de gestión contable o en un plan de gestión equivalente. _
3. Se deben cumplir los requisitos de aprobación establecidos por las autoridades locales _
4. Se han establecido sistemas para la recogida y el suministro de tratamientos secundarios _
5. Si la capacidad de la planta es superior a 100 000 habitantes (o el flujo diario de una carga de demanda bioquímica de oxígeno de cinco días supera los 6000 kg), utiliza un tratamiento de lodos para estabilizarla _</t>
  </si>
  <si>
    <t>Sistemas de drenaje urbano sostenible (SUDS)</t>
  </si>
  <si>
    <t xml:space="preserve">A.6.15. Sistemas sostenibles de drenaje urbano (SUDS) </t>
  </si>
  <si>
    <t xml:space="preserve">Sistemas sostenibles de drenaje urbano (SUDS) </t>
  </si>
  <si>
    <t xml:space="preserve">Instalaciones de sistemas de drenaje que mitigan la contaminación y los riesgos de inundación debido a vertidos de escorrentía urbana y mejoran la calidad y cantidad del agua urbana, mediante el aprovechamiento de procesos naturales. </t>
  </si>
  <si>
    <r>
      <rPr>
        <b/>
        <sz val="8"/>
        <color rgb="FF000000"/>
        <rFont val="Santander Text"/>
        <family val="2"/>
      </rPr>
      <t>¿De qué se trata?</t>
    </r>
    <r>
      <rPr>
        <sz val="8"/>
        <color rgb="FF000000"/>
        <rFont val="Santander Text"/>
        <family val="2"/>
      </rPr>
      <t xml:space="preserve"> Instalaciones de</t>
    </r>
    <r>
      <rPr>
        <b/>
        <sz val="8"/>
        <color rgb="FF000000"/>
        <rFont val="Santander Text"/>
        <family val="2"/>
      </rPr>
      <t xml:space="preserve"> sistemas de drenaje que mitigan la contaminación y los riesgos de inundación</t>
    </r>
    <r>
      <rPr>
        <sz val="8"/>
        <color rgb="FF000000"/>
        <rFont val="Santander Text"/>
        <family val="2"/>
      </rPr>
      <t xml:space="preserve"> debido a vertidos de escorrentía urbana y mejoran la calidad y cantidad del agua urbana, mediante el aprovechamiento de procesos naturales. </t>
    </r>
  </si>
  <si>
    <t>Cumple TODOS los criterios aplicables _
5. Para países no pertenecientes a la UE, los mismos criterios coherentes que la taxonomía de la UE, excepto el cumplimiento de la LTO</t>
  </si>
  <si>
    <t>Cumple TODOS los criterios aplicables _
1. La actividad conduce a una retención de &gt;90 % del agua de escorrentía o agua de lluvia en el área urbanizada _
2. El funcionamiento del sistema de drenaje urbano sostenible está integrado en el sistema de drenaje urbano y tratamiento de aguas residuales _
3. Se proporciona información sobre el porcentaje de un área específica (por ejemplo, residencial o comercial) donde el agua de lluvia se retiene en lugar de ser drenada directamente; _
4. El diseño del sistema de drenaje urbano sostenible logra al menos uno de los siguientes efectos: 
Logra UNO de los siguientes:
a. Se retiene un porcentaje del agua de lluvia en el área de captación y se descarga con un retraso escalonado.
b. Se elimina un porcentaje de contaminantes antes de su descarga en las masas de agua receptoras.
c. El caudal máximo de escorrentía se reduce en un porcentaje cuantificado. _</t>
  </si>
  <si>
    <t xml:space="preserve">Recuperación de fósforo de las aguas residuales </t>
  </si>
  <si>
    <t xml:space="preserve">A.6.16. Recuperación de fósforo a partir de aguas residuales </t>
  </si>
  <si>
    <t xml:space="preserve">Recuperación de fósforo a partir de aguas residuales </t>
  </si>
  <si>
    <t>Recuperación de fósforo procedente de plantas de tratamiento de aguas residuales urbanas y de materiales tras la oxidación térmica de lodos de aguas residuales.</t>
  </si>
  <si>
    <r>
      <rPr>
        <b/>
        <sz val="8"/>
        <color rgb="FF000000"/>
        <rFont val="Santander Text"/>
        <family val="2"/>
      </rPr>
      <t>¿De qué se trata?</t>
    </r>
    <r>
      <rPr>
        <sz val="8"/>
        <color rgb="FF000000"/>
        <rFont val="Santander Text"/>
        <family val="2"/>
      </rPr>
      <t xml:space="preserve"> Recuperación de fósforo procedente de plantas de tratamiento de aguas residuales urbanas y de materiales tras la oxidación térmica de lodos de aguas residuales.</t>
    </r>
  </si>
  <si>
    <t>Cumple TODOS los criterios aplicables _
4. Para países no pertenecientes a la UE, los mismos criterios coherentes que la taxonomía de la UE, excepto el cumplimiento de la LTO</t>
  </si>
  <si>
    <t>Cumple TODOS los criterios aplicables _
1. El proceso de recuperación de fósforo (material cosechado) recupera al menos el 15 % de la carga de fósforo entrante. _
2. Para la recuperación posterior a la oxidación térmica de los lodos de depuradora, el proceso recupera al menos el 80 % de la carga de fósforo entrante del material de entrada respectivo. _
3. El fósforo extraído del sistema se utiliza como material componente en un producto fertilizante o en otro campo de aplicación. _</t>
  </si>
  <si>
    <t xml:space="preserve">Producción de recursos hídricos alternativos (sin consumo humano) </t>
  </si>
  <si>
    <t xml:space="preserve">A.6.17. Producción de recursos hídricos alternativos (sin consumo humano) </t>
  </si>
  <si>
    <t xml:space="preserve">A.6.17. Producción de recursos hídricos alternativos para fines distintos del consumo humano </t>
  </si>
  <si>
    <t xml:space="preserve">Producción de recursos hídricos alternativos para fines distintos del consumo humano </t>
  </si>
  <si>
    <t>Construcción, ampliación, funcionamiento y renovación de instalaciones para la producción de agua regenerada, instalaciones para la recogida de agua de lluvia y pluvial e instalaciones para la recogida y el tratamiento de aguas grises. Estos recursos hídricos alternativos se utilizan para sustituir el agua procedente de la captación o de los sistemas de suministro de agua potable y pueden utilizarse para la recarga de acuíferos, el riego, la reutilización industrial, el ocio y cualquier otro uso municipal.</t>
  </si>
  <si>
    <r>
      <t>¿</t>
    </r>
    <r>
      <rPr>
        <b/>
        <sz val="8"/>
        <color rgb="FFFF0000"/>
        <rFont val="Santander Text"/>
        <family val="2"/>
      </rPr>
      <t>De qué se trata</t>
    </r>
    <r>
      <rPr>
        <sz val="8"/>
        <color rgb="FFFF0000"/>
        <rFont val="Santander Text"/>
        <family val="2"/>
      </rPr>
      <t>? Construcción, ampliación, funcionamiento y renovación de instalaciones para la producción de agua regenerada, instalaciones para la recogida de agua de lluvia y pluvial e instalaciones para la recogida y el tratamiento de aguas grises. Estos recursos hídricos alternativos se utilizan para sustituir el agua procedente de la captación o de los sistemas de suministro de agua potable y pueden utilizarse para la recarga de acuíferos, el riego, la reutilización industrial, el ocio y cualquier otro uso municipal.</t>
    </r>
  </si>
  <si>
    <t>Cumple UN criterio aplicable _
1. Producción o agua regenerada: 
Cumple TODOS:
- El agua regenerada es apta para su reutilización.
- El proyecto de reutilización del agua ha sido autorizado por la autoridad competente e incluido en un plan de gestión del agua. 
- Para su reutilización en la agricultura, las evaluaciones de los riesgos medioambientales se tienen plenamente en cuenta en los planes de gestión de riesgos. _
2. Instalaciones para la recogida de agua de lluvia y de tormenta. 
Cumple TODOS:
- El recurso se separa en origen y no incluye aguas residuales.
- El agua es apta para su reutilización tras un tratamiento adecuado. _
3. Instalaciones para la recogida y el tratamiento de aguas grises 
 Cumple TODOS:
- El recurso se separa en origen. 
- El agua es apta para su reutilización tras un tratamiento adecuado.
- El rendimiento está certificado por una certificación de construcción. _</t>
  </si>
  <si>
    <r>
      <t xml:space="preserve">Cumple UN criterio aplicable _
1. Producción o agua recuperada: Cumple TODOS:
- El agua recuperada es apta para su reutilización.
- El proyecto de reutilización del agua ha sido autorizado por la autoridad competente e incluido en un plan de gestión del agua. 
- Para su reutilización en la agricultura, las evaluaciones de los riesgos medioambientales se tienen plenamente en cuenta en los planes de gestión de riesgos. _
3. Instalaciones para la recogida y el tratamiento de aguas grises - Cumple con TODO:
- El recurso se separa en origen. 
- El agua es apta para su reutilización tras un tratamiento adecuado.
- El rendimiento está certificado por una certificación de construcción. _
</t>
    </r>
    <r>
      <rPr>
        <sz val="8"/>
        <color rgb="FF0070C0"/>
        <rFont val="Santander Text"/>
        <family val="2"/>
      </rPr>
      <t>4</t>
    </r>
    <r>
      <rPr>
        <sz val="8"/>
        <color theme="1"/>
        <rFont val="Santander Text"/>
        <family val="2"/>
      </rPr>
      <t>. Instalaciones para la recogida de agua de lluvia y de tormenta. 
- Cumple TODOS:
- El recurso se separa en origen y no incluye aguas residuales.
- El agua es apta para su reutilización tras un tratamiento adecuado.
- La instalación está incluida en un instrumento de planificación urbana o de permisos. _</t>
    </r>
  </si>
  <si>
    <t>Gestión de residuos</t>
  </si>
  <si>
    <t xml:space="preserve">Residuos no peligrosos - recogida/transporte (fracciones segregadas de la fuente) </t>
  </si>
  <si>
    <t xml:space="preserve">A.6.4. Residuos no peligrosos - recogida/transporte (fracciones segregadas de la fuente) </t>
  </si>
  <si>
    <t xml:space="preserve">A.6.4. Recogida y transporte de residuos no peligrosos en fracciones segregadas en fuentes </t>
  </si>
  <si>
    <t xml:space="preserve">Recogida y transporte de residuos no peligrosos en fracciones segregadas en fuentes </t>
  </si>
  <si>
    <t xml:space="preserve">Transporte de residuos no peligrosos con fines de reciclado. </t>
  </si>
  <si>
    <r>
      <rPr>
        <b/>
        <sz val="8"/>
        <color rgb="FF000000"/>
        <rFont val="Santander Text"/>
        <family val="2"/>
      </rPr>
      <t>¿De qué se trata?</t>
    </r>
    <r>
      <rPr>
        <sz val="8"/>
        <color rgb="FF000000"/>
        <rFont val="Santander Text"/>
        <family val="2"/>
      </rPr>
      <t xml:space="preserve"> Transporte de residuos no peligrosos con fines de reciclado. </t>
    </r>
  </si>
  <si>
    <t>Cumple TODOS los criterios aplicables _
2. Sistemas de depósito y retorno e infraestructuras, siempre que estén alineados con la normativa nacional o regional (p. ej., la normativa sobre envases y residuos en la UE) _</t>
  </si>
  <si>
    <t>Cumple TODOS los criterios aplicables  _
1. Recogida y transporte por separado de residuos no peligrosos para su reciclado.  _</t>
  </si>
  <si>
    <t xml:space="preserve">Residuos no peligrosos - recuperación de materiales </t>
  </si>
  <si>
    <t xml:space="preserve">A.6.8. Residuos no peligrosos - recuperación de materiales </t>
  </si>
  <si>
    <t xml:space="preserve">A.6.8. Recuperación de materiales a partir de residuos no peligrosos </t>
  </si>
  <si>
    <t xml:space="preserve">Recuperación de materiales a partir de residuos no peligrosos </t>
  </si>
  <si>
    <t>Construcción y explotación de instalaciones de clasificación y tratamiento de flujos separados de residuos no peligrosos en materias primas secundarias con reprocesamiento mecánico y sin fines de relleno.</t>
  </si>
  <si>
    <r>
      <rPr>
        <sz val="8"/>
        <color rgb="FF000000"/>
        <rFont val="Santander Text"/>
        <family val="2"/>
      </rPr>
      <t>¿</t>
    </r>
    <r>
      <rPr>
        <b/>
        <sz val="8"/>
        <color rgb="FF000000"/>
        <rFont val="Santander Text"/>
        <family val="2"/>
      </rPr>
      <t>De qué se trata</t>
    </r>
    <r>
      <rPr>
        <sz val="8"/>
        <color rgb="FF000000"/>
        <rFont val="Santander Text"/>
        <family val="2"/>
      </rPr>
      <t>? Construcción y operación de instalaciones para clasificar y procesar flujos de residuos no peligrosos separados en materias primas secundarias con</t>
    </r>
    <r>
      <rPr>
        <b/>
        <sz val="8"/>
        <color rgb="FF000000"/>
        <rFont val="Santander Text"/>
        <family val="2"/>
      </rPr>
      <t xml:space="preserve"> reprocesamiento mecánico y sin fines de relleno.
Evidencias ecomendadas: </t>
    </r>
    <r>
      <rPr>
        <sz val="8"/>
        <color rgb="FF000000"/>
        <rFont val="Santander Text"/>
        <family val="2"/>
      </rPr>
      <t>A4WS, GRS</t>
    </r>
    <r>
      <rPr>
        <b/>
        <sz val="8"/>
        <color rgb="FF000000"/>
        <rFont val="Santander Text"/>
        <family val="2"/>
      </rPr>
      <t>.</t>
    </r>
  </si>
  <si>
    <t>Cumple TODOS los criterios aplicables  _
2. Gestión del agua, reciclado de residuos o reutilización de residuos (excluyendo el reciclado de plástico) donde los coeficientes de conversión superan el 50%.  _</t>
  </si>
  <si>
    <t>Cumple TODOS los criterios aplicables  _
1. La actividad convierte al menos el 50 % de los residuos no peligrosos (excluyendo el reciclado de plástico) en materias primas secundarias adecuadas para sustituir las materias primas vírgenes en los procesos de producción. _</t>
  </si>
  <si>
    <t xml:space="preserve">Residuos no peligrosos y peligrosos - recogida/transporte </t>
  </si>
  <si>
    <t xml:space="preserve">A.6.18. Residuos no peligrosos y peligrosos - recogida/transporte </t>
  </si>
  <si>
    <t xml:space="preserve">A.6.18. Recogida y transporte de residuos no peligrosos y peligrosos </t>
  </si>
  <si>
    <t xml:space="preserve">Recogida y transporte de residuos no peligrosos y peligrosos </t>
  </si>
  <si>
    <t xml:space="preserve">Recogida y transporte separados de residuos no peligrosos y peligrosos destinados a prepararse para su reutilización o reciclado. </t>
  </si>
  <si>
    <r>
      <rPr>
        <b/>
        <sz val="8"/>
        <color rgb="FF000000"/>
        <rFont val="Santander Text"/>
        <family val="2"/>
      </rPr>
      <t>¿De qué se trata?</t>
    </r>
    <r>
      <rPr>
        <sz val="8"/>
        <color rgb="FF000000"/>
        <rFont val="Santander Text"/>
        <family val="2"/>
      </rPr>
      <t xml:space="preserve"> Recogida y transporte separados de residuos no peligrosos y peligrosos destinados a prepararse para su reutilización o reciclado. </t>
    </r>
  </si>
  <si>
    <t>Cumple TODOS los criterios aplicables  _
1. Todos los residuos segregados en la fuente y destinados a la preparación para operaciones de reutilización. _
2. Fuentes aceptables de residuos: 
- Papel y cartón 
- Textiles 
- Bio-Residuos 
- Madera 
- Vidrio 
- Residuos de equipos eléctricos 
- Cualquier tipo de residuos peligrosos recogidos por separado.  _
3. Residuos peligrosos procedentes de fuentes distintas a las mencionadas en el punto #2 - Cumple con UNO de los siguientes requerimientos:
a. La recogida conjunta de los tipos de residuos no afectará a su potencial de reciclado. 
b. La recolección separada no proporciona los mejores resultados ambientales. 
c. La recogida separada no es técnicamente viable teniendo en cuenta las buenas prácticas.  _
4. Se pueden colocar juntos distintos tipos de residuos peligrosos si están adecuadamente embalados en una caja de residuos peligrosos. _
5. Flujos de residuos municipales -  Cumple con UNO de los siguientes requerimientos:
a.  La actividad realiza la recolección de residuos sólidos urbanos, principalmente a través de la recolección puerta a puerta. 
b. La actividad lleva a cabo la recogida de residuos en el marco de la gestión de residuos organizada públicamente sobre la base de un mecanismo de pago a medida que se lanza (PAYT). 
c. La actividad realiza una recogida separada de residuos fuera de los sistemas de gestión de residuos organizados públicamente. _
7. La actividad controla la cantidad y la calidad de los residuos recogidos sobre la base de KPI de conformidad con las normas nacionales.  _</t>
  </si>
  <si>
    <t xml:space="preserve">Cumple TODOS los criterios aplicables  _
1. Todos los residuos segregados en la fuente y destinados a la preparación para operaciones de reutilización. _
2. Fuentes aceptables de residuos: 
- Papel y cartón 
- Textiles 
- Bio-Residuos 
- Madera 
- Vidrio 
- Residuos de equipos eléctricos 
- Cualquier tipo de residuos peligrosos recogidos por separado.  _
3. Residuos peligrosos procedentes de fuentes distintas a las mencionadas en el punto #2 - Cumple con UNO de los siguientes requerimientos:
a. La recogida conjunta de los tipos de residuos no afectará a su potencial de reciclado. 
b. La recolección separada no proporciona los mejores resultados ambientales. 
c. La recogida separada no es técnicamente viable teniendo en cuenta las buenas prácticas.  _
4. Se pueden colocar juntos distintos tipos de residuos peligrosos si están adecuadamente embalados en una caja de residuos peligrosos. _
5. Flujos de residuos municipales -  Cumple con UNO de los siguientes requerimientos:
a.  La actividad realiza la recolección de residuos sólidos urbanos, principalmente a través de la recolección puerta a puerta. 
b. La actividad lleva a cabo la recogida de residuos en el marco de la gestión de residuos organizada públicamente sobre la base de un mecanismo de pago a medida que se lanza (PAYT). 
c. La actividad realiza una recogida separada de residuos fuera de los sistemas de gestión de residuos organizados públicamente. _
6. A la hora de controlar la cantidad y calidad de los residuos recogidos sobre la base de KPI - cumple con TODOS :
- Cumplimiento de las obligaciones de información con las partes interesadas pertinentes. 
- Comunicaciones periódicas de información pertinente a los productores de residuos y al público. 
- Acciones correctivas en caso de desviaciones de KPI. _
</t>
  </si>
  <si>
    <t xml:space="preserve">Residuos peligrosos - tratamiento </t>
  </si>
  <si>
    <t xml:space="preserve">A.6.19. Residuos peligrosos - tratamiento </t>
  </si>
  <si>
    <t xml:space="preserve">A.6.19. Tratamiento de residuos peligrosos </t>
  </si>
  <si>
    <t xml:space="preserve">Tratamiento de residuos peligrosos </t>
  </si>
  <si>
    <t>Instalaciones para el tratamiento de residuos peligrosos.</t>
  </si>
  <si>
    <r>
      <rPr>
        <b/>
        <sz val="8"/>
        <color rgb="FF000000"/>
        <rFont val="Santander Text"/>
        <family val="2"/>
      </rPr>
      <t xml:space="preserve">¿De qué se trata? </t>
    </r>
    <r>
      <rPr>
        <sz val="8"/>
        <color rgb="FF000000"/>
        <rFont val="Santander Text"/>
        <family val="2"/>
      </rPr>
      <t>Instalaciones para el tratamiento de residuos peligrosos.</t>
    </r>
  </si>
  <si>
    <r>
      <t xml:space="preserve">Cumple con #1 o con TODOS los criterios aplicables restantes _
1. Cumple con TODOS:
a. Recuperación de materiales de materias primas secundarias a partir de residuos peligrosos segregados en origen.
b. Los materiales recuperados son materias primas primarias sustitutivas.
c. Los materiales recuperados cumplen con las especificaciones aplicables de la industria. _
</t>
    </r>
    <r>
      <rPr>
        <sz val="8"/>
        <color rgb="FF0070C0"/>
        <rFont val="Santander Text"/>
        <family val="2"/>
      </rPr>
      <t>2.</t>
    </r>
    <r>
      <rPr>
        <sz val="8"/>
        <color rgb="FFFF0000"/>
        <rFont val="Santander Text"/>
        <family val="2"/>
      </rPr>
      <t xml:space="preserve"> Las actividades contaminantes relacionadas con el tratamiento de residuos peligrosos cumplen con TODOS</t>
    </r>
    <r>
      <rPr>
        <sz val="8"/>
        <color rgb="FF000000"/>
        <rFont val="Santander Text"/>
        <family val="2"/>
      </rPr>
      <t>:
Los procesos de tratamiento de residuos se ajustan a TODOS los siguientes requerimientos:
  - Cumple con los requisitos establecidos en las mejores técnicas disponibles.
  - Recopilación de información detallada relacionada.
  - Elementos en su lugar durante los procedimientos de aceptación:
     - Instalación de recepción y laboratorio.
     - Procedimiento de muestreo documentado y análisis de parámetros fisicoquímicos.
     - Área de almacenamiento de residuos de cuarentena dedicada.
  - Ruta de tratamiento adecuada disponible y ruta de eliminación o recuperación determinada.
  - Caso de «actividades de mezcla o combinación»: antes de su presentación, no se utiliza la dilución para reducir la concentración de sustancias peligrosas. _
3. El tratamiento fisico-químico de residuos sólidos o pastosos cumple TODOS:
- Limitar al 6 % la concentración máxima de carbono orgánico total.
- Limitar a 1000 mg/kg de materia seca el contenido de carbono orgánico disuelto después de una prueba de lixiviación _
4. Tratamiento fisico-químico de residuos con valor calorífico, medidas para evitar la dilución y dispersión de sustancias peligrosas y cualquier alta carga liberada al aire. _
5. Tratamiento de residuos líquidos acuosos: 
- Eliminación de carbono orgánico disuelto superior al 70 % en 7 días (ISO 988852). 
- Todos los residuos que contengan sustancias COP se controlan y rastrean como residuos peligrosos _
6. El sistema de seguimiento permite controlar la separación efectiva y la destrucción de residuos COP. _
7. Las instalaciones susceptibles de tratar residuos que contengan mercurio implementan un sistema de trazabilidad. _
8. Tratamiento de residuos sanitarios: implementa las mejores prácticas, no aceptando residuos citotóxicos, residuos farmacéuticos, residuos químicos y residuos radiactivos como tratamiento. _</t>
    </r>
  </si>
  <si>
    <t xml:space="preserve">Descontaminación/desmantelamiento de productos al final de su vida útil </t>
  </si>
  <si>
    <t xml:space="preserve">A.6.22. Descontaminación/desmantelamiento de productos al final de su vida útil </t>
  </si>
  <si>
    <t xml:space="preserve">A.6.22. Descontaminación y desmantelamiento de productos al final de su vida útil </t>
  </si>
  <si>
    <t xml:space="preserve">Descontaminación y desmantelamiento de productos al final de su vida útil </t>
  </si>
  <si>
    <t xml:space="preserve">Instalaciones desmantelando y descontaminando productos complejos de fin de vida. </t>
  </si>
  <si>
    <r>
      <rPr>
        <b/>
        <sz val="8"/>
        <color rgb="FF000000"/>
        <rFont val="Santander Text"/>
        <family val="2"/>
      </rPr>
      <t>¿De qué se trata?</t>
    </r>
    <r>
      <rPr>
        <sz val="8"/>
        <color rgb="FF000000"/>
        <rFont val="Santander Text"/>
        <family val="2"/>
      </rPr>
      <t xml:space="preserve"> Instalaciones desmantelando y descontaminando productos complejos de fin de vida. </t>
    </r>
  </si>
  <si>
    <t>Cumple TODOS los criterios aplicables _
1. Desmantelamiento y descontaminación de residuos recogidos por separado para:
a. Recoger piezas y componentes aptos para su reutilización.
b. Separar los residuos no peligrosos de los peligrosos.
c. Eliminar sustancias, mezclas y componentes peligrosos.
d. Incluir documentación de los materiales que se envían para su posterior tratamiento _
2. Desmantelamiento y descontaminación de buques de desguace: instalación incluida en la Lista Europea de instalaciones de reciclaje de buques. _
3. Desmantelamiento y descontaminación de residuos de aparatos eléctricos y electrónicos y de vehículos al final de su vida útil: residuos procedentes de puntos de recogida. _</t>
  </si>
  <si>
    <t xml:space="preserve">Residuos no peligrosos - separación </t>
  </si>
  <si>
    <t xml:space="preserve">A.6.21. Residuos no peligrosos - separación </t>
  </si>
  <si>
    <t xml:space="preserve">A.6.21. Clasificación de residuos no peligrosos </t>
  </si>
  <si>
    <t xml:space="preserve">Clasificación de residuos no peligrosos </t>
  </si>
  <si>
    <t xml:space="preserve">Instalaciones para la clasificación o recuperación de flujos de residuos no peligrosos. </t>
  </si>
  <si>
    <r>
      <rPr>
        <b/>
        <sz val="8"/>
        <color rgb="FF000000"/>
        <rFont val="Santander Text"/>
        <family val="2"/>
      </rPr>
      <t xml:space="preserve">¿De qué se trata? </t>
    </r>
    <r>
      <rPr>
        <sz val="8"/>
        <color rgb="FF000000"/>
        <rFont val="Santander Text"/>
        <family val="2"/>
      </rPr>
      <t xml:space="preserve">Instalaciones para la clasificación o recuperación de flujos de residuos no peligrosos. </t>
    </r>
  </si>
  <si>
    <t>Cumple TODOS los criterios aplicables _
1. La materia prima de residuos no peligrosos procede de UNO de los siguientes:
a. Residuos recogidos y transportados por separado.
b. Fracciones de residuos no peligrosos procedentes de actividades de desmantelamiento y descontaminación de productos al final de su vida útil.
c. Residuos de construcción y demolición.
d. Residuos no peligrosos procedentes de la clasificación de residuos mezclados (papel, metal, plástico o vidrio) _
2. Mejores técnicas disponibles implementadas para mejorar el desempeño ambiental de la planta. Cumple con TODO:
-Estricto procedimiento de aceptación de residuos.
-Sistema de seguimiento para rastrear la ubicación y cantidad de residuos.
-Sistema de gestión de calidad de salida.
-Las medidas o procedimientos pertinentes de segregación de residuos para garantizar que los residuos se mantengan separados.
-Medidas para garantizar la compatibilidad de los residuos antes de mezclarlos o combinarlos.
-Clasificación y uso de tecnologías de vanguardia. _</t>
  </si>
  <si>
    <t xml:space="preserve">Residuos peligrosos - recogida/transporte </t>
  </si>
  <si>
    <t xml:space="preserve">A.6.23. Residuos peligrosos - recogida/transporte </t>
  </si>
  <si>
    <t xml:space="preserve">A.6.23. Recogida y transporte de residuos peligrosos </t>
  </si>
  <si>
    <t xml:space="preserve">Recogida y transporte de residuos peligrosos </t>
  </si>
  <si>
    <t>Recogida y transporte separados de residuos peligrosos antes del tratamiento.</t>
  </si>
  <si>
    <r>
      <rPr>
        <b/>
        <sz val="8"/>
        <color rgb="FF000000"/>
        <rFont val="Santander Text"/>
        <family val="2"/>
      </rPr>
      <t xml:space="preserve">¿De qué se trata? </t>
    </r>
    <r>
      <rPr>
        <sz val="8"/>
        <color rgb="FF000000"/>
        <rFont val="Santander Text"/>
        <family val="2"/>
      </rPr>
      <t>Recogida y transporte separados de residuos peligrosos antes del tratamiento.</t>
    </r>
  </si>
  <si>
    <t>Cumple TODOS los criterios aplicables  _
1. Los desechos peligrosos son fuentes segregadas y recogidas separadamente de los desechos no peligrosos.  _
2. La recogida y el tratamiento adecuados evitan las fugas de residuos peligrosos.  _
3. Cuando un determinado residuo clasificado como peligroso tenga también un estado de transporte de mercancías peligrosas, cumple el ADR.  _
5. Los residuos peligrosos se envasan y etiquetan de conformidad con las normas internacionales y de la UE. _
6. Residuos de Material Eléctrico y Electrónico: 
- Las categorías principales se recogen por separado. 
- La recogida y el transporte conservan la integridad total
- Sistema de gestión.  _
7. Cumple los requisitos de las mejores técnicas disponibles para el tratamiento de residuos.  _
8. Los vehículos de recogida de residuos cumplen al menos las directrices de reducción de emisiones de Santander. _</t>
  </si>
  <si>
    <t>Cumple TODOS los criterios aplicables  _
1. Los desechos peligrosos son fuentes segregadas y recogidas separadamente de los desechos no peligrosos.  _
2. La recogida y el tratamiento adecuados evitan las fugas de residuos peligrosos.  _
3. Cuando un determinado residuo clasificado como peligroso tenga también un estado de transporte de mercancías peligrosas, cumple el ADR.  _
4. La actividad utiliza vehículos de recogida de residuos que cumplen al menos las NORMAS Euro V. 
5. Los residuos peligrosos se envasan y etiquetan de conformidad con las normas internacionales y de la UE. _
6. Residuos de Material Eléctrico y Electrónico: 
- Las categorías principales se recogen por separado. 
- La recogida y el transporte conservan la integridad total
- Sistema de gestión.  _
7. Cumple los requisitos de las mejores técnicas disponibles para el tratamiento de residuos.  _</t>
  </si>
  <si>
    <t>Gestión de bio-residuos</t>
  </si>
  <si>
    <t xml:space="preserve">Lodo de aguas residuales - digestión anaeróbica </t>
  </si>
  <si>
    <t xml:space="preserve">A.6.5. Lodo de aguas residuales - digestión anaeróbica </t>
  </si>
  <si>
    <t xml:space="preserve">A.6.5. Digestión anaeróbica de lodos de depuradora </t>
  </si>
  <si>
    <t xml:space="preserve">Digestión anaeróbica de lodos de depuradora </t>
  </si>
  <si>
    <t>Construcción y explotación de instalaciones para el tratamiento de lodos de aguas residuales mediante digestión anaeróbica.</t>
  </si>
  <si>
    <r>
      <rPr>
        <b/>
        <sz val="8"/>
        <color rgb="FF000000"/>
        <rFont val="Santander Text"/>
        <family val="2"/>
      </rPr>
      <t xml:space="preserve">¿De qué se trata? </t>
    </r>
    <r>
      <rPr>
        <sz val="8"/>
        <color rgb="FF000000"/>
        <rFont val="Santander Text"/>
        <family val="2"/>
      </rPr>
      <t>Construcción y explotación de instalaciones para el</t>
    </r>
    <r>
      <rPr>
        <b/>
        <sz val="8"/>
        <color rgb="FF000000"/>
        <rFont val="Santander Text"/>
        <family val="2"/>
      </rPr>
      <t xml:space="preserve"> tratamiento de lodos de aguas residuales mediante digestión anaeróbica</t>
    </r>
    <r>
      <rPr>
        <sz val="8"/>
        <color rgb="FF000000"/>
        <rFont val="Santander Text"/>
        <family val="2"/>
      </rPr>
      <t>.</t>
    </r>
  </si>
  <si>
    <t>Cumple TODOS los criterios aplicables _
1. Plan de contingencia para minimizar las fugas de metano de las instalaciones. _
2. Los usos del biogás producido deben ser electricidad, calor, inyección en la red de gas, combustible para vehículos de materias primas en la industria química. _</t>
  </si>
  <si>
    <t xml:space="preserve">Bio-residuos - digestión anaerobia </t>
  </si>
  <si>
    <t xml:space="preserve">A.6.6. Bio-residuos - digestión anaerobia </t>
  </si>
  <si>
    <t xml:space="preserve">A.6.6. Digestión anaeróbica de biorresiduos </t>
  </si>
  <si>
    <t xml:space="preserve">Digestión anaeróbica de biorresiduos </t>
  </si>
  <si>
    <t>Construcción y explotación de instalaciones para el tratamiento de bioresiduos recogidos por separado a través de la digestión anaerobia.</t>
  </si>
  <si>
    <r>
      <rPr>
        <b/>
        <sz val="8"/>
        <color rgb="FF000000"/>
        <rFont val="Santander Text"/>
        <family val="2"/>
      </rPr>
      <t xml:space="preserve">¿De qué se trata? </t>
    </r>
    <r>
      <rPr>
        <sz val="8"/>
        <color rgb="FF000000"/>
        <rFont val="Santander Text"/>
        <family val="2"/>
      </rPr>
      <t xml:space="preserve">Construcción y explotación de instalaciones para el </t>
    </r>
    <r>
      <rPr>
        <b/>
        <sz val="8"/>
        <color rgb="FF000000"/>
        <rFont val="Santander Text"/>
        <family val="2"/>
      </rPr>
      <t>tratamiento de bioresiduos recogidos por separado a través de la digestión anaerobia</t>
    </r>
    <r>
      <rPr>
        <sz val="8"/>
        <color rgb="FF000000"/>
        <rFont val="Santander Text"/>
        <family val="2"/>
      </rPr>
      <t>.</t>
    </r>
  </si>
  <si>
    <t>Cumple TODOS los criterios aplicables  _
1. Plan de contingencia para minimizar las fugas de metano de las instalaciones. _
2. Los usos del biogás producido deben ser electricidad, calor, inyección en la red de gas, combustible para vehículos de materias primas en la industria química.  _
3. Los biorresiduos se segregan en la fuente y se recogen por separado. _
4. El producto se utiliza como fertilizante o mejorador del suelo. _
6. La planta de tratamiento de biorresiduos limita la cantidad de alimentos y piensos utilizados como materia prima de acuerdo con las normas de gestión de residuos del CBI (emisiones de metano inferiores a 1285CH4/tonelada o son auditadas por terceros para garantizar un riesgo mínimo). _</t>
  </si>
  <si>
    <t>Cumple TODOS los criterios aplicables  _
1. Plan de contingencia para minimizar las fugas de metano de las instalaciones. _
2. Los usos del biogás producido deben ser electricidad, calor, inyección en la red de gas, combustible para vehículos de materias primas en la industria química.  _
3. Los biorresiduos se segregan en la fuente y se recogen por separado. _
4. El producto se utiliza como fertilizante o mejorador del suelo. _
5. La cuota media anual de los cultivos alimentarios y alimentarios utilizados como materia prima se limita al 10 % de peso. _</t>
  </si>
  <si>
    <t xml:space="preserve">Bio-residuos - compostaje </t>
  </si>
  <si>
    <t xml:space="preserve">A.6.7. Bio-residuos - compostaje </t>
  </si>
  <si>
    <t xml:space="preserve">A.6.7. Compostaje de biorresiduos </t>
  </si>
  <si>
    <t xml:space="preserve">Compostaje de biorresiduos </t>
  </si>
  <si>
    <t>Construcción y operación de instalaciones para el tratamiento de biorresiduos recogidos por separado a través del compostaje.</t>
  </si>
  <si>
    <r>
      <rPr>
        <b/>
        <sz val="8"/>
        <color rgb="FF000000"/>
        <rFont val="Santander Text"/>
        <family val="2"/>
      </rPr>
      <t xml:space="preserve">¿De qué se trata? </t>
    </r>
    <r>
      <rPr>
        <sz val="8"/>
        <color rgb="FF000000"/>
        <rFont val="Santander Text"/>
        <family val="2"/>
      </rPr>
      <t xml:space="preserve">Construcción y operación de instalaciones para el tratamiento de </t>
    </r>
    <r>
      <rPr>
        <b/>
        <sz val="8"/>
        <color rgb="FF000000"/>
        <rFont val="Santander Text"/>
        <family val="2"/>
      </rPr>
      <t>bio-residuos recogidos por separado a través del compostaje</t>
    </r>
    <r>
      <rPr>
        <sz val="8"/>
        <color rgb="FF000000"/>
        <rFont val="Santander Text"/>
        <family val="2"/>
      </rPr>
      <t>.</t>
    </r>
  </si>
  <si>
    <t>Cumple TODOS los criterios aplicables  _
1. La actividad cumple con la definición. _</t>
  </si>
  <si>
    <t>Cumple TODOS los criterios aplicables  _
1. La actividad cumple con la definición. _
2. El compuesto producido se utiliza como fertilizante o mejorador del suelo._</t>
  </si>
  <si>
    <t xml:space="preserve">Captura y uso de bio-gas </t>
  </si>
  <si>
    <t xml:space="preserve">A.6.9. Captura y uso de bio-gas </t>
  </si>
  <si>
    <t xml:space="preserve">A.6.9. Captura y utilización de gases de vertedero </t>
  </si>
  <si>
    <t xml:space="preserve">Captura y utilización de gases de vertedero </t>
  </si>
  <si>
    <t>Instalación y funcionamiento de infraestructuras para la captación y utilización de gas en vertederos o celdas permanentemente cerradas.</t>
  </si>
  <si>
    <r>
      <rPr>
        <b/>
        <sz val="8"/>
        <color rgb="FF000000"/>
        <rFont val="Santander Text"/>
      </rPr>
      <t>¿De qué se trata?</t>
    </r>
    <r>
      <rPr>
        <sz val="8"/>
        <color rgb="FF000000"/>
        <rFont val="Santander Text"/>
      </rPr>
      <t xml:space="preserve"> Instalación y funcionamiento de </t>
    </r>
    <r>
      <rPr>
        <b/>
        <sz val="8"/>
        <color rgb="FF000000"/>
        <rFont val="Santander Text"/>
      </rPr>
      <t>infraestructuras para la captación y utilización de gas</t>
    </r>
    <r>
      <rPr>
        <sz val="8"/>
        <color rgb="FF000000"/>
        <rFont val="Santander Text"/>
      </rPr>
      <t xml:space="preserve"> en vertederos o celdas permanentemente cerradas.</t>
    </r>
  </si>
  <si>
    <t>Cumple UN criterio aplicable  _
5. Los vertederos permanentemente cerrados con nuevas instalaciones y equipos técnicos complementarios deberán tener una eficiencia de al menos el 75 %.  _
6. Operar vertederos sólo si están diseñados con una eficiencia de al menos el 75% (no se aceptan vertederos abiertos o controlados). _</t>
  </si>
  <si>
    <t>Cumple TODOS los criterios aplicables _
1. El vertedero de gas no se abrió después del 8 de julio de 2020.  _
2. El vertedero donde se instala el sistema de captación de gas se cierra permanentemente. _
3. Los usos del biogás producido deben ser electricidad, calor, inyección en la red de gas, o combustible para vehículos de materias primas en la industria química. _
4.  Las emisiones de metano del vertedero y las fugas están sujetas a diferentes procedimientos de control: 
- Lixiviado: Medición de muestreo mensual y separado y verificación trimestral/bianual de composición. 
- Agua superficial: Control anterior y posterior; control trimestral del volumen y de la composición. 
- Gas: Verificación mensual de las emisiones potenciales de gas. 
- Muestreo de las aguas subterráneas: Seguimiento de la descarga de desechos realizada en 3 lugares. 
- Monitoreo de las aguas subterráneas: Cada dos años y realizado a una frecuencia local-específica. . _</t>
  </si>
  <si>
    <t>Recuperación de bio-residuos</t>
  </si>
  <si>
    <t>A.6.20. Recuperación de bio-residuos</t>
  </si>
  <si>
    <t xml:space="preserve">A.6.20. Recuperación de biorresiduos por digestión anaeróbica o compostaje </t>
  </si>
  <si>
    <t xml:space="preserve">Recuperación de biorresiduos por digestión anaeróbica o compostaje </t>
  </si>
  <si>
    <t>Instalaciones para el tratamiento de bio-residuos recogidos por separado mediante digestión anaerobia.</t>
  </si>
  <si>
    <r>
      <rPr>
        <b/>
        <sz val="8"/>
        <color rgb="FF000000"/>
        <rFont val="Santander Text"/>
        <family val="2"/>
      </rPr>
      <t>¿De qué se trata?</t>
    </r>
    <r>
      <rPr>
        <sz val="8"/>
        <color rgb="FF000000"/>
        <rFont val="Santander Text"/>
        <family val="2"/>
      </rPr>
      <t xml:space="preserve"> Instalaciones para el tratamiento de bioresiduos recogidos por separado mediante digestión anaerobia.</t>
    </r>
  </si>
  <si>
    <t>Cumple TODOS los criterios aplicables  _
1.  - Bio-residuos usados para digestión anaeróbica o compostaje. 
- Cuando se recogen en bolsas, están certificados por la norma EN 13432:2000. _
3.  La actividad produce compuestos o químicos mediante la conversión de residuos orgánicos en carboxilatos. _
4. El compuesto resultante no está lleno de tierra. _
5. El biogás producido se utiliza directamente para la generación de electricidad o calor mediante la sustitución de gas natural. _
6. Los biorresiduos segregados procedentes de la recogida separada cumplen con las normas de gestión de residuos CBI. _</t>
  </si>
  <si>
    <t>Cumple TODOS los criterios aplicables  _
1.  - Bio-residuos usados para digestión anaeróbica o compostaje. 
- Cuando se recogen en bolsas, están certificados por la norma EN 13432:2000. _
2. - Los biorresiduos segregados procedentes de la recogida separada constituyen al menos el 70 % de la materia prima de entrada. 
- La co-digestión puede cubrir hasta el 30% de la materia prima de entrada. _
3.  La actividad produce compuestos o químicos mediante la conversión de residuos orgánicos en carboxilatos. _
4. El compuesto resultante no está lleno de tierra. _
5. El biogás producido se utiliza directamente para la generación de electricidad o calor mediante la sustitución de gas natural. _</t>
  </si>
  <si>
    <t>Suministro de agua</t>
  </si>
  <si>
    <t xml:space="preserve">Sistemas de recogida, tratamiento y abastecimiento de agua </t>
  </si>
  <si>
    <t xml:space="preserve">A.6.1. Sistemas de recogida. Tratamiento y suministro de agua </t>
  </si>
  <si>
    <t xml:space="preserve">A.6.1. Sistemas de recogida. tratamiento y suministro de agua </t>
  </si>
  <si>
    <t xml:space="preserve">Sistemas de recogida. tratamiento y suministro de agua </t>
  </si>
  <si>
    <t xml:space="preserve">Construcción, extensión y operación de sistemas de recolección, tratamiento y abastecimiento de agua. </t>
  </si>
  <si>
    <r>
      <rPr>
        <b/>
        <sz val="8"/>
        <color rgb="FF000000"/>
        <rFont val="Santander Text"/>
      </rPr>
      <t xml:space="preserve">¿De qué se trata? </t>
    </r>
    <r>
      <rPr>
        <sz val="8"/>
        <color rgb="FF000000"/>
        <rFont val="Santander Text"/>
      </rPr>
      <t xml:space="preserve">Construcción, extensión y operación de </t>
    </r>
    <r>
      <rPr>
        <b/>
        <sz val="8"/>
        <color rgb="FF000000"/>
        <rFont val="Santander Text"/>
      </rPr>
      <t>sistemas de recolección, tratamiento y abastecimiento de agua</t>
    </r>
    <r>
      <rPr>
        <sz val="8"/>
        <color rgb="FF000000"/>
        <rFont val="Santander Text"/>
      </rPr>
      <t xml:space="preserve">. </t>
    </r>
  </si>
  <si>
    <t>Cumple UN criterio aplicable _
1. Sistemas de suministro de agua de extremo a extremo con un consumo medio neto de energía máximo de 0,5 kWh/m3. _
6. Documentos de infraestructura de agua que demuestren un ahorro de agua de al menos el 20 % por unidad de servicio en comparación con la línea de base _</t>
  </si>
  <si>
    <t>Cumple UN criterio aplicable _
1. Sistemas de suministro de agua de extremo a extremo con un consumo medio neto de energía máximo de 0,5 kWh/m3 _
2. Nivel de fugas del sistema de suministro de agua calculado mediante el método de clasificación (ILI) y limitado a 1,5 _
3. Cálculo que se aplicará en toda la extensión de la red de suministro de agua donde se realicen las obras. _
4. Renovación del sistema de suministro de agua, disminuyendo el consumo medio neto de energía del sistema en un 20 % durante 3 años. _
5. La renovación del sistema de suministro de agua reduce la diferencia entre las fugas reales de la red de suministro (promediadas durante 3 años). _</t>
  </si>
  <si>
    <t>Desalinización</t>
  </si>
  <si>
    <t xml:space="preserve">A.6.12. Desalinización </t>
  </si>
  <si>
    <t xml:space="preserve">Desalinización </t>
  </si>
  <si>
    <r>
      <t xml:space="preserve">Plantas desalinizadoras para producir agua que se distribuirá en sistemas de suministro de agua potable, </t>
    </r>
    <r>
      <rPr>
        <sz val="8"/>
        <color rgb="FFFF0000"/>
        <rFont val="Santander Text"/>
        <family val="2"/>
      </rPr>
      <t>sistemas de agua de proceso operativos y para fines distintos del consumo humano</t>
    </r>
    <r>
      <rPr>
        <sz val="8"/>
        <color rgb="FF000000"/>
        <rFont val="Santander Text"/>
        <family val="2"/>
      </rPr>
      <t>.</t>
    </r>
  </si>
  <si>
    <r>
      <rPr>
        <b/>
        <sz val="8"/>
        <color rgb="FF000000"/>
        <rFont val="Santander Text"/>
        <family val="2"/>
      </rPr>
      <t>¿De qué se trata?</t>
    </r>
    <r>
      <rPr>
        <sz val="8"/>
        <color rgb="FF000000"/>
        <rFont val="Santander Text"/>
        <family val="2"/>
      </rPr>
      <t xml:space="preserve"> Plantas desalinizadoras para producir agua que se distribuirá en sistemas de suministro de agua potable, </t>
    </r>
    <r>
      <rPr>
        <sz val="8"/>
        <color rgb="FFFF0000"/>
        <rFont val="Santander Text"/>
        <family val="2"/>
      </rPr>
      <t>sistemas de agua de proceso operativos y para fines distintos al consumo humano</t>
    </r>
    <r>
      <rPr>
        <sz val="8"/>
        <color rgb="FF000000"/>
        <rFont val="Santander Text"/>
        <family val="2"/>
      </rPr>
      <t>.</t>
    </r>
  </si>
  <si>
    <t>Cumple TODOS los criterios aplicables _
2. Las plantas de desalinización deben estar alimentadas por fuentes de baja huella de carbono con una intensidad media de carbono =&lt;100g CO2e/kWh y contar con un plan de gestión de vertido de salmuera. _</t>
  </si>
  <si>
    <r>
      <t>Cumple TODOS los criterios aplicables _
1.Plantas de desalinización que funcionen con fuentes bajas en carbono,</t>
    </r>
    <r>
      <rPr>
        <sz val="8"/>
        <color rgb="FFFF0000"/>
        <rFont val="Santander Text"/>
      </rPr>
      <t xml:space="preserve"> </t>
    </r>
    <r>
      <rPr>
        <strike/>
        <sz val="8"/>
        <color rgb="FFFF0000"/>
        <rFont val="Santander Text"/>
      </rPr>
      <t>con una intensidad media de carbono ≤ 100 gCO₂e/kWh y que cuenten con planes de gestión de residuos para la eliminación de salmueras</t>
    </r>
    <r>
      <rPr>
        <sz val="8"/>
        <color rgb="FFFF0000"/>
        <rFont val="Santander Text"/>
      </rPr>
      <t>, con una intensidad media de carbono ≤ 1080 gCO₂e/m³ de agua dulce producida y que cuenten con planes de gestión de residuos para la eliminación de salmueras.</t>
    </r>
    <r>
      <rPr>
        <sz val="8"/>
        <rFont val="Santander Text"/>
        <family val="2"/>
      </rPr>
      <t xml:space="preserve"> _</t>
    </r>
  </si>
  <si>
    <t xml:space="preserve">Abastecimiento de agua </t>
  </si>
  <si>
    <t xml:space="preserve">A.6.13. Abastecimiento de agua </t>
  </si>
  <si>
    <t xml:space="preserve">A.6.13. Suministro de agua </t>
  </si>
  <si>
    <t xml:space="preserve">Suministro de agua </t>
  </si>
  <si>
    <t>Sistemas de tratamiento y suministro para el consumo humano basados en la captación de recursos naturales de agua de la superficie o de las aguas subterráneas.</t>
  </si>
  <si>
    <r>
      <rPr>
        <b/>
        <sz val="8"/>
        <color rgb="FF000000"/>
        <rFont val="Santander Text"/>
        <family val="2"/>
      </rPr>
      <t xml:space="preserve">¿De qué se trata? </t>
    </r>
    <r>
      <rPr>
        <sz val="8"/>
        <color rgb="FF000000"/>
        <rFont val="Santander Text"/>
        <family val="2"/>
      </rPr>
      <t>Sistemas de tratamiento y suministro para el consumo humano basados en la captación de recursos naturales de agua de la superficie o de las aguas subterráneas.</t>
    </r>
  </si>
  <si>
    <t>Cumple TODOS los criterios aplicables _
1. 
- El nivel de fuga del sistema se calcula utilizando el ILI y se limita a 2,0. 
- Los sistemas de suministro de agua incluyen la medición a nivel del consumidor. _
2.
- El sistema de suministro de agua ha recibido los permisos necesarios y está inscrito en el registro de extracciones de agua.
- La operación no conduce al deterioro del estado de las masas de agua afectadas. _
3. Información sobre extracciones, el estado de las masas de agua y las presiones-impactos sobre ellas incluidas en el plan de cuentas de gestión o equivalente. _</t>
  </si>
  <si>
    <t>Gestión sostenible del agua</t>
  </si>
  <si>
    <t xml:space="preserve">A.6.2. Gestión sostenible del agua </t>
  </si>
  <si>
    <t xml:space="preserve">Gestión sostenible del agua </t>
  </si>
  <si>
    <t>Resolver problemas de escasez de agua y calidad del agua mediante la gestión sostenible del agua.</t>
  </si>
  <si>
    <r>
      <rPr>
        <b/>
        <sz val="8"/>
        <color rgb="FF000000"/>
        <rFont val="Santander Text"/>
      </rPr>
      <t xml:space="preserve">¿De qué se trata? </t>
    </r>
    <r>
      <rPr>
        <sz val="8"/>
        <color rgb="FF000000"/>
        <rFont val="Santander Text"/>
      </rPr>
      <t xml:space="preserve">Resolver problemas de escasez de agua y calidad del agua mediante la </t>
    </r>
    <r>
      <rPr>
        <b/>
        <sz val="8"/>
        <color rgb="FF000000"/>
        <rFont val="Santander Text"/>
      </rPr>
      <t>gestión sostenible</t>
    </r>
    <r>
      <rPr>
        <sz val="8"/>
        <color rgb="FF000000"/>
        <rFont val="Santander Text"/>
      </rPr>
      <t xml:space="preserve"> del agua.
</t>
    </r>
    <r>
      <rPr>
        <b/>
        <sz val="8"/>
        <color rgb="FF000000"/>
        <rFont val="Santander Text"/>
      </rPr>
      <t>¿De qué NO se trata?</t>
    </r>
    <r>
      <rPr>
        <sz val="8"/>
        <color rgb="FF000000"/>
        <rFont val="Santander Text"/>
      </rPr>
      <t xml:space="preserve"> Infraestructura que suministra agua directamente para la </t>
    </r>
    <r>
      <rPr>
        <b/>
        <sz val="8"/>
        <color rgb="FF000000"/>
        <rFont val="Santander Text"/>
      </rPr>
      <t>producción de combustibles fósiles</t>
    </r>
    <r>
      <rPr>
        <sz val="8"/>
        <color rgb="FF000000"/>
        <rFont val="Santander Text"/>
      </rPr>
      <t>.</t>
    </r>
  </si>
  <si>
    <t>Cumple UN criterio aplicable  _
1. Actividades que resuelven la escasez de agua y los problemas de calidad del agua, aumentan la eficiencia del agua o reducen su uso en más del 20%. _</t>
  </si>
  <si>
    <t>Remediación</t>
  </si>
  <si>
    <t>Remediación - vertederos legalmente no conformes / abandonados / ilegales</t>
  </si>
  <si>
    <t>A.6.24. Remediación - vertederos legalmente no conformes / abandonados / ilegales</t>
  </si>
  <si>
    <t xml:space="preserve">A.6.24. Remediación de vertederos legalmente inconformes y vertederos abandonados o ilegales </t>
  </si>
  <si>
    <t xml:space="preserve">Remediación de vertederos legalmente inconformes y vertederos abandonados o ilegales </t>
  </si>
  <si>
    <t>Remediación de vertederos legalmente no conformes y de vertederos abandonados o ilegales.</t>
  </si>
  <si>
    <r>
      <rPr>
        <b/>
        <sz val="8"/>
        <color rgb="FF000000"/>
        <rFont val="Santander Text"/>
        <family val="2"/>
      </rPr>
      <t xml:space="preserve">¿De qué se trata? </t>
    </r>
    <r>
      <rPr>
        <sz val="8"/>
        <color rgb="FF000000"/>
        <rFont val="Santander Text"/>
        <family val="2"/>
      </rPr>
      <t>Remediación de vertederos legalmente no conformes y de vertederos abandonados o ilegales.</t>
    </r>
  </si>
  <si>
    <t>Cumple TODOS los criterios aplicables  _
1. Actividad de remediación no realizada por el contaminador.  _
2. Los contaminantes pertinentes se eliminan de conformidad con las normas nacionales. _
3. La actividad se lleva a cabo de acuerdo con las mejores prácticas de la industria, incluyendo: 
- Se ha cerrado el lugar de reparación. 
- Investigación preparatoria realizada. 
- Resultados de investigación utilizados para estudios de viabilidad. 
- Opciones de reparación analizadas de acuerdo con las normas de la UE. 
- El proyecto de remediación de vertederos será aprobado por la autoridad competente. 
- Todos los materiales y combustibles recuperados no representan un riesgo para el medio ambiente ni para la salud humana. 
- Se excluirán los métodos basados exclusivamente en la reducción de las concentraciones de contaminantes mediante dilución o riego. 
- Se ha puesto en marcha un plan de control y vigilancia de 10 años. _</t>
  </si>
  <si>
    <t xml:space="preserve">Remediación - lugares y áreas contaminadas </t>
  </si>
  <si>
    <t xml:space="preserve">A.6.25. Remediación - lugares y áreas contaminadas </t>
  </si>
  <si>
    <t xml:space="preserve">A.6.25. Rehabilitación de sitios y áreas contaminadas </t>
  </si>
  <si>
    <t xml:space="preserve">Rehabilitación de sitios y áreas contaminadas </t>
  </si>
  <si>
    <t>Descontaminación o remediación de suelos y aguas subterráneas en zonas contaminadas.</t>
  </si>
  <si>
    <r>
      <rPr>
        <b/>
        <sz val="8"/>
        <color rgb="FF000000"/>
        <rFont val="Santander Text"/>
        <family val="2"/>
      </rPr>
      <t>¿De qué se trata?</t>
    </r>
    <r>
      <rPr>
        <sz val="8"/>
        <color rgb="FF000000"/>
        <rFont val="Santander Text"/>
        <family val="2"/>
      </rPr>
      <t xml:space="preserve"> Descontaminación o remediación de suelos y aguas subterráneas en zonas contaminadas.</t>
    </r>
  </si>
  <si>
    <t>Cumple TODOS los criterios aplicables  _
1. Actividad de remediación no realizada por el contaminador. _
2. Los contaminantes pertinentes se eliminan de conformidad con las normas nacionales. _
3. La actividad se lleva a cabo de acuerdo con las mejores prácticas de la industria, incluyendo: 
- La actividad operacional original se interrumpió antes de cualquier evaluación. 
- Se llevan a cabo investigaciones preparatorias. 
- Opciones de reparación analizadas de acuerdo con las normas de la UE. 
- Cualquier residuo peligroso o no peligroso está sujeto a un tratamiento adecuado. 
- Métodos basados únicamente en la reducción de las concentraciones de contaminantes mediante dilución/riego excluidos. 
- Se ha puesto en marcha un plan de control y vigilancia de 10 años. _
4. El plan específico de remediación y seguimiento será aprobado por la autoridad competente. _</t>
  </si>
  <si>
    <t>Transporte y almacenamiento de carbono</t>
  </si>
  <si>
    <t xml:space="preserve">Transporte de CO2 </t>
  </si>
  <si>
    <t xml:space="preserve">A.6.10. Transporte de CO2 </t>
  </si>
  <si>
    <t>Transporte de CO2 capturado por todos los medios.</t>
  </si>
  <si>
    <r>
      <rPr>
        <b/>
        <sz val="8"/>
        <color rgb="FF000000"/>
        <rFont val="Santander Text"/>
        <family val="2"/>
      </rPr>
      <t>¿De qué se trata?</t>
    </r>
    <r>
      <rPr>
        <sz val="8"/>
        <color rgb="FF000000"/>
        <rFont val="Santander Text"/>
        <family val="2"/>
      </rPr>
      <t xml:space="preserve"> Transporte de CO2 capturado por todos los medios.</t>
    </r>
  </si>
  <si>
    <t>Cumple TODOS los criterios aplicables _
1. El CO2 transportado por la red no da lugar a fugas de más del 0,5 % de la masa transportada. _
2. Se implementan sistemas de detección de fugas y se establece un plan de seguimiento (verificado por un tercero). _
5. La tasa mínima de captura para toda la instalación debe ser del 90 %. _</t>
  </si>
  <si>
    <t>Cumple TODOS los criterios aplicables  _
1. El CO2 transportado por la red no produce fugas de más del 0,5 % de la masa transportada.  _
2. Se implementan sistemas de detección de fugas y se establece un plan de seguimiento (verificado por terceros). _
3.El CO2 se deposita en un lugar de almacenamiento. Estos sitios cumplen con la norma ISO 27914:2017.  _
4. Instalación de activos que mejoran la gestión de una red existente._
5. La tasa de captura mínima para toda la instalación debe ser del 90%.  _</t>
  </si>
  <si>
    <t xml:space="preserve">Almacenamiento subterráneo de CO2 </t>
  </si>
  <si>
    <t xml:space="preserve">A.6.11. Almacenamiento subterráneo de CO2 </t>
  </si>
  <si>
    <t xml:space="preserve">Almacenamiento permanente de CO2 capturado en formaciones geológicas subterráneas apropiadas. </t>
  </si>
  <si>
    <r>
      <rPr>
        <b/>
        <sz val="8"/>
        <color rgb="FF000000"/>
        <rFont val="Santander Text"/>
        <family val="2"/>
      </rPr>
      <t xml:space="preserve">¿De qué se trata? </t>
    </r>
    <r>
      <rPr>
        <sz val="8"/>
        <color rgb="FF000000"/>
        <rFont val="Santander Text"/>
        <family val="2"/>
      </rPr>
      <t xml:space="preserve">Almacenamiento permanente de CO2 capturado en formaciones geológicas subterráneas apropiadas. </t>
    </r>
  </si>
  <si>
    <t xml:space="preserve">Cumple TODOS los criterios aplicables  _
1. Evaluación del potencial riesgo de almacenamiento de CO2 y si la formación geológica es adecuada para su uso. _
2. Conforme con TODOS los requisitos siguientes: 
- Se aplicarán sistemas adecuados de detección de fugas. 
- Se establecerá un plan de seguimiento para las instalaciones de inyección y el entorno circundante. 
- Los informes periódicos serán verificados por la autoridad nacional competente. _
3. Para la explotación y el funcionamiento de emplazamientos de almacenamiento en terceros países, la actividad cumple la norma ISO 27914:2017 para el almacenamiento geológico de CO2.  _
</t>
  </si>
  <si>
    <t>Uso de materiales reciclados</t>
  </si>
  <si>
    <t>A.6.26. Uso de materiales reciclados</t>
  </si>
  <si>
    <t>Uso de materiales reciclados en la producción de artículos.</t>
  </si>
  <si>
    <r>
      <rPr>
        <b/>
        <sz val="8"/>
        <color rgb="FFFF0000"/>
        <rFont val="Santander Text"/>
      </rPr>
      <t xml:space="preserve">¿De qué se trata? </t>
    </r>
    <r>
      <rPr>
        <sz val="8"/>
        <color rgb="FFFF0000"/>
        <rFont val="Santander Text"/>
      </rPr>
      <t>Uso de materiales reciclados en la producción de artículos.</t>
    </r>
  </si>
  <si>
    <t>Cumple TODOS los criterios aplicables: 
1. Producto que contiene al menos un 50 % de material reciclado y cuyo producto final puede reciclarse después de su uso.
Se excluyen los productos que contienen o producen materiales difíciles de reciclar o altamente contaminantes (por ejemplo, microplásticos).
2. Los certificados aceptados para esta actividad en los que se demuestra que al menos el 50 % del material es reciclado incluyen (entre otros): 
i. Estándar Global de Reciclaje (GRS).
ii.    Estándar de declaración de reciclaje (RCS)
iii.    Plástico oceánico (OBP)
iv.    Certificado según la norma EN 15343</t>
  </si>
  <si>
    <t>Agricultura</t>
  </si>
  <si>
    <t>Agricultura sostenible</t>
  </si>
  <si>
    <t>Cultivo sostenible</t>
  </si>
  <si>
    <t>A.7.7. Cultivo sostenible</t>
  </si>
  <si>
    <t xml:space="preserve">A.7.7. Cultivo sostenible de cultivos </t>
  </si>
  <si>
    <t xml:space="preserve">Cultivo sostenible de cultivos </t>
  </si>
  <si>
    <t xml:space="preserve">Respetando su ciclo natural, baja producción de carbono o cultivos certificados. </t>
  </si>
  <si>
    <r>
      <rPr>
        <b/>
        <sz val="8"/>
        <color rgb="FF000000"/>
        <rFont val="Santander Text"/>
        <family val="2"/>
      </rPr>
      <t xml:space="preserve">De qué se trata? </t>
    </r>
    <r>
      <rPr>
        <sz val="8"/>
        <color rgb="FF000000"/>
        <rFont val="Santander Text"/>
        <family val="2"/>
      </rPr>
      <t xml:space="preserve">Respetando su ciclo natural, baja producción de carbono o cultivos certificados. </t>
    </r>
  </si>
  <si>
    <r>
      <t xml:space="preserve">Cumple UN criterio aplicable _
1. Los cultivos se cultivan dentro de su ciclo natural o utilizan energía de baja huella de carbono para calor y electricidad. _
2. UNA certificación de agricultura ecológica:
a. EU Organic
b. USDA
c. Canada Organic
d. Nespresso AAA Sustainable Quality Program for Organic Farming
e. Biosuisse for cropping agriculture
f. Orgánico SAGARPA Mexico for cropping agriculture
g. Orgánico Brasil for cropping agriculture
h. Certificación de Productos Orgánicos Agrícolas de la SAG
i. Regenerative Organic Certified
j. DAKKS – Mayacert
k. Union for Ethical Bio Trade (UEBT)
l. ZERYA – Produção Agro sem Resíduos _
3. UNA certificación de agricultura sostenible:
a. Naturland
b. Linking Environment and Farming (LEAF) Standard
c. Sustainable Rice Platform (SRP)
d. Bord Bia Quality Assurance Scheme
e. Fairtrade International
f. ProTerra Standard for cropping agriculture
g. Rainforest Alliance
h. Bonsucro
i. UTZ Certification for cropping agriculture
j. 4C Code of Conduct
k. C.A.F.E Practices Verification
l. Global Good Agricultural Practice (Global GAP), including Integrated Farm Assurance - Crops Base
m. Fairtrade International
n. Planet Proof
</t>
    </r>
    <r>
      <rPr>
        <sz val="8"/>
        <color rgb="FFFF0000"/>
        <rFont val="Santander Text"/>
      </rPr>
      <t>o</t>
    </r>
    <r>
      <rPr>
        <sz val="8"/>
        <color rgb="FF000000"/>
        <rFont val="Santander Text"/>
        <family val="2"/>
      </rPr>
      <t xml:space="preserve">. RSPO Roundtable on Sustainable Palm Oil
</t>
    </r>
    <r>
      <rPr>
        <sz val="8"/>
        <color rgb="FFFF0000"/>
        <rFont val="Santander Text"/>
      </rPr>
      <t xml:space="preserve">p. Aapresid Certificaciones (Cert. Agricultura Sustentable Certificada - ASC, Argentina)
q. Buenas Prácticas Agrícolas Certificadas (BPA, Argentina) at National level
r. Certificación OIA (Organización Internacional Agropecuaria, Argentina)
s. SAI Platform
t. Certificados de producción integrada (solo de España y Portugal)
u. Sustainable grown certificate </t>
    </r>
    <r>
      <rPr>
        <sz val="8"/>
        <color rgb="FF000000"/>
        <rFont val="Santander Text"/>
        <family val="2"/>
      </rPr>
      <t xml:space="preserve">_
4. UNA certificación de soja:
a. Roundtable for Responsible Soy (RTRS)
b. 3S Cargill Program (Triple S Soy)
5. UNA certificación de algodón:
a. Better Cotton Initiative (BCI)
b. ECOCERT COMOS Organic
c. OEKO-TEX Organic Cotton
d. ABR Algodão Brasileiro Responsável / Brazilian Responsible Cotton (ABR) _
6. UNA certificación de vino:
</t>
    </r>
    <r>
      <rPr>
        <sz val="8"/>
        <color rgb="FFFF0000"/>
        <rFont val="Santander Text"/>
      </rPr>
      <t>a. Wineries for Climate Protection (WfCP)
b. Bodegas de Argentina (Argentina)
c. Código Nacional de Sustentabilidad de la Industria Vinícola (Chile) - Sustainability Code for Wineries of Chile
d. The National Reference of Sustainability Certification in the Wine Sector (Portugal)
e. Wines of Alentejo Sustainability Programme (Portugal)</t>
    </r>
    <r>
      <rPr>
        <sz val="8"/>
        <color rgb="FF000000"/>
        <rFont val="Santander Text"/>
        <family val="2"/>
      </rPr>
      <t xml:space="preserve"> _</t>
    </r>
  </si>
  <si>
    <t>12) Consumo y producción responsables
14) Vida submarina
15) Vida de ecosistemas terrestres</t>
  </si>
  <si>
    <t>Remediación de suelo</t>
  </si>
  <si>
    <t>A.7.8. Remediación de suelo</t>
  </si>
  <si>
    <t xml:space="preserve">A.7.8. Remedios del suelo </t>
  </si>
  <si>
    <t xml:space="preserve">Remedios del suelo </t>
  </si>
  <si>
    <t>Recuperación y restauración de suelos degradados</t>
  </si>
  <si>
    <r>
      <rPr>
        <b/>
        <sz val="8"/>
        <color rgb="FF000000"/>
        <rFont val="Santander Text"/>
        <family val="2"/>
      </rPr>
      <t xml:space="preserve">¿De qué se trata? </t>
    </r>
    <r>
      <rPr>
        <sz val="8"/>
        <color rgb="FF000000"/>
        <rFont val="Santander Text"/>
        <family val="2"/>
      </rPr>
      <t>Recuperación y restauración de suelos degradados</t>
    </r>
  </si>
  <si>
    <t>Cumple UN criterio aplicable _
1. Normas de la UE relativas a las buenas condiciones agrarias y medioambientales de la tierra, relativas a la gestión del suelo. _
2. Medidas para evitar la salinización y mantener su fertilidad.  _
3. Se cumple UNA de las siguientes prácticas:
a. Pastos sembrados respetando la biodiversidade (no pastoreo industrial de ganado)
b. Fijación biológica de nitrógeno
c. Bajo uso de fertilizantes sintéticos(uso de fertilizantes orgánicos)
d. Uso mínimo de pesticidas
e. Tratamiento del suelo para la producción de biogás
f. Agricultura seca
g. Rotación de la cosecha
h. Siembra de diversos cultivos de cobertura _</t>
  </si>
  <si>
    <t xml:space="preserve">Tecnologias agrícolas de bajo carbono </t>
  </si>
  <si>
    <t xml:space="preserve">A.7.9. Tecnologias agrícolas de bajo carbono </t>
  </si>
  <si>
    <t xml:space="preserve">A.7.9. Tecnologías agrícolas con bajas emisiones de carbono para mejorar la eficiencia (por ejemplo. técnicas utilizadas en la agricultura de precisión. la agricultura hidropónica. la agricultura de aeropónica) </t>
  </si>
  <si>
    <t xml:space="preserve">Tecnologías agrícolas con bajas emisiones de carbono para mejorar la eficiencia (por ejemplo. técnicas utilizadas en la agricultura de precisión. la agricultura hidropónica. la agricultura de aeropónica) </t>
  </si>
  <si>
    <t xml:space="preserve">Tecnologias agrícolas de bajo carbono que mejoran la productividad y la eficiencia, reduciendo el impacto ambiental </t>
  </si>
  <si>
    <r>
      <rPr>
        <b/>
        <sz val="8"/>
        <color rgb="FF000000"/>
        <rFont val="Santander Text"/>
        <family val="2"/>
      </rPr>
      <t>¿De qué se trata?</t>
    </r>
    <r>
      <rPr>
        <sz val="8"/>
        <color rgb="FF000000"/>
        <rFont val="Santander Text"/>
        <family val="2"/>
      </rPr>
      <t xml:space="preserve"> Tecnologias agrícolas de bajo carbono que mejoran la productividad y la eficiencia, reduciendo el impacto ambiental </t>
    </r>
  </si>
  <si>
    <t>Cumple UN criterio aplicable _
1. Mejora la productividad y la eficiencia, reduciendo el impacto ambiental. _
2. Utilización de fuentes de energía renovables en el processo agrícola. _
3. Actividad que contribuye a los 6 objetivos medioambientales:
- Mitigación del cambio climático 
- Adaptación al cambio climático 
- Uso sostenible y protección del agua y los recursos marinos 
- Transición a una economía circular 
- Prevención y control de la contaminación 
- Protección/restauración de la biodiversidad  _</t>
  </si>
  <si>
    <t xml:space="preserve">Máquinas eléctricas eficientes (Expt. tecnología para producción pecuaria) </t>
  </si>
  <si>
    <t xml:space="preserve">A.7.10. Máquinas eléctricas eficientes (Expt. tecnología para producción pecuaria) </t>
  </si>
  <si>
    <t xml:space="preserve">A.7.10. Maquinaria eléctrica eficiente. excluyendo la tecnología para la producción ganadera </t>
  </si>
  <si>
    <t xml:space="preserve">Maquinaria eléctrica eficiente. excluyendo la tecnología para la producción ganadera </t>
  </si>
  <si>
    <t>Maquinaria eléctrica para la producción ganadera, buscando la eficiencia y reduciendo las emisiones.</t>
  </si>
  <si>
    <r>
      <rPr>
        <b/>
        <sz val="8"/>
        <color rgb="FF000000"/>
        <rFont val="Santander Text"/>
        <family val="2"/>
      </rPr>
      <t>¿De qué se trata?</t>
    </r>
    <r>
      <rPr>
        <sz val="8"/>
        <color rgb="FF000000"/>
        <rFont val="Santander Text"/>
        <family val="2"/>
      </rPr>
      <t xml:space="preserve"> Maquinaria eléctrica para la producción ganadera, buscando la eficiencia y reduciendo las emisiones.</t>
    </r>
  </si>
  <si>
    <t>Cumple UN criterio aplicable _
1. Vehículos de emisiones 0. _
2- Vehículos pesados con emisiones de CO2 directas inferiores al 50% de su grupo de referencia. _
3. Mejora la eficiencia del uso de fertilizantes. _
4. Adquisición de maquinaria eléctrica de baja emisión o I+D. _</t>
  </si>
  <si>
    <t xml:space="preserve">Agricultura regenerativa </t>
  </si>
  <si>
    <t xml:space="preserve">A.7.11. Agricultura regenerativa </t>
  </si>
  <si>
    <t xml:space="preserve">Prácticas agrícolas regenerativas </t>
  </si>
  <si>
    <r>
      <rPr>
        <b/>
        <sz val="8"/>
        <color rgb="FF000000"/>
        <rFont val="Santander Text"/>
        <family val="2"/>
      </rPr>
      <t>¿De qué se trata?</t>
    </r>
    <r>
      <rPr>
        <sz val="8"/>
        <color rgb="FF000000"/>
        <rFont val="Santander Text"/>
        <family val="2"/>
      </rPr>
      <t xml:space="preserve"> Prácticas agrícolas regenerativas </t>
    </r>
  </si>
  <si>
    <r>
      <t xml:space="preserve">Meets ONE applicable criterion _
1. No-till farming OR receives Eco-scheme P4 funding. _
2. Cover cropping practices preserve biological structure OR receives Eco-scheme P3 funding. _
3. Crop rotation OR receives Eco-scheme P3 funding. _
4. Reduce reliance on synthetic inputs. _
5. Build silvopastures combining managed grazing and agroforestry techniques. _
6. Regenerative Organic Certified / Certificación Ecológica / Farm Sustainability Assessment (FSA) Program / ISCC Non-GMO Food &amp; Feed.
</t>
    </r>
    <r>
      <rPr>
        <sz val="8"/>
        <color rgb="FFFF0000"/>
        <rFont val="Santander Text"/>
      </rPr>
      <t>7. Aapresid Certificaciones (Cert. Agricultura Sustentable Certificada - ASC)</t>
    </r>
    <r>
      <rPr>
        <sz val="8"/>
        <color rgb="FF000000"/>
        <rFont val="Santander Text"/>
        <family val="2"/>
      </rPr>
      <t>_</t>
    </r>
  </si>
  <si>
    <t xml:space="preserve">Estructuras agrícolas </t>
  </si>
  <si>
    <t xml:space="preserve">A.7.12. Estructuras agrícolas </t>
  </si>
  <si>
    <t xml:space="preserve">Estructuras para la economía de agua y energía </t>
  </si>
  <si>
    <r>
      <rPr>
        <b/>
        <sz val="8"/>
        <color rgb="FF000000"/>
        <rFont val="Santander Text"/>
        <family val="2"/>
      </rPr>
      <t>¿De qué se trata?</t>
    </r>
    <r>
      <rPr>
        <sz val="8"/>
        <color rgb="FF000000"/>
        <rFont val="Santander Text"/>
        <family val="2"/>
      </rPr>
      <t xml:space="preserve"> Estructuras para la economía de agua y energía </t>
    </r>
  </si>
  <si>
    <t>Cumple UN criterio aplicable _
1. Estructuras agrícolas: 30 % de reducción del consumo de energía o 100 % de energías renovables (nuevas estructuras). _
2. Otras estructuras agrícolas que asegurar el ahorro de agua y energía. _
3.Agricultura interior: Asegurar la reducción del uso de agua, energía y fertilizantes y que la estructura es adecuada para las condiciones climáticas del sitio. _</t>
  </si>
  <si>
    <t xml:space="preserve">A.7.13. Sistemas integrados de cultivo. ganadería y silvicultura (ICLFS) </t>
  </si>
  <si>
    <t xml:space="preserve">Sistemas integrados de cultivo. ganadería y silvicultura (ICLFS) </t>
  </si>
  <si>
    <t xml:space="preserve">Operaciones que utilizan ICLFS, donde las operaciones tienen procesos de gestión forestal sostenible. </t>
  </si>
  <si>
    <r>
      <rPr>
        <b/>
        <sz val="8"/>
        <color rgb="FF000000"/>
        <rFont val="Santander Text"/>
        <family val="2"/>
      </rPr>
      <t xml:space="preserve">¿De qué se trata? </t>
    </r>
    <r>
      <rPr>
        <sz val="8"/>
        <color rgb="FF000000"/>
        <rFont val="Santander Text"/>
        <family val="2"/>
      </rPr>
      <t xml:space="preserve">Operaciones que utilizan ICLFS, donde las operaciones tienen procesos de gestión forestal sostenible. </t>
    </r>
  </si>
  <si>
    <t>Cumple UN criterio aplicable _
1. Cumple la definición EXCLUYENDO los proyectos de gestión ganadera para los procesadores/productores de carne, así como los proyectos para ganado a escala industrial. _</t>
  </si>
  <si>
    <t>Producción sostenible de alimentos</t>
  </si>
  <si>
    <t>A.7.14. Producción sostenible de alimentos</t>
  </si>
  <si>
    <t xml:space="preserve">A.7.14. Producción sostenible de piensos </t>
  </si>
  <si>
    <t xml:space="preserve">Producción sostenible de piensos </t>
  </si>
  <si>
    <t xml:space="preserve">Alimentos bajos en aditivos para reducir la formación de gas o que garantizan la certificación de soja (excluidos los proyectos a escala industrial) </t>
  </si>
  <si>
    <r>
      <rPr>
        <b/>
        <sz val="8"/>
        <color rgb="FF000000"/>
        <rFont val="Santander Text"/>
        <family val="2"/>
      </rPr>
      <t>¿De qué se trata?</t>
    </r>
    <r>
      <rPr>
        <sz val="8"/>
        <color rgb="FF000000"/>
        <rFont val="Santander Text"/>
        <family val="2"/>
      </rPr>
      <t xml:space="preserve"> Alimentos bajos en aditivos para reducir la formación de gas o que garantizan la certificación de soja (excluidos los proyectos a escala industrial) </t>
    </r>
  </si>
  <si>
    <t>Cumple UN criterio aplicable _
1. Proceso de producción alineado con los Criterios de Santander (TODOS) para:
- Cultivos sostenibles 
- Manejo del ganado 
- Estructuras agrícolas  _
2. Aditivos para reducir la formación de metano u otros gases en el intestino. _
3. Producción de soja certificada (UNA): 
-The Roundtable on Responsible Soy Association (RTRS) 
-The ProTerra Standard for Sustainable Soy Production 
-Cargill Triple S™ (Sustainably Sourced &amp; Supplied) 
-Certificación Ecológica
-Basel Criteria for Responsible Soy Production
-European Compound Feed Manufacturers’ Federation (FEFAC) Soy Sourcing Guidelines
-US Soy Sustainability Assurance Protocol (SSAP)
-ISCC Non-GMO Food &amp; Feed _</t>
  </si>
  <si>
    <t>Producción agrícola sostenible</t>
  </si>
  <si>
    <t xml:space="preserve">A.7.18. Producción agrícola sostenible </t>
  </si>
  <si>
    <t xml:space="preserve">Producción agrícola sostenible </t>
  </si>
  <si>
    <t>Producción acorde a las normas y estándares agrícolas</t>
  </si>
  <si>
    <r>
      <rPr>
        <b/>
        <sz val="8"/>
        <color rgb="FF000000"/>
        <rFont val="Santander Text"/>
        <family val="2"/>
      </rPr>
      <t xml:space="preserve">¿De qué se trata? </t>
    </r>
    <r>
      <rPr>
        <sz val="8"/>
        <color rgb="FF000000"/>
        <rFont val="Santander Text"/>
        <family val="2"/>
      </rPr>
      <t>Producción acorde a las normas y estândares agrícolas</t>
    </r>
  </si>
  <si>
    <r>
      <t xml:space="preserve">Meets ALL the applicable criteria _
1.Short rotation advanced-bioenergy crop production on marginal/pastures land which complies with Greening Environmental Certification System. _
2. Avoidance of GHG emissions in storage and processing of manure and slurry, and management of grasslands through AT LEAST ONE of the following:
a. Optimising fertilization
b. Low-emission slurry applications and machines _
3. Electrical Agricultural Equipment for crop and livestock production. _
4. ONE certified agricultural activity:
A. ONE Organic agriculture certification:
a. EU Organic
b. USDA
c. Canada Organic
d. Nespresso AAA Sustainable Quality Program for Organic Farming
e. Biosuisse for cropping agriculture
f. Orgánico SAGARPA Mexico for cropping agriculture
g. Organico Brasil for cropping agriculture
h. SAG´s Certificación de Productos Orgánicos Agrícolas
i. Regenerative Organic Certified
j. DAKKS – Mayacert
B. ONE Sustainable agriculture certification
a. Naturland
b. Linking Environment and Farming (LEAF) Standard
c. Good Cultivation and Harvesting Practices for Medicinal Plants (GACP)
d. Sustainable Rice Platform (SRP)
e. Bord Bia Quality Assurance Scheme
f. ProTerra Standard for cropping agriculture
g. Rainforest Alliance
h. Bonsucro
i. UTZ Certification for cropping agriculture
j. 4C Code of Conduct
k. C.A.F.E Practices Verification
l. Global Good Agricultural Practice (Global GAP), including Integrated Farm Assurance - Crops Base
m. Sustainable Agriculture Network Standards (SAN)
n. Planet Proof
o. Tesco Nurture
p. Wineries for Climate Protection (WfCP)
</t>
    </r>
    <r>
      <rPr>
        <sz val="8"/>
        <color rgb="FFFF0000"/>
        <rFont val="Santander Text"/>
      </rPr>
      <t xml:space="preserve">q. Certificaciones Aapresid (Cert. Agricultura Sustentable Certificada – ASC)
r. Certificados de producción integrada (solo de España y Portugal)
s. Certificado de cultivo sostenible
</t>
    </r>
    <r>
      <rPr>
        <sz val="8"/>
        <color rgb="FF000000"/>
        <rFont val="Santander Text"/>
        <family val="2"/>
      </rPr>
      <t xml:space="preserve">
C. ONE Soy certification:
a. Roundtable for Responsible Soy (RTRS)
b. 3S Cargill Program (Triple S Soy)
D. ONE Cotton certification
a. Better Cotton Initiative (BCI)
b. ECOCERT COMOS Organic
c. OEKO-TEX Organic Cotton
d. ABR Algodao Brasileiro Responsavel/ Brazilian Responsible Cotton (ABR) _</t>
    </r>
  </si>
  <si>
    <t>Agricultura orgánica</t>
  </si>
  <si>
    <t xml:space="preserve">A.7.19. Agricultura ecológica </t>
  </si>
  <si>
    <t xml:space="preserve">Agricultura ecológica </t>
  </si>
  <si>
    <t xml:space="preserve">Evitar el uso de fertilizantes sintéticos y pesticidas en la agricultura </t>
  </si>
  <si>
    <r>
      <rPr>
        <b/>
        <sz val="8"/>
        <color rgb="FF000000"/>
        <rFont val="Santander Text"/>
        <family val="2"/>
      </rPr>
      <t>¿De qué se trata?</t>
    </r>
    <r>
      <rPr>
        <sz val="8"/>
        <color rgb="FF000000"/>
        <rFont val="Santander Text"/>
        <family val="2"/>
      </rPr>
      <t xml:space="preserve"> Evitar el uso de fertilizantes sintéticos y pesticidas en la agricultura </t>
    </r>
  </si>
  <si>
    <r>
      <t xml:space="preserve">Cumple UN criterio aplicable _
1. Cumple TODO lo siguiente:
- Evitar fertilizantes y pesticidas.
- Registrado en una agencia de control nacional pertinente.
- Inspección anual y un conjunto de controles de cumplimiento de la producción orgánica.
- Proceso de conversión en curso:
- Durante el proceso de conversión, la producción no puede venderse como orgánica.
- Su duración depende del tipo de producto orgánico que se vaya a producir. _
2. UNO de los siguientes certificados:
a. Orgánico de la UE
b. USDA 
c. Canadá Orgánico
d. Programa de calidad sostenible AAA de Nespresso para la agricultura ecológica
e. Orgánico SAGARPA México para la agricultura de cultivos
f. Orgánico Brasil para la agricultura de cultivos
g. Etiqueta ecológica JAS
h. Certificación de Productos Orgánicos Agrícolas de la SAG 
i. Biosuisse para la agricultura de cultivos 
j. Naturland 
</t>
    </r>
    <r>
      <rPr>
        <sz val="8"/>
        <color rgb="FFFF0000"/>
        <rFont val="Santander Text"/>
        <family val="2"/>
      </rPr>
      <t xml:space="preserve">k. DAKKS - Mayacert
l. Norma Textil Orgánica Global
</t>
    </r>
    <r>
      <rPr>
        <sz val="8"/>
        <color rgb="FF000000"/>
        <rFont val="Santander Text"/>
        <family val="2"/>
      </rPr>
      <t xml:space="preserve">m. Certificación equivalente (certificación ecológica)
</t>
    </r>
    <r>
      <rPr>
        <strike/>
        <sz val="8"/>
        <color rgb="FF000000"/>
        <rFont val="Santander Text"/>
        <family val="2"/>
      </rPr>
      <t>n. Criterios de Basilea para la producción responsable de soja
o. ISCC Alimentos y piensos no transgénicos _</t>
    </r>
  </si>
  <si>
    <t>Compra y transformación de tierras sostenibles</t>
  </si>
  <si>
    <t xml:space="preserve">A.7.20. Compra y Transformación de Tierras Sostenibles </t>
  </si>
  <si>
    <t xml:space="preserve">Compra y Transformación de Tierras Sostenibles </t>
  </si>
  <si>
    <t xml:space="preserve">Transformación de tierras agrícolas recién adquiridas con prácticas que reduzcan las emisiones. </t>
  </si>
  <si>
    <r>
      <rPr>
        <b/>
        <sz val="8"/>
        <color rgb="FF000000"/>
        <rFont val="Santander Text"/>
        <family val="2"/>
      </rPr>
      <t xml:space="preserve">¿De qué se trata? </t>
    </r>
    <r>
      <rPr>
        <sz val="8"/>
        <color rgb="FF000000"/>
        <rFont val="Santander Text"/>
        <family val="2"/>
      </rPr>
      <t xml:space="preserve">Transformación de tierras agrícolas recién adquiridas con prácticas que reduzcan las emisiones. </t>
    </r>
  </si>
  <si>
    <t>Cumple TODOS los criterios aplicables _
1. Antes de la adquisición se presenta un plan de Gestión agrícola.  _
2. Auditorías realizadas para garantizar el cumplimeinto de las metas y objetivos de sostenibilidad. _
3. Recopilación e informes precisos de datos . _
4. Los KPIs de sostenibilidad incluyen fertilización sostenible, gestión del suelo, gestión de agua y prácticas de gestión de la biodiversidad. _</t>
  </si>
  <si>
    <t>Forestación / Reforestación</t>
  </si>
  <si>
    <t>Forestación</t>
  </si>
  <si>
    <t xml:space="preserve">A.7.1. Forestación </t>
  </si>
  <si>
    <t xml:space="preserve">Forestación </t>
  </si>
  <si>
    <t>Plantar, sembrar o regenerar un bosque en una tierra previamente utilizada para un propósito diferente/no utilizado.</t>
  </si>
  <si>
    <r>
      <rPr>
        <b/>
        <sz val="8"/>
        <color rgb="FF000000"/>
        <rFont val="Santander Text"/>
        <family val="2"/>
      </rPr>
      <t>¿De qué se trata?</t>
    </r>
    <r>
      <rPr>
        <sz val="8"/>
        <color rgb="FF000000"/>
        <rFont val="Santander Text"/>
        <family val="2"/>
      </rPr>
      <t xml:space="preserve"> Plantar, sembrar o regenerar un bosque en una tierra previamente utilizada para un propósito diferente/no utilizado.</t>
    </r>
  </si>
  <si>
    <r>
      <t xml:space="preserve">Cumple UN criterio aplicable _
1. Actividades relacionadas con papel, madera o corcho (solo si proceden de bosques bien gestionados conforme a FSC y PEFC. En caso contrario, NO son elegibles). </t>
    </r>
    <r>
      <rPr>
        <sz val="8"/>
        <color rgb="FFFF0000"/>
        <rFont val="Santander Text"/>
      </rPr>
      <t>Para el corcho procedente de España o Portugal, no se requiere certificación, pero una evaluación ambiental y social debe confirmar que no existen incidencias. Si el contenido de corcho es inferior al 90%, los materiales y el proceso de fabricación deben revisarse específicamente para verificar el cumplimiento</t>
    </r>
    <r>
      <rPr>
        <sz val="8"/>
        <color theme="1"/>
        <rFont val="Santander Text"/>
        <family val="2"/>
      </rPr>
      <t>. _
2. Certificación de un esquema creíble, también para el maíz (p. ej., FSC, PEFC). _
3. Eco-esquema P5 en el que toda el área recibe financiación. _</t>
    </r>
  </si>
  <si>
    <r>
      <rPr>
        <sz val="8"/>
        <color rgb="FF000000"/>
        <rFont val="Santander Text"/>
        <family val="2"/>
      </rPr>
      <t xml:space="preserve">Cumple TODOS los criterios aplicables _
</t>
    </r>
    <r>
      <rPr>
        <sz val="8"/>
        <color rgb="FF0070C0"/>
        <rFont val="Santander Text"/>
        <family val="2"/>
      </rPr>
      <t>4</t>
    </r>
    <r>
      <rPr>
        <sz val="8"/>
        <color rgb="FFFFFF00"/>
        <rFont val="Santander Text"/>
        <family val="2"/>
      </rPr>
      <t>.</t>
    </r>
    <r>
      <rPr>
        <sz val="8"/>
        <color rgb="FF000000"/>
        <rFont val="Santander Text"/>
        <family val="2"/>
      </rPr>
      <t xml:space="preserve"> Contenido del plan de forestación de más de 5 años, actualizado y supervisado continuamente:
-Descripción del área / publicación en el boletín oficial
-Preparación del sitio y sus impactos en las reservas de carbono preexistentes
-Restricciones, definición y evaluación de la gestión de riesgos y estrategias
-Evaluación del impacto en la seguridad alimentaria
-Contexto del hábitat forestal
-Infraestructura y acceso
-Cuestiones sociales _
</t>
    </r>
    <r>
      <rPr>
        <sz val="8"/>
        <color rgb="FF0070C0"/>
        <rFont val="Santander Text"/>
        <family val="2"/>
      </rPr>
      <t>5.</t>
    </r>
    <r>
      <rPr>
        <sz val="8"/>
        <color rgb="FF000000"/>
        <rFont val="Santander Text"/>
        <family val="2"/>
      </rPr>
      <t xml:space="preserve"> Plan de gestión forestal de más de 10 años que incluya los contenidos del criterio n.º </t>
    </r>
    <r>
      <rPr>
        <sz val="8"/>
        <color rgb="FF0070C0"/>
        <rFont val="Santander Text"/>
        <family val="2"/>
      </rPr>
      <t>4</t>
    </r>
    <r>
      <rPr>
        <sz val="8"/>
        <color rgb="FF000000"/>
        <rFont val="Santander Text"/>
        <family val="2"/>
      </rPr>
      <t xml:space="preserve">. _
</t>
    </r>
    <r>
      <rPr>
        <sz val="8"/>
        <color rgb="FF0070C0"/>
        <rFont val="Santander Text"/>
        <family val="2"/>
      </rPr>
      <t>6.</t>
    </r>
    <r>
      <rPr>
        <sz val="8"/>
        <color rgb="FF000000"/>
        <rFont val="Santander Text"/>
        <family val="2"/>
      </rPr>
      <t xml:space="preserve"> Sistemas de gestión para garantizar el mantenimiento de los niveles de reservas y sumideros de carbono (sujetos a la debida diligencia). _
</t>
    </r>
    <r>
      <rPr>
        <sz val="8"/>
        <color rgb="FF0070C0"/>
        <rFont val="Santander Text"/>
        <family val="2"/>
      </rPr>
      <t>7</t>
    </r>
    <r>
      <rPr>
        <sz val="8"/>
        <color rgb="FF000000"/>
        <rFont val="Santander Text"/>
        <family val="2"/>
      </rPr>
      <t xml:space="preserve">. Cumple con UNO de los siguientes:
a. Directrices paneuropeas para la forestación y reforestación con especial atención a las disposiciones de la CMNUCC.
b. En caso de realizar actividades de cuidado, raleo o pastoreo, se requiere una evaluación de su potencial carácter invasivo. _
</t>
    </r>
    <r>
      <rPr>
        <sz val="8"/>
        <color rgb="FF0070C0"/>
        <rFont val="Santander Text"/>
        <family val="2"/>
      </rPr>
      <t>8</t>
    </r>
    <r>
      <rPr>
        <sz val="8"/>
        <color rgb="FF000000"/>
        <rFont val="Santander Text"/>
        <family val="2"/>
      </rPr>
      <t xml:space="preserve">. Los bosques de más de 13 ha realizan un análisis de beneficios climáticos para los depósitos de carbono que cumple con TODO:
-El balance de emisiones de GEI a 30 años es inferior a la línea de base de las prácticas BAU en ausencia de la actividad.
-Conservador y coherente con las Directrices del IPCC para los inventarios nacionales de gases de efecto invernadero. 
-Evaluación de riesgos para: no permanencia y reversiones de secuestro de carbono, saturación y fugas.
-La práctica BAU es UNA de las siguientes:
</t>
    </r>
    <r>
      <rPr>
        <sz val="8"/>
        <color rgb="FF0070C0"/>
        <rFont val="Santander Text"/>
        <family val="2"/>
      </rPr>
      <t>i.</t>
    </r>
    <r>
      <rPr>
        <sz val="8"/>
        <color rgb="FFFF0000"/>
        <rFont val="Santander Text"/>
        <family val="2"/>
      </rPr>
      <t xml:space="preserve"> </t>
    </r>
    <r>
      <rPr>
        <sz val="8"/>
        <color rgb="FF000000"/>
        <rFont val="Santander Text"/>
        <family val="2"/>
      </rPr>
      <t xml:space="preserve">Prácticas del Plan de Gestión
</t>
    </r>
    <r>
      <rPr>
        <sz val="8"/>
        <color rgb="FF0070C0"/>
        <rFont val="Santander Text"/>
        <family val="2"/>
      </rPr>
      <t>ii.</t>
    </r>
    <r>
      <rPr>
        <sz val="8"/>
        <color rgb="FF000000"/>
        <rFont val="Santander Text"/>
        <family val="2"/>
      </rPr>
      <t xml:space="preserve"> Prácticas de gestión previas al inicio de la actividad
</t>
    </r>
    <r>
      <rPr>
        <sz val="8"/>
        <color rgb="FF0070C0"/>
        <rFont val="Santander Text"/>
        <family val="2"/>
      </rPr>
      <t>iii</t>
    </r>
    <r>
      <rPr>
        <sz val="8"/>
        <color rgb="FFFF0000"/>
        <rFont val="Santander Text"/>
        <family val="2"/>
      </rPr>
      <t>.</t>
    </r>
    <r>
      <rPr>
        <sz val="8"/>
        <color rgb="FF000000"/>
        <rFont val="Santander Text"/>
        <family val="2"/>
      </rPr>
      <t xml:space="preserve"> Gestión de las reservas de carbono y los niveles de sumideros 
-La resolución es proporcional al tamaño y los valores de la zona.
-Las emisiones/absorciones debidas a perturbaciones naturales que causan un bajo rendimiento no dan lugar a incumplimiento. _
</t>
    </r>
    <r>
      <rPr>
        <sz val="8"/>
        <color rgb="FF0070C0"/>
        <rFont val="Santander Text"/>
        <family val="2"/>
      </rPr>
      <t>9</t>
    </r>
    <r>
      <rPr>
        <sz val="8"/>
        <color rgb="FF000000"/>
        <rFont val="Santander Text"/>
        <family val="2"/>
      </rPr>
      <t>. Después de 2 años y cada 10 años a partir de entonces: Mitigación del cambio climático y criterios DNSH verificados por UNO de los siguientes:
-Autoridad nacional.
-Certificador independiente externo. _</t>
    </r>
  </si>
  <si>
    <t>Gestión forestal</t>
  </si>
  <si>
    <t>A.7.3. Gestión forestal</t>
  </si>
  <si>
    <t xml:space="preserve">A.7.3. Ordenación forestal </t>
  </si>
  <si>
    <t xml:space="preserve">Ordenación forestal </t>
  </si>
  <si>
    <t>Actividades de gestión forestal de acuerdo con la legislación nacional.</t>
  </si>
  <si>
    <r>
      <rPr>
        <b/>
        <sz val="8"/>
        <color rgb="FF000000"/>
        <rFont val="Santander Text"/>
        <family val="2"/>
      </rPr>
      <t xml:space="preserve">¿De qué se trata? </t>
    </r>
    <r>
      <rPr>
        <sz val="8"/>
        <color rgb="FF000000"/>
        <rFont val="Santander Text"/>
        <family val="2"/>
      </rPr>
      <t>Actividades de gestión forestal de acuerdo con la legislación nacional.</t>
    </r>
  </si>
  <si>
    <r>
      <t xml:space="preserve">Cumple UN criterio aplicable _
7. Cumple UNA de las siguientes actividades:
- Restauración de bosques nativos y de alto valor de conservación.
- Preservación de hábitats naturales valiosos.
- Restauración de parques o azoteas verdes en zonas urbanas.
- Conservación permanente de la tierra / no causada por el cliente - remediación de suelos contaminados.
- Financiación de programas ecológicos para toda la zona (cumple UNO): 
- P5 (áreas de biodiversidad)
- P6 (cobertura vegetal sembrada)
- P7 (cobertura inerte). 
- </t>
    </r>
    <r>
      <rPr>
        <sz val="8"/>
        <color rgb="FFFF0000"/>
        <rFont val="Santander Text"/>
        <family val="2"/>
      </rPr>
      <t>Certificado de Gestión Forestal Sostenible (escisión portuguesa del PEFC)</t>
    </r>
  </si>
  <si>
    <t>Cumple TODOS los criterios aplicables _
1. Contenido del plan de forestación de más de 10 años, actualizado y supervisado continuamente:
- Descripción del área / publicación en el boletín oficial
- Preparación del sitio y sus impactos en las reservas de carbono preexistentes
- Definición y evaluación de restricciones, gestión de riesgos y estrategias
- Contexto del hábitat forestal
- Infraestructura y acceso
- Cuestiones sociales _
2. Cumple con UNO de los siguientes:
a. La gestión forestal se ajusta a la definición nacional.
b. Directrices paneuropeas para la forestación y reforestación con especial atención a las disposiciones de la CMNUCC.
c. ISCC Biomasa Sólida (solo en NL).
d. Certificación Ecológica.
e. Sistemas de gestión establecidos para garantizar (TODO):
- Legalidad de las operaciones de tala.
- Regeneración forestal de las zonas taladas.
- Protección de las zonas designadas para fines de protección de la naturaleza.
- Se mantienen los niveles de reservas y sumideros de carbono en el bosque. _
3. Sistemas de gestión sujetos a la debida diligencia. _
4. No degradación de tierras con alto valor de reservas de carbono y biodiversidad. _
5. Los bosques de más de 13 ha realizan un análisis de beneficios climáticos para las reservas de carbono que cumplen con TODO:
- El balance de emisiones de GEI a 30 años es inferior a la línea de base de las prácticas BAU en ausencia de la actividad.
- Conservador y coherente con las Directrices del IPCC para los inventarios nacionales de gases de efecto invernadero. 
-Evaluación de riesgos para: no permanencia y reversiones de secuestro de carbono, saturación y fugas.
-La práctica BAU es UNA de las siguientes:
-Prácticas del Plan de Gestión
-Prácticas de gestión previas al inicio de la actividad
-Gestión de los niveles de reservas y sumideros de carbono 
-La resolución es proporcional al tamaño y los valores de la zona.
-Las emisiones/absorciones debidas a perturbaciones naturales que causan un bajo rendimiento no dan lugar a incumplimiento. _
6. Después de 2 años y cada 10 años a partir de entonces: Mitigación del cambio climático y criterios DNSH verificados por UNO de los siguientes:
- Autoridad nacional.
- Certificador externo independiente. _</t>
  </si>
  <si>
    <t>Conservación, restauración y remediación de suelo</t>
  </si>
  <si>
    <t>Rehabilitación y restauración de bosques</t>
  </si>
  <si>
    <t>A.7.2. Rehabilitación y restauración de bosques</t>
  </si>
  <si>
    <t xml:space="preserve">A.7.2. Rehabilitación y restauración de bosques. incluyendo la reforestación y regeneración de bosques naturales después de un evento extremo </t>
  </si>
  <si>
    <t xml:space="preserve">Rehabilitación y restauración de bosques. incluyendo la reforestación y regeneración de bosques naturales después de un evento extremo </t>
  </si>
  <si>
    <t xml:space="preserve">Rehabilitación y restauración de los bosques de conformidad con la legislación nacional. </t>
  </si>
  <si>
    <r>
      <rPr>
        <b/>
        <sz val="8"/>
        <color rgb="FF000000"/>
        <rFont val="Santander Text"/>
        <family val="2"/>
      </rPr>
      <t xml:space="preserve">¿De qué se trata? </t>
    </r>
    <r>
      <rPr>
        <sz val="8"/>
        <color rgb="FF000000"/>
        <rFont val="Santander Text"/>
        <family val="2"/>
      </rPr>
      <t xml:space="preserve">Rehabilitación y restauración de los bosques de conformidad con la legislación nacional. </t>
    </r>
  </si>
  <si>
    <t>Cumple TODOS los criterios aplicables _
1. Plan de aforestación a más de 10 años, con contenidos continuamente actualizados y monitorizados:
- Descripción del área / publicación en el boletín oficial
- Preparación del sitio y sus impactos en las reservas de carbono preexistentes
- Definición y evaluación de las limitaciones, la gestión de riesgos y la estrategia
- Contexto del hábitat forestal
- Infraestructura y acceso
- Cuestiones sociales _
2. 
Cumple con UNO de los siguientes:
a. La gestión forestal se ajusta a la definición nacional
b. Directrices paneuropeas para la forestación y reforestación con especial atención a las disposiciones de la CMNUCC.
c. Certificación ecológica.
d. Biomasa sólida ISCC (solo en Países Bajos).
e. Sistemas de gestión implantados para garantizar (TODO):
- La legalidad de las operaciones de tala.
- La regeneración forestal de las zonas taladas.
- La protección de las zonas designadas para fines de protección de la naturaleza.
- El mantenimiento de los niveles de reservas y sumideros de carbono en el bosque.
3. Sistemas de gestión sujetos a la debida diligencia. _
4. No se produce degradación de tierras con alto valor de reservas de carbono y biodiversidad _
5. Los bosques de más de 13 ha realizan un análisis de beneficios climáticos para las reservas de carbono que cumplen con TODO:
- El balance de 30 años de emisiones de GEI es inferior a la línea de base de las prácticas BAU en ausencia de la actividad.
- Conservador y coherente con las Directrices del IPCC para los inventarios nacionales de gases de efecto invernadero. 
- Evaluación de riesgos para: no permanencia y reversiones de la captura de carbono, saturación y fugas.
- La práctica BAU es UNA de las siguientes:
- Prácticas del Plan de Gestión
- Prácticas de gestión previas al inicio de la actividad
- Gestión de los niveles de reservas y sumideros de carbono 
- La resolución es proporcional al tamaño y los valores de la zona.
- Las emisiones/absorciones debidas a perturbaciones naturales que causan un bajo rendimiento no dan lugar a incumplimiento. _
6. Después de 2 años y cada 10 años a partir de entonces: Mitigación del cambio climático y criterios DNSH verificados por UNO de los siguientes:
- Autoridad nacional
- Certificador externo independiente. _</t>
  </si>
  <si>
    <t>Conservación forestal</t>
  </si>
  <si>
    <t>A.7.4. Conservación forestal</t>
  </si>
  <si>
    <t xml:space="preserve">A.7.4. Silvicultura de conservación </t>
  </si>
  <si>
    <t xml:space="preserve">Silvicultura de conservación </t>
  </si>
  <si>
    <t>Gestión forestal orientada a la protección del hábitat</t>
  </si>
  <si>
    <r>
      <rPr>
        <b/>
        <sz val="8"/>
        <color rgb="FF000000"/>
        <rFont val="Santander Text"/>
        <family val="2"/>
      </rPr>
      <t xml:space="preserve">¿De qué se trata? </t>
    </r>
    <r>
      <rPr>
        <sz val="8"/>
        <color rgb="FF000000"/>
        <rFont val="Santander Text"/>
        <family val="2"/>
      </rPr>
      <t>Gestión forestal orientada a la protección del hábitat.</t>
    </r>
  </si>
  <si>
    <r>
      <t xml:space="preserve">Cumple UN criterio aplicable _
</t>
    </r>
    <r>
      <rPr>
        <sz val="8"/>
        <color rgb="FF0070C0"/>
        <rFont val="Santander Text"/>
        <family val="2"/>
      </rPr>
      <t>8</t>
    </r>
    <r>
      <rPr>
        <sz val="8"/>
        <color theme="1"/>
        <rFont val="Santander Text"/>
        <family val="2"/>
      </rPr>
      <t>. Cumple UNA de las siguientes actividades
- Restauración de bosques nativos y de alto valor de conservación.
- Preservación de hábitats naturales valiosos.
- Restauración de parques o azoteas verdes en zonas urbanas.
- Conservación permanente de la tierra / no causada por el cliente - remediación de suelos contaminados.
- Financiación de planes ecológicos para toda la zona (cumple UNO): 
- P5 (áreas de biodiversidad)
- P6 (cobertura vegetal sembrada)
- P7 (cobertura inerte). _</t>
    </r>
  </si>
  <si>
    <t>Cumple TODOS los criterios aplicables_
1. Plan de aforestación a más de 10 años, con contenidos continuamente actualizados y monitorizados:
- Descripción del área/observación 
- Preparación del sitio y sus impactos en las reservas de carbono preexistentes 
- Restricciones, definición y evaluación de la gestión de riesgos y estrategias de impacto en la evaluación de la inocuidad de los alimentos 
- Antecedentes de hábitat forestal infraestructura y acceso 
- Cuestiones sociales  __
2. Plan de conservación alineado con TODOS los requerimientos siguientes:
a.Objetivo: Protección de suelo / agua, conservación de la biodiversidade o servicios Sociales y promoción de prácticas amigas de la biodiversidad.
b. Incluye un análisis que contiene: 
   - Impacto en la conservación y diversidad del hábitat. 
   - Condición de cosecha minimizando los impactos del suelo. 
   - Impacto de las actividades en los objetivos de conservación (pesca, minería, etc.).  _
3. Sistemas de gestión sujetos a medidas de debida diligencia._
4. No hay degradación de tierras con alto valor de carbono y biodiversidad. _
5. Cumple con UNO de los siguientes criterios:
a. La gestion del bosque cumple con la definición nacional.
b. Pan-European Guidelines for Afforestation and Reforestation con especial foco en las disposiciones de la UNFCCC.
c. Evaluación del potencial carácter invasivo de actividades como el pastoreo._
6.  Los bosques con más de 13 ha llevan a cabo un análisis de los beneficios climáticos para las reservas de carbono que cumplan con TODOS:
- El balance neto a 30 años de las emisiones de GEI es menor que la base de las prácticas en BAU en ausencia de actividad. 
- Conservador y consistente con las directrices del IPCC para inventarios nacionales de GEI.
- Análisis de riesgos sobre la no permanência y reversiones de secuestro de carbono, así como saturación y fugas.
- La práctica Business As Usual (BAU) es una de las siguientes: 
     - Planificación de gestión
     - Prácticas de gestión antes del inicio de la actividad
     - Gestión de los niveles de carbono y de sumideros
- La resolución es proporcional al tamaño y los valores del área. 
- Las emisiones/absorciones debidas a perturbaciones naturales que causan un mal funcionamiento no dan lugar a un incumplimiento. _
7. Tras 2 años, y cada 10 años en adelante: Criterios de Climate Change Mitigation and DNSH verificados por UNO de los siguientes:
- Autoridad Nacional
- Tercero certificador independente._</t>
  </si>
  <si>
    <t>Restauración de humedales</t>
  </si>
  <si>
    <t xml:space="preserve">A.7.5. Restauración de humedales </t>
  </si>
  <si>
    <t xml:space="preserve">Restauración de humedales </t>
  </si>
  <si>
    <t>Devolución de humedales a sus condiciones originales</t>
  </si>
  <si>
    <r>
      <rPr>
        <b/>
        <sz val="8"/>
        <color rgb="FF000000"/>
        <rFont val="Santander Text"/>
        <family val="2"/>
      </rPr>
      <t xml:space="preserve">¿De qué se trata? </t>
    </r>
    <r>
      <rPr>
        <sz val="8"/>
        <color rgb="FF000000"/>
        <rFont val="Santander Text"/>
        <family val="2"/>
      </rPr>
      <t>Devolución de humedales a sus condiciones originales</t>
    </r>
  </si>
  <si>
    <t>Cumple TODOS los criterios aplicables _
1. Plan de gestión coherente con la Convención de Ramsar, continuamente supervisado y actualizado, que abarque (TODOS): 
- Objetivos de gestión del sitio plan estratégico y descripción de las actividades.
 -Factores, limitaciones y obligaciones, que influyen en las características y objetivos del proyecto
 -Foro de conflictos de intereses.
 -Programa de seguimiento integral.
 -Recursos y presupuesto.
 -Canales de comunicación con todas las partes interesadas
 -Asegurar el cumplimiento de las políticas locales, nacionales e internacionales
- Consideración cuidadosa de las condiciones hidrológicas y edafológicas locales (saturación del suelo, condiciones aeróbicas y anaeróbicas, etc.) _
2. Análisis de los beneficios climáticos para los reservorios de carbono que cumplan con TODOS:
 - El balance de emisiones de GEI a 30 años es inferior a la línea de base de las prácticas BAU en ausencia de la actividad.
 -El balance neto de GEI medio a largo plazo a 100 años es inferior a la línea de base equivalente.
 -Conservador y coherente con las Directrices del IPCC para los inventarios nacionales de gases de efecto invernadero (si es necesario, incluyendo una identificación de las diferentes categorías de tierras cubiertas por el área implicada). 
- Evaluación del riesgo de: no permanencia y reversión de la captura, saturación y fuga de carbono.
- Caso de los humedales costeros: proyecciones de la subida relativa prevista del nivel del mar y de la posibilidad de que los humedales migren.
- La práctica BAU es UNA de las siguientes
     - Prácticas del plan de gestión
     - Prácticas de gestión previas al inicio de la actividad
     - Gestión de los niveles de reservas y sumideros de carbono 
 - Prácticas del plan de gestión
     - Prácticas de gestión previas al inicio de la actividad
     - Gestión de los niveles de reservas y sumideros de carbono 
- La resolución es proporcional al tamaño y los valores del área.
- Las emisiones / absorciones debidas a perturbaciones naturales que causan un rendimiento inferior no dan lugar al incumplimiento. _
3. Después de 2 años y posteriormente cada 10 años: Criterios de mitigación del cambio climático y DNSH verificados por UNA de las siguientes:
- Autoridad nacional
- Tercero certificador independiente. _</t>
  </si>
  <si>
    <t>Conservación / restauración de habitats, ecosistemas y especies</t>
  </si>
  <si>
    <t>A.7.6. Conservación / restauración de habitats, ecosistemas y especies</t>
  </si>
  <si>
    <t xml:space="preserve">A.7.6. Conservación. incluida la restauración. de hábitats. ecosistemas y especies </t>
  </si>
  <si>
    <t xml:space="preserve">Conservación. incluida la restauración. de hábitats. ecosistemas y especies </t>
  </si>
  <si>
    <t xml:space="preserve">Restauración de bosques nativos y de alto valor para la conservación o preservación de la biodiversidad en las zonas urbanas </t>
  </si>
  <si>
    <r>
      <rPr>
        <b/>
        <sz val="8"/>
        <color rgb="FF000000"/>
        <rFont val="Santander Text"/>
        <family val="2"/>
      </rPr>
      <t xml:space="preserve">¿De qué se trata? </t>
    </r>
    <r>
      <rPr>
        <sz val="8"/>
        <color rgb="FF000000"/>
        <rFont val="Santander Text"/>
        <family val="2"/>
      </rPr>
      <t xml:space="preserve">Restauración de bosques nativos y de alto valor para la conservación o preservación de la biodiversidad en las zonas urbanas </t>
    </r>
  </si>
  <si>
    <t>Cumple TODOS los criterios aplicables _
1. Objetivo: Mantener ecosistemas, especies, hábitats o hábitats de especies. _
2. Objetivo: Restaurar los ecosistemas, hábitats o hábitats de especies mantener o conseguir buenas condiciones en los mismos. _
3.Descripción de las condiciones ecológicas iniciales del área que contiene: 
- Mapeo de los hábitats actuales y de su condición. 
- Estado de protección de la zona.
- Situación de conservación de las principales especies, hábitats o hábitats de especies. 
- Importancia del área. 
- Posibilidades de mejora. _
4. Plan de gestión continuamente supervisado y actualizado que contiene: 
- Contribución prevista de la actividad. 
- Lista de especies, hábitats y hábitats de especies que se beneficiarán de las medidas de conservación. 
- Plan y plan de trabajo. 
- Evaluación de riesgos y temas y medidas para garantizar que se logren todos los criterios de DNSH para esta actividad. 
- Cuestiones sociales. 
- Si procede, mejorar los servicios del ecosistema. 
- Esquema de monitorización y KPI. 
- Partes interesadas y asociaciones. 
- Se necesita financiación. _</t>
  </si>
  <si>
    <t>A.7.17. Secuestro de carbono</t>
  </si>
  <si>
    <t>Secuestro de carbono</t>
  </si>
  <si>
    <t>Proceso natural o artificial de eliminación de CO2 de la atmósfera para mantenerse em estado sólido o líquido</t>
  </si>
  <si>
    <r>
      <rPr>
        <b/>
        <sz val="8"/>
        <color rgb="FF000000"/>
        <rFont val="Santander Text"/>
        <family val="2"/>
      </rPr>
      <t xml:space="preserve">¿De qué se trata? </t>
    </r>
    <r>
      <rPr>
        <sz val="8"/>
        <color rgb="FF000000"/>
        <rFont val="Santander Text"/>
        <family val="2"/>
      </rPr>
      <t>Proceso natural o artificial de eliminación de CO2 de la atmósfera para mantenerse em estado sólido o líquido</t>
    </r>
  </si>
  <si>
    <t>Cumple TODOS los criterios aplicables _
1. No hay conversión de tierras con alto contenido de carbono (VHC o VHC según FSC). _
2. Apoyo a las mejores prácticas pertinentes de bajo consumo de gases de efecto invernadero demostradas por UNA de las siguientes:
a. Reducción del porcentaje de emidiones de GEI a lo largo del periodo con respecto al momento de su inicio. 
b. Pruebas de buenas prácticas agrícolas de bajas emisiones. _
3. Interdependencias críticas entre la intervención y la unidad de producción agrícola. Sistemas más amplios relacionados identificados. _
4. Evaluación de los riesgos climáticos físicos esenciales, que pueden incluir una evaluación de impacto ambiental o equivalente. _</t>
  </si>
  <si>
    <t>A.7.15. Gestión de ganado</t>
  </si>
  <si>
    <t>Gestión de ganado</t>
  </si>
  <si>
    <t xml:space="preserve">Utilización de sistemas integrados de agricultura-ganadería-silvicultura para la gestión sostenible de los bosques/producción sostenible de alimentos/procesos de reducción de emisiones (excluidos los proyectos a escala industrial). </t>
  </si>
  <si>
    <r>
      <rPr>
        <b/>
        <sz val="8"/>
        <color rgb="FF000000"/>
        <rFont val="Santander Text"/>
        <family val="2"/>
      </rPr>
      <t>¿De qué se trata?</t>
    </r>
    <r>
      <rPr>
        <sz val="8"/>
        <color rgb="FF000000"/>
        <rFont val="Santander Text"/>
        <family val="2"/>
      </rPr>
      <t xml:space="preserve"> Utilización de sistemas integrados de agricultura-ganadería-silvicultura para la gestión sostenible de los bosques/producción sostenible de alimentos/procesos de reducción de emisiones (excluidos los proyectos a escala industrial). </t>
    </r>
  </si>
  <si>
    <r>
      <t>Cumple TODOS los criterios aplicables _
1. Cumple con la normativa local _
2. Cumple con UNO de los siguientes _
a. Uno de estos certificados:
    - Sustainable Beef and Lamb Assurance Scheme (SBLAS).
    - Food Alliance Certified Livestock Producers (Nivel 4).
    - Licencia de emisiones industriales para explotaciones porcinas y avícolas.
    - Cualquier certificación equivalente.
b. Gestión sostenible del ganado y de los residuos para reducir las emisiones de metano y GEI.
c. Cambios en la alimentación animal para reducir las emisiones de óxido nitroso y metano.
d. Ganado en feedlot y en instalaciones propias, de origen sostenible y procedente de zonas no convertidas recientemente a partir de hábitats naturales _
3. Producción intensiva: uno de los siguientes estándares _
-IFC Good Practice Note on Animal Welfare in Livestock Operations.
-Organización Mundial de Sanidad Animal.
-Iniciativa FARMS.
-Certificación Ecológica.
-Farm Sustainability Assessment (FSA) Program.
-</t>
    </r>
    <r>
      <rPr>
        <sz val="8"/>
        <color rgb="FFFF0000"/>
        <rFont val="Santander Text"/>
      </rPr>
      <t>Certificación Welfair (bienestar animal, Argentina).
-Certificación de la North American Meat Institute Foundation (NAMI).
-INAC Bienestar Animal.
-Certificado IRAM (bajo la norma IRAM 14400).
-Certificado Humane (auditado por Certified Humane International).
-WelfCert.</t>
    </r>
    <r>
      <rPr>
        <sz val="8"/>
        <color theme="1"/>
        <rFont val="Santander Text"/>
        <family val="2"/>
      </rPr>
      <t xml:space="preserve">
-Equivalente.
-ISCC Non-GMO Food &amp; Feed _</t>
    </r>
  </si>
  <si>
    <t>A.7.16. Acuicultura y pesca sostenible</t>
  </si>
  <si>
    <t>Acuicultura y pesca sostenible</t>
  </si>
  <si>
    <t>Productos del mar certificados como sostenibles</t>
  </si>
  <si>
    <r>
      <rPr>
        <b/>
        <sz val="8"/>
        <color rgb="FF000000"/>
        <rFont val="Santander Text"/>
        <family val="2"/>
      </rPr>
      <t>¿De qué se trata?</t>
    </r>
    <r>
      <rPr>
        <sz val="8"/>
        <color rgb="FF000000"/>
        <rFont val="Santander Text"/>
        <family val="2"/>
      </rPr>
      <t xml:space="preserve"> Productos del mar certificados como sostenibles</t>
    </r>
  </si>
  <si>
    <r>
      <t xml:space="preserve">Cumple TODOS los criterios aplicables _
1. Acuicultura sostenible: UNO de los siguientes certificados:
a. Aquaculture Stewardship Council (ASC)
b. Mejores prácticas de acuicultura (2 estrellas o más)
c. Marine Stewardship Council (MSC)
</t>
    </r>
    <r>
      <rPr>
        <sz val="8"/>
        <color rgb="FFFF0000"/>
        <rFont val="Santander Text"/>
        <family val="2"/>
      </rPr>
      <t xml:space="preserve">d. Certificación Friend of the Sea _
</t>
    </r>
    <r>
      <rPr>
        <sz val="8"/>
        <color rgb="FF000000"/>
        <rFont val="Santander Text"/>
        <family val="2"/>
      </rPr>
      <t>2. Pesca sostenible: capturada de acuerdo con UNA de las siguientes normas:
a. Organización de las Naciones Unidas para la Alimentación y la Agricultura (FAO) 
b. Código de Conducta para la Pesca Responsable, Marine Stewardship Council (MSC)
c. Iniciativa Mundial de Productos Pesqueros Sostenibles (GSSI) _</t>
    </r>
  </si>
  <si>
    <t>Fabricación</t>
  </si>
  <si>
    <t xml:space="preserve">Tecnologías de bajo carbono para transporte </t>
  </si>
  <si>
    <t xml:space="preserve">A.8.4. Tecnologías de bajo carbono para transporte </t>
  </si>
  <si>
    <t xml:space="preserve">A.8.4. Fabricación de tecnologías bajas en carbono para el transporte </t>
  </si>
  <si>
    <t xml:space="preserve">Fabricación de tecnologías bajas en carbono para el transporte </t>
  </si>
  <si>
    <t>Fabricación y mantenimiento de activos de transporte de bajo carbono</t>
  </si>
  <si>
    <r>
      <rPr>
        <b/>
        <sz val="8"/>
        <color rgb="FF000000"/>
        <rFont val="Santander Text"/>
        <family val="2"/>
      </rPr>
      <t xml:space="preserve">¿De qué se trata? </t>
    </r>
    <r>
      <rPr>
        <sz val="8"/>
        <color rgb="FF000000"/>
        <rFont val="Santander Text"/>
        <family val="2"/>
      </rPr>
      <t>Fabricación y mantenimiento de activos de transporte de bajo carbono</t>
    </r>
  </si>
  <si>
    <r>
      <t xml:space="preserve">Cumple UN criterio aplicable _
2. Cumple UNO de los siguientes:
a. Vehículos y trenes eléctricos.
b. Vehículos de cero emisiones directas no destinados a la carretera.
c. Movilidad activa.
d. Vehículos y trenes con menos de </t>
    </r>
    <r>
      <rPr>
        <sz val="8"/>
        <color rgb="FFFF0000"/>
        <rFont val="Santander Text"/>
        <family val="2"/>
      </rPr>
      <t>75</t>
    </r>
    <r>
      <rPr>
        <sz val="8"/>
        <color rgb="FF000000"/>
        <rFont val="Santander Text"/>
        <family val="2"/>
      </rPr>
      <t xml:space="preserve"> g de CO2 por km o 25 g de CO2 por tonelada-km SOLO hasta finales de 2025.
e. Vehículos propulsados por hidrógeno.
f. Desarrollo de infraestructura de transporte ferroviario.
g. Desarrollo de componentes especializados para el transporte ecológico. 
h. El propósito principal (más del 25 % de participación) no es el transporte de carga de combustibles fósiles _</t>
    </r>
  </si>
  <si>
    <t>Cumple UN criterio aplicable _
1. La actividad apoya las tecnologías con bajas emisiones de carbono para activos que cumplen con la taxonomía de la UE para las actividades de transporte. _</t>
  </si>
  <si>
    <t>12) Consumo y producción responsables</t>
  </si>
  <si>
    <t>Fabricación de componentes de movilidad</t>
  </si>
  <si>
    <t>A.8.18. Fabricación de componentes de movilidad</t>
  </si>
  <si>
    <t xml:space="preserve">A.8.18. Fabricación de componentes de automoción y movilidad </t>
  </si>
  <si>
    <t xml:space="preserve">Fabricación de componentes de automoción y movilidad </t>
  </si>
  <si>
    <r>
      <rPr>
        <b/>
        <sz val="8"/>
        <color rgb="FF000000"/>
        <rFont val="Santander Text"/>
        <family val="2"/>
      </rPr>
      <t xml:space="preserve">¿De qué se trata? </t>
    </r>
    <r>
      <rPr>
        <sz val="8"/>
        <color rgb="FF000000"/>
        <rFont val="Santander Text"/>
        <family val="2"/>
      </rPr>
      <t>Fabricación de componentes de movilidad.</t>
    </r>
  </si>
  <si>
    <t>Cumple TODOS los criterios aplicables  _
3. Actividades de fabricación o mantenimiento de componentes de movilidad cero-emisión, aprobados para su uso únicamente en vehículos que cumplan TODOS LOS requisitos: 
- No UE: Factor de intensidad de carbono por debajo de 75g de CO2/km. 
- En la UE: Factor de intensidad de carbono inferior a 50 g CO2/km hasta 2026. 
- Vehículos con cero emisiones directas no destinados a la carretera. _</t>
  </si>
  <si>
    <t>Cumple UN criterio aplicable  _
1. Actividades de fabricación o mantenimiento de componentes de movilidad cero-emisión, aprobados para su uso únicamente en: 
- Vehículos M1, m2, M3: Emisiones de CO2 cero de los vehículos 
- N1, N2, N3 (vehículos comerciales ligeros o camiones por debajo de 7,5 toneladas de masa cargada) o motocicletas con placa de matrícula: Cero emisiones de CO2 de los vehículos _
2. Mantenimiento y soporte de componentes de movilidad cero emisiones por dispositivos de movilidad personal con una transmisión de origen: 
- Actividad física del usuario 
- Motor de emisiones cero 
- Mezcla de ambos  _</t>
  </si>
  <si>
    <t xml:space="preserve">Fabricación de componentes de material rodante ferroviario </t>
  </si>
  <si>
    <t xml:space="preserve">A.8.19. Fabricación de componentes del material rodante ferroviario </t>
  </si>
  <si>
    <t xml:space="preserve">Fabricación de componentes del material rodante ferroviario </t>
  </si>
  <si>
    <t xml:space="preserve">Productos, equipos, sistemas o programas relacionados con componentes ferroviarios. </t>
  </si>
  <si>
    <r>
      <rPr>
        <b/>
        <sz val="8"/>
        <color rgb="FF000000"/>
        <rFont val="Santander Text"/>
        <family val="2"/>
      </rPr>
      <t xml:space="preserve">¿De qué se trata? </t>
    </r>
    <r>
      <rPr>
        <sz val="8"/>
        <color rgb="FF000000"/>
        <rFont val="Santander Text"/>
        <family val="2"/>
      </rPr>
      <t xml:space="preserve">Productos, equipos, sistemas o programas relacionados con componentes ferroviarios. </t>
    </r>
  </si>
  <si>
    <t>Cumple TODOS los criterios aplicables _
3. Productos, equipos, sistemas o software relacionados con componentes ferroviarios _</t>
  </si>
  <si>
    <t>Cumple TODOS los criterios aplicables _
1. Actividad relacionada con componentes ferroviarios o prestación de servicios técnicos de consultoría relacionados. _
2. Los componentes son esenciales para el comportamiento medioambiental de al menos UNA de las siguientes tecnologías: 
a. Trenes, autobuses de pasajeros y vagones de cero emisiones de CO2, de acuerdo con los criterios de fabricación de tecnologías de baja emisión de carbono. 
b. Trenes, autobuses de pasajeros y vagones de cero emisiones de CO2, operados en una vía con la infraestructura necesaria y que utilizan motores convencionales y compatibles con tecnologías de baja emisión de carbono, donde la infraestructura no está disponible. _</t>
  </si>
  <si>
    <t>Fabricación de aeronaves</t>
  </si>
  <si>
    <t xml:space="preserve">A.8.21. Fabricación de aeronaves </t>
  </si>
  <si>
    <t xml:space="preserve">Fabricación de aeronaves </t>
  </si>
  <si>
    <t xml:space="preserve">Fabricación o mantenimiento de aeronaves y piezas o equipamientos de aeroaves. </t>
  </si>
  <si>
    <r>
      <rPr>
        <b/>
        <sz val="8"/>
        <color rgb="FF000000"/>
        <rFont val="Santander Text"/>
        <family val="2"/>
      </rPr>
      <t xml:space="preserve">¿De qué se trata? </t>
    </r>
    <r>
      <rPr>
        <sz val="8"/>
        <color rgb="FF000000"/>
        <rFont val="Santander Text"/>
        <family val="2"/>
      </rPr>
      <t xml:space="preserve">Fabricación o mantenimiento de aeronaves y piezas o equipamientos de aeroaves. </t>
    </r>
  </si>
  <si>
    <t>Cumple TODOS los criterios aplicables  _
3. Aviones híbridos para el transporte de mercancías o de pequeñas distancias. _
4. El objetivo principal (más del 25% de participación) no es el transporte de combustibles fósiles. _</t>
  </si>
  <si>
    <t>Cumple UN criterio aplicable _
1. Areonaves con cero emisiones de CO2. _
2. Límites de relación de sustitución: 
[TABLA A.8.21] _</t>
  </si>
  <si>
    <t>Energía renovable y tecnología de hidrógeno</t>
  </si>
  <si>
    <t>Fabricación de tecnologías de energía renovable</t>
  </si>
  <si>
    <t xml:space="preserve">A.8.1. Fabricación de tecnologías de energía renovable </t>
  </si>
  <si>
    <t xml:space="preserve">Fabricación de tecnologías de energía renovable </t>
  </si>
  <si>
    <r>
      <rPr>
        <b/>
        <sz val="8"/>
        <color rgb="FF000000"/>
        <rFont val="Santander Text"/>
        <family val="2"/>
      </rPr>
      <t xml:space="preserve">¿De qué se trata? </t>
    </r>
    <r>
      <rPr>
        <sz val="8"/>
        <color rgb="FF000000"/>
        <rFont val="Santander Text"/>
        <family val="2"/>
      </rPr>
      <t xml:space="preserve">Fabricación de tecnologías de energía renovable
</t>
    </r>
    <r>
      <rPr>
        <b/>
        <sz val="8"/>
        <color rgb="FF000000"/>
        <rFont val="Santander Text"/>
        <family val="2"/>
      </rPr>
      <t>Evidencias recomendadas:</t>
    </r>
    <r>
      <rPr>
        <sz val="8"/>
        <color rgb="FF000000"/>
        <rFont val="Santander Text"/>
        <family val="2"/>
      </rPr>
      <t xml:space="preserve"> Certificado Energy Star de la EPA, Herramienta de Evaluación Ambiental de Productos Electrónicos (EPEAT)
</t>
    </r>
  </si>
  <si>
    <t>Cumple TODOS los criterios aplicables _
1. La actividad económica consiste em la fabricación de tecnologias de energias renovables.  _
2.Cumple los critérios específicos de la actividad de Energía “Tecnologías de energía renovable”_</t>
  </si>
  <si>
    <t>Equipamiento para producción y utilización de hidrógeno</t>
  </si>
  <si>
    <t>A.8.2. Equipamiento para producción y utilización de hidrógeno</t>
  </si>
  <si>
    <t xml:space="preserve">A.8.2. Fabricación de equipos para la producción y uso de hidrógeno </t>
  </si>
  <si>
    <t xml:space="preserve">Fabricación de equipos para la producción y uso de hidrógeno </t>
  </si>
  <si>
    <t xml:space="preserve">Fabricación de equipamientos para la producción y utilización de hidrógeno. </t>
  </si>
  <si>
    <r>
      <rPr>
        <b/>
        <sz val="8"/>
        <color rgb="FF000000"/>
        <rFont val="Santander Text"/>
        <family val="2"/>
      </rPr>
      <t>¿De qué se trata?</t>
    </r>
    <r>
      <rPr>
        <sz val="8"/>
        <color rgb="FF000000"/>
        <rFont val="Santander Text"/>
        <family val="2"/>
      </rPr>
      <t xml:space="preserve"> Fabricación de equipamientos para la</t>
    </r>
    <r>
      <rPr>
        <b/>
        <sz val="8"/>
        <color rgb="FF000000"/>
        <rFont val="Santander Text"/>
        <family val="2"/>
      </rPr>
      <t xml:space="preserve"> producción y utilización de hidrógeno</t>
    </r>
    <r>
      <rPr>
        <sz val="8"/>
        <color rgb="FF000000"/>
        <rFont val="Santander Text"/>
        <family val="2"/>
      </rPr>
      <t xml:space="preserve">. </t>
    </r>
  </si>
  <si>
    <t>Cumple TODOS los criterios aplicables _
1. Criterios técnicos de rastreo establecidos en la fabricación de hidrógeno:
- Ahorro del 73,4% de GEI en el ciclo de vida del hidrogeno, que resulta em uma reducción inferior a 3tCO2e/Th2 
- 70% para los combustibles sintéticos a base de hidrógeno (28,2 g CO2e/MJ) en relación a un comparador de combustibles fósiles de 94 g CO2e/MJ 
- Los ahorros cuantificados y verificados por terceros independientes en el ciclo de vida de las emisiones de GEI se calculan siguiendo UNA de las siguientes guías:
     - ISO 14067:2018119 
     - ISO 14064- 1:2018120 _
2. 
-Fuga de CO2 de los medios de transporte de carbono inferior a 0,5 %.
- Los locales de secuestro de carbono son conformes a los estândares internacionalmente reconocidos (ISO) _</t>
  </si>
  <si>
    <t>Fabricación de hidrógeno</t>
  </si>
  <si>
    <t xml:space="preserve">A.8.3. Fabricación de hidrógeno </t>
  </si>
  <si>
    <t xml:space="preserve">Fabricación de hidrógeno </t>
  </si>
  <si>
    <t>Combustibles sintéticos fabricados a base de hidrógeno</t>
  </si>
  <si>
    <r>
      <rPr>
        <b/>
        <sz val="8"/>
        <color rgb="FF000000"/>
        <rFont val="Santander Text"/>
        <family val="2"/>
      </rPr>
      <t xml:space="preserve">¿De qué se trata? </t>
    </r>
    <r>
      <rPr>
        <sz val="8"/>
        <color rgb="FF000000"/>
        <rFont val="Santander Text"/>
        <family val="2"/>
      </rPr>
      <t>Combustibles sintéticos fabricados a base de hidrógeno</t>
    </r>
  </si>
  <si>
    <t>Tecnologías y equipos eficientes</t>
  </si>
  <si>
    <t xml:space="preserve">Equipamiento de eficiencia energética para edificios </t>
  </si>
  <si>
    <t xml:space="preserve">A.8.6. Equipamiento de eficiencia energética para edificios </t>
  </si>
  <si>
    <t xml:space="preserve">A.8.6. Fabricación de equipos de eficiencia energética para edificios </t>
  </si>
  <si>
    <t xml:space="preserve">Fabricación de equipos de eficiencia energética para edificios </t>
  </si>
  <si>
    <t xml:space="preserve">Fabricación de equipamientos de eficiencia energética para edificios. </t>
  </si>
  <si>
    <r>
      <rPr>
        <b/>
        <sz val="8"/>
        <color rgb="FF000000"/>
        <rFont val="Santander Text"/>
        <family val="2"/>
      </rPr>
      <t xml:space="preserve">¿De qué se trata? </t>
    </r>
    <r>
      <rPr>
        <sz val="8"/>
        <color rgb="FF000000"/>
        <rFont val="Santander Text"/>
        <family val="2"/>
      </rPr>
      <t xml:space="preserve">Fabricación de equipamientos de eficiencia energética para edificios. </t>
    </r>
  </si>
  <si>
    <t>Cumple UN criterio aplicable _
18. Dispone de UNO de los siguientes certificados:
- Clasificación mínima de energía de la UE: B.
- Clasificación PROCEL: B (BR)
- Etiqueta energética A+ (EEE) (AR)
- Cualquier equivalente (certificado Energy Star de la EPA) _
19. Equipos de energía para edificios como LED, BMS, techos verdes, etc._</t>
  </si>
  <si>
    <t>Cumple UN criterio aplicable  _
1. Ventana con un valor U igual o inferior a 1,0 W/M2K _
2. Puertas de valor U inferior o igual a 1,2 W/M2K _
3. Sistemas de pared externa de valor U inferior o igual a 0,5 W/M2K _
4. Sistemas de láminas externas de valor U inferior o igual a 0,5 W/M2K  _
5. Productos aislantes de un valor lambda inferior o igual a 0,06 W/MK  _
6. Electrodomésticos que caen en la más alta eficiencia energética (A o B)  _
7. Fuentes luminosas clasificadas en las dos clases más altas de eficiencia energética (A o B) _
8. Sistemas de calefacción y agua caliente doméstica clasificados en la más alta eficiencia energética (A o B)  _
9. Sistemas de refrigeración y ventilación clasificados con la máxima eficiencia energética (A o B)  _
10. Controles de presencia y luz diurna para sistemas de iluminación _
11. Bombas de calor según la actividad de la energía "bombas de calor eléctricas"  _
12. Elementos de fachada y cobertura con una función de sombreado solar o control solar _
13. Sistemas de automatización y control de edificios con eficiencia energética  _
14. Termostatos y dispositivos zonados para una supervisión inteligente  _
15. Productos para la medición del calor y controles termostáticos  _
16. Intercambiadores de calefacción distritales y subestaciones en consecuencia actividad de la Energía "distribución de calefacción/refrigeración de distrito"  _
17. Supervisión inteligente y regulación del sistema de calefacción y del equipo de sensores _</t>
  </si>
  <si>
    <t xml:space="preserve">Fabricación de otras tecnologías de bajo carbono </t>
  </si>
  <si>
    <t xml:space="preserve">A.8.7. Fabricación de otras tecnologías de bajo carbono </t>
  </si>
  <si>
    <t xml:space="preserve">A.8.7. Fabricación de otras tecnologías de baja emisión de carbono </t>
  </si>
  <si>
    <t xml:space="preserve">Fabricación de otras tecnologías de baja emisión de carbono </t>
  </si>
  <si>
    <t xml:space="preserve">Fabricación de tecnologías destinadas a reducer las emisiones de GEI en cualquier sector económico. </t>
  </si>
  <si>
    <r>
      <rPr>
        <b/>
        <sz val="8"/>
        <color rgb="FF000000"/>
        <rFont val="Santander Text"/>
        <family val="2"/>
      </rPr>
      <t xml:space="preserve">¿De qué se trata? </t>
    </r>
    <r>
      <rPr>
        <sz val="8"/>
        <color rgb="FF000000"/>
        <rFont val="Santander Text"/>
        <family val="2"/>
      </rPr>
      <t xml:space="preserve">Fabricación de tecnologías destinadas a reducer las emisiones de GEI en cualquier sector económico. </t>
    </r>
  </si>
  <si>
    <t>Cumple TODOS los criterios aplicables  _
1. Reducción sustancial y demostrada de los GEI en comparación con la mejor solución alternativa de desempeño disponible en el mercado. _
2. Ahorro de emisiones de GEI verificado por un tercero independiente y calculado de acuerdo con UNA de las siguientes normas: 
a. ISO 14067:2018 
b. ISO 14064- 1:2018 _</t>
  </si>
  <si>
    <t>Fabricación de equipamientos para la transmisión y distribución eléctrica</t>
  </si>
  <si>
    <t>A.8.20. Fabricación de equipamientos para la transmisión y distribución eléctrica</t>
  </si>
  <si>
    <t xml:space="preserve">A.8.20. Fabricación. instalación y mantenimiento de equipos eléctricos de alta. media y baja tensión para transmisión y distribución eléctrica que resulten en o permitan una contribución sustancial a la mitigación del cambio climático </t>
  </si>
  <si>
    <t xml:space="preserve">Fabricación. instalación y mantenimiento de equipos eléctricos de alta. media y baja tensión para transmisión y distribución eléctrica que resulten en o permitan una contribución sustancial a la mitigación del cambio climático </t>
  </si>
  <si>
    <t>Desarrollo de productos eléctricos, equipos o sistemas para reducir las emisiones de gases de efecto invernadero en sistemas de distribución eléctrica de alta, media y baja tensión mediante electrificación, eficiencia energética, integración de energías renovables o conversión de energía eficiente.</t>
  </si>
  <si>
    <r>
      <rPr>
        <b/>
        <sz val="8"/>
        <color rgb="FF000000"/>
        <rFont val="Santander Text"/>
        <family val="2"/>
      </rPr>
      <t xml:space="preserve">¿De qué se trata? </t>
    </r>
    <r>
      <rPr>
        <sz val="8"/>
        <color rgb="FF000000"/>
        <rFont val="Santander Text"/>
        <family val="2"/>
      </rPr>
      <t>Desarrollo de productos eléctricos, equipos o sistemas para reducir las emisiones de gases de efecto invernadero en sistemas de distribución eléctrica de alta, media y baja tensión mediante electrificación, eficiencia energética, integración de energías renovables o conversión de energía eficiente.</t>
    </r>
  </si>
  <si>
    <r>
      <t xml:space="preserve">Cumple TODOS los criterios aplicables  _
</t>
    </r>
    <r>
      <rPr>
        <sz val="8"/>
        <color rgb="FF0070C0"/>
        <rFont val="Santander Text"/>
        <family val="2"/>
      </rPr>
      <t>4</t>
    </r>
    <r>
      <rPr>
        <sz val="8"/>
        <color theme="1"/>
        <rFont val="Santander Text"/>
        <family val="2"/>
      </rPr>
      <t>. Las tecnologías fabricadas buscan:
- Reducir las emisiones de gases de efecto invernadero en comparación con la mejor alternativa disponible en el mercado. 
- Cuando se cuantifiquen, las emisiones de gases de efecto invernadero serán verificadas por terceros independientes. _</t>
    </r>
  </si>
  <si>
    <t>Cumple TODOS los criterios aplicables a _
1. Actividad esencial para el funcionamiento de al menos UNO de los siguientes elementos:
a. Estaciones de carga de vehículos eléctricos e infraestructuras eléctricas de apoyo para la electrificación del transporte. 
b. Estaciones con mayor tensión para equipos inferiores a 36 KV, con requisitos de nivel AA0 en pérdidas sin carga establecidos en la norma EN 50708. 
c. Productos, equipos y sistemas eléctricos de baja tensión que aumentan la controlabilidad del sistema eléctrico (IEC TR 63196, sistemas electrónicos de construcción (HBES), como se indica en la serie EN IEC 63044, HD 60364-8-1, parte 8-1 y HD 60364-8-82, parte 8-82: Aspectos funcionales). 
d. Paneles de distribución de alta y media tensión y engranajes de control que aumentan la controlabilidad del sistema eléctrico (EN 62271-1, parte 1 y en 62271-200, parte 200). 
e. Respuesta a la demanda y transferencia de carga equipos, sistemas y servicios que aumentan la flexibilidad del sistema eléctrico y apoyan la estabilidad de la red y el soporte a la automatización. 
f. Instalación y mantenimiento de equipos eléctricos para la distribución que permitan una contribución sustancial a la mitigación del cambio climático. . _
2. Elementos no elegibles:
- Infraestructura que conecta o mejora directamente las conexiones entre una subestación/red y una central eléctrica con una intensidad de gases de efecto invernadero &gt; 100 g CO2e/kWh durante su ciclo de vida. 
- Productos, equipos, sistemas y software dedicados a la extracción, distribución, almacenamiento, fabricación o transformación de combustibles fósiles._
3. - Tableros de distribución con medios aislantes o de rotura, o cuyo funcionamiento depende de gases con potencial de calentamiento global superior a 10. 
- Paneles de distribución que contienen SF6. _</t>
  </si>
  <si>
    <t>Fabricación de equipamentos eficientes en términos de consumo de energía</t>
  </si>
  <si>
    <t>A.8.27. Fabricación de equipamentos eficientes en términos de consumo de energía</t>
  </si>
  <si>
    <t xml:space="preserve">A.8.27. Fabricación e instalación de equipos eficientes en términos de consumo energético </t>
  </si>
  <si>
    <t xml:space="preserve">Fabricación e instalación de equipos eficientes en términos de consumo energético </t>
  </si>
  <si>
    <t>Fabricación / instalación de máquinas eficientes en términos de consumo de energía en comparación con las prácticas del mercado</t>
  </si>
  <si>
    <r>
      <rPr>
        <b/>
        <sz val="8"/>
        <color rgb="FF000000"/>
        <rFont val="Santander Text"/>
        <family val="2"/>
      </rPr>
      <t xml:space="preserve">¿De qué se trata? </t>
    </r>
    <r>
      <rPr>
        <sz val="8"/>
        <color rgb="FF000000"/>
        <rFont val="Santander Text"/>
        <family val="2"/>
      </rPr>
      <t xml:space="preserve">Fabricación / instalación de máquinas eficientes en términos de consumo de energía en comparación con las prácticas del mercado. 
</t>
    </r>
    <r>
      <rPr>
        <b/>
        <sz val="8"/>
        <color rgb="FF000000"/>
        <rFont val="Santander Text"/>
        <family val="2"/>
      </rPr>
      <t xml:space="preserve">¿De qué NO se trata? </t>
    </r>
    <r>
      <rPr>
        <sz val="8"/>
        <color rgb="FF000000"/>
        <rFont val="Santander Text"/>
        <family val="2"/>
      </rPr>
      <t>Combustibles fósiles o alternativas</t>
    </r>
  </si>
  <si>
    <t>Cumple UN criterio aplicable  _
1. Máquinas avaladas como “Mejor Tecnología Disponible”. _
2. Reducción de emisiones de GEI por encima de 30%.  _
3. Disponne del EPA Energy Star Certificate. _</t>
  </si>
  <si>
    <t>Fabricación de tecnologias de control de fugas</t>
  </si>
  <si>
    <t>A.8.22. Fabricación de tecnologias de control de fugas</t>
  </si>
  <si>
    <t>A.8.22. Fabricación. instalación y servicios asociados para tecnologías de control de fugas</t>
  </si>
  <si>
    <t>Fabricación. instalación y servicios asociados para tecnologías de control de fugas</t>
  </si>
  <si>
    <t>Fabricación o mantenimiento de tecnologías de control de fugas que permitan su reducción en los sistemas de suministro de agua (WSS).</t>
  </si>
  <si>
    <r>
      <rPr>
        <b/>
        <sz val="8"/>
        <color rgb="FF000000"/>
        <rFont val="Santander Text"/>
        <family val="2"/>
      </rPr>
      <t xml:space="preserve">¿De qué se trata? </t>
    </r>
    <r>
      <rPr>
        <sz val="8"/>
        <color rgb="FF000000"/>
        <rFont val="Santander Text"/>
        <family val="2"/>
      </rPr>
      <t>Fabricación o mantenimiento de tecnologías de control de fugas que permitan su reducción en los sistemas de suministro de agua (WSS).</t>
    </r>
  </si>
  <si>
    <t>Cumple TODOS los criterios aplicables _
2. 
- Reducción mínima del 20 % de las fugas medida por el ILI (Índice de Fugas de Infraestructura).
- El objetivo mínimo es ILI = 1,5.
- Incluye la reparación de fugas de agua en la infraestructura. _</t>
  </si>
  <si>
    <t>Cumple TODOS los criterios aplicables _
1. Objetivo de la actividad: controlar la presión en las áreas de medición distrital (DMA) del sistema de suministro de agua a una presión mínima. _</t>
  </si>
  <si>
    <t>Reparación, remodelación y refabricación</t>
  </si>
  <si>
    <t>A.8.29. Reparación, remodelación y refabricación</t>
  </si>
  <si>
    <t xml:space="preserve">A.8.29. Reparación. reacondicionamiento y remanufactura </t>
  </si>
  <si>
    <t xml:space="preserve">Reparación. reacondicionamiento y remanufactura </t>
  </si>
  <si>
    <t>Reparación de bienes ya usados.</t>
  </si>
  <si>
    <r>
      <rPr>
        <b/>
        <sz val="8"/>
        <color rgb="FF000000"/>
        <rFont val="Santander Text"/>
        <family val="2"/>
      </rPr>
      <t>¿De qué se trata?</t>
    </r>
    <r>
      <rPr>
        <sz val="8"/>
        <color rgb="FF000000"/>
        <rFont val="Santander Text"/>
        <family val="2"/>
      </rPr>
      <t xml:space="preserve"> Reparación de bienes ya usados.</t>
    </r>
  </si>
  <si>
    <t>Cumple TODOS los criterios aplicables  _
1. Objetivo de la actividad: Prolongar la vida útil de los productos.  _
2. El producto reacondicionado está cubierto por un contrato de venta de acuerdo con las disposiciones relativas a la conformidad del producto y las condiciones pertinentes. _
3. Accesible al plan público de gestión de residuos garantizando que los materiales del producto, en particular las materias primas críticas, y los componentes que no se hayan reutilizado en el mismo producto:
a. Se reutilizan en otro lugar. 
b. Donde la reutilización no es posible, se reciclan. 
c. Únicamente cuando la reutilización y el reciclado no sean viables, se eliminarán de conformidad con la legislación aplicable. _</t>
  </si>
  <si>
    <t>Venta de piezas de reposición</t>
  </si>
  <si>
    <t>A.8.30. Venta de piezas de reposición</t>
  </si>
  <si>
    <t xml:space="preserve">A.8.30. Venta de repuestos </t>
  </si>
  <si>
    <t xml:space="preserve"> Venta de repuestos </t>
  </si>
  <si>
    <t>Venta de piezas de repuesto cumpliendo con las obligaciones legales.</t>
  </si>
  <si>
    <r>
      <rPr>
        <b/>
        <sz val="8"/>
        <color rgb="FF000000"/>
        <rFont val="Santander Text"/>
        <family val="2"/>
      </rPr>
      <t xml:space="preserve">¿De qué se trata? </t>
    </r>
    <r>
      <rPr>
        <sz val="8"/>
        <color rgb="FF000000"/>
        <rFont val="Santander Text"/>
        <family val="2"/>
      </rPr>
      <t>Venta de piezas de repuesto cumpliendo con las obligaciones legales.</t>
    </r>
  </si>
  <si>
    <t>Cumple TODOS los criterios aplicables  _
1. Venta de piezas de repuesto cumpliendo con las obligaciones legales.  _
2. La actividad se realiza en conformidad con TODOS los siguientes requerimientos: 
- Las piezas de recambio estarán cubiertas por un contrato de venta de acuerdo a las disposiciones relativas a la conformidad del producto y a las condiciones pertinentes. 
- Las piezas de repuesto sirven como sustitución de una pieza existente para restaurar o actualizar la funcionalidad del producto. _
3. Cuando sea de aplicación, los envases deberán cumplir con UNO de los siguientes requerimientos: 
a. Realizados con más de un 65% de material reciclado. 
b. Concebidos para ser reutilizables.. _</t>
  </si>
  <si>
    <t xml:space="preserve">Reutilización de productos y componentes al final de su vida útil </t>
  </si>
  <si>
    <t xml:space="preserve">A.8.31. Reutilización de productos y componentes al final de su vida útil </t>
  </si>
  <si>
    <t xml:space="preserve">A.8.31. Preparación para la reutilización de productos al final de su vida útil y componentes del producto </t>
  </si>
  <si>
    <t xml:space="preserve">Preparación para la reutilización de productos al final de su vida útil y componentes del producto </t>
  </si>
  <si>
    <t>Cumple TODOS los criterios aplicables _
1. Preparación de productos/componentes reutilizados que actualmente son residuos.  _
2. La materia prima son residuos procedentes de fracciones recogidas por separado. _
3. Procedimientos de seguridad e inspección de acuerdo con TODOS los siguientes requerimientos: 
- Comprobaciones de la idoneidad para el reciclado y la reutilización. 
- Productos adecuados para la categoria de deshechos / fin de vida útil. 
- Operadores con formación adecuada y cualificación garantizada.  _
4. Se dispone de herramientas y equipos adecuados para la actividad. _
5. Sistema de información sobre la tasa de recuperación y los objetivos específicos definidos por la normativa de la UE o nacional.  _
6.  La actividad cumple CON TODOS LOS requisitos siguientes: 
- Salida adecuada para reutilización sin procesamiento adicional. 
- Cubierto por un contrato de venta con arreglo a las disposiciones relativas a la conformidad del producto y a las condiciones pertinentes. _
7. Los residuos de equipamentos eléctricos y electrónicos se realizan de acuerdo con un estándar:
- ISO 14001:2015171
- ISO 9001:2015173_</t>
  </si>
  <si>
    <t>Venta de bienes de segunda mano</t>
  </si>
  <si>
    <t>A.8.32. Venta de bienes de segunda mano</t>
  </si>
  <si>
    <t xml:space="preserve">A.8.32. Venta de artículos de segunda mano </t>
  </si>
  <si>
    <t xml:space="preserve">Venta de artículos de segunda mano </t>
  </si>
  <si>
    <t>Cumple TODOS los criterios aplicables  _
1. Los productos de segunda mano se han utilizado para los fines a los que están destinados. _
2. Actividad cubierta por un contrato de venta en conformidad con las disposiciones relativas al respecto sobre el produto y condiciones aplicables correspondientes.  _
3. Si el producto ha sido reparado, se implementa un plan de gestión de residuos. _
4. Cuando sea de aplicación, los envases deberán cumplir con UNO de los siguientes requerimientos: 
- Realizados con más de un 65% de material reciclado. 
- Concebidos para ser reutilizables. _</t>
  </si>
  <si>
    <t xml:space="preserve">Uso y disfrute y otros modelos de uso circular </t>
  </si>
  <si>
    <t xml:space="preserve">A.8.33. Uso y disfrute y otros modelos de uso circular </t>
  </si>
  <si>
    <t xml:space="preserve">A.8.33. Producto como servicio y otros modelos circulares de servicio orientados al uso y a los resultados </t>
  </si>
  <si>
    <t xml:space="preserve">Producto como servicio y otros modelos circulares de servicio orientados al uso y a los resultados </t>
  </si>
  <si>
    <t xml:space="preserve">Proporcionar acceso a los productos a través de modelos de servicio, ya que su propiedad sigue siendo del proveedor y el pago está predefinido </t>
  </si>
  <si>
    <r>
      <rPr>
        <b/>
        <sz val="8"/>
        <color rgb="FF000000"/>
        <rFont val="Santander Text"/>
        <family val="2"/>
      </rPr>
      <t xml:space="preserve">¿De qué se trata? </t>
    </r>
    <r>
      <rPr>
        <sz val="8"/>
        <color rgb="FF000000"/>
        <rFont val="Santander Text"/>
        <family val="2"/>
      </rPr>
      <t xml:space="preserve">Proporcionar acceso a los productos a través de modelos de servicio, ya que su propiedad sigue siendo del proveedor y el pago está predefinido </t>
    </r>
  </si>
  <si>
    <t xml:space="preserve">Cumple TODOS los criterios aplicables  _
1. Las condiciones satisfacen TODOS  los siguientes requerimientos
- Obligación del proveedor de recuperar el producto al final del acuerdo. 
- Obligación del cliente de devolver el producto al final del contrato. 
- El proveedor permanece como el propietario. El cliente paga por el acceso y el uso y/o el resultado. _
2. La actividad lleva a una vida útil prolongada o a un mayor uso del producto.  _
3. Cuando sea de aplicación, los envases deberán cumplir con UNO de los siguientes requerimientos: 
- Realizados con más de un 65% de material reciclado. 
- Concebidos para ser reutilizables. _
4. Cuando se utiliza ropa, que requiera limpieza en seco, la actividad cumple con una etiqueta ecológica de tipo 1 de la norma ISO o equivalente. _
</t>
  </si>
  <si>
    <t>Market-place de bienes de segunda mano</t>
  </si>
  <si>
    <t>A.8.34. Market-place de bienes de segunda mano</t>
  </si>
  <si>
    <t xml:space="preserve">A.8.34. Mercado para el comercio de bienes de segunda mano para su reutilización </t>
  </si>
  <si>
    <t xml:space="preserve">Mercado para el comercio de bienes de segunda mano para su reutilización </t>
  </si>
  <si>
    <t xml:space="preserve">Mercados y puntos de comercio (venta o intercambio) de productos de segunda mano, materiales o componentes para su reutilización, donde los mercados y clasificados actúan como intermediarios para combinar compradores con vendedores. </t>
  </si>
  <si>
    <r>
      <rPr>
        <b/>
        <sz val="8"/>
        <color rgb="FF000000"/>
        <rFont val="Santander Text"/>
        <family val="2"/>
      </rPr>
      <t>¿De qué se trata?</t>
    </r>
    <r>
      <rPr>
        <sz val="8"/>
        <color rgb="FF000000"/>
        <rFont val="Santander Text"/>
        <family val="2"/>
      </rPr>
      <t xml:space="preserve"> Mercados y puntos de comercio (venta o intercambio) de productos de segunda mano, materiales o componentes para su reutilización, donde los mercados y clasificados actúan como intermediarios para combinar compradores con vendedores. </t>
    </r>
  </si>
  <si>
    <t>Cumple TODOS los criterios aplicables _
1. La actividad cumple la definición. _
2. Si se utilizan servidores y productos de almacenamiento de datos:
- El equipo utilizado NO contiene: 
- Plomo (0,1 %) 
- Mercurio (0,1 %)
- Cadmio (0,01 %)
- Cromo hexavalente (0,1 %)
- Bifenilos polibromados (PBB) (0,1 %)
- Éteres difenílicos polibromados (PBDE) (0,1 %) 
excepto cuando no se superen los valores de concentración en peso en materiales homogéneos.
- Existe un plan de gestión de residuos para favorecer la reutilización como prioridad.
- Al final de su vida útil, los equipos se someten a operaciones de preparación para la reutilización, recuperación o reciclaje. _</t>
  </si>
  <si>
    <t>Combustibles y químicos</t>
  </si>
  <si>
    <t xml:space="preserve">Fabricación de carbonato de sodio </t>
  </si>
  <si>
    <t xml:space="preserve">A.8.12. Fabricación de carbonato de sodio </t>
  </si>
  <si>
    <t xml:space="preserve">A.8.12. Fabricación de cenizas de soda </t>
  </si>
  <si>
    <t xml:space="preserve">Fabricación de cenizas de soda </t>
  </si>
  <si>
    <t>Cumple TODOS los criterios aplicables a _
1. Emisiones de GEI por debajo de 0.789 tCO2e / ton _</t>
  </si>
  <si>
    <t>Fabricación de cloro</t>
  </si>
  <si>
    <t>A.8.15. Fabricación de cloro</t>
  </si>
  <si>
    <t xml:space="preserve">A.8.15. Fabricación de cloro </t>
  </si>
  <si>
    <t xml:space="preserve">Fabricación de cloro </t>
  </si>
  <si>
    <t>Cumple TODOS los criterios aplicables _
3. Las tecnologías fabricadas son:
- Reducir las emisiones de gases de efecto invernadero en comparación con la mejor alternativa disponible en el mercado.
- Cuando se cuantifican, las emisiones de gases de efecto invernadero son verificadas por un tercero independiente. _</t>
  </si>
  <si>
    <r>
      <t xml:space="preserve">Cumple </t>
    </r>
    <r>
      <rPr>
        <sz val="8"/>
        <color rgb="FFFF0000"/>
        <rFont val="Santander Text"/>
        <family val="2"/>
      </rPr>
      <t>TODOS</t>
    </r>
    <r>
      <rPr>
        <sz val="8"/>
        <color rgb="FF000000"/>
        <rFont val="Santander Text"/>
        <family val="2"/>
      </rPr>
      <t xml:space="preserve"> los criterios aplicables _
1. Emisiones de GEI calculadas usando uno de los siguientes estándares:
a. ISO 14067
b. ISO 14064 _
2. La actividad cumple con UNA de las siguientes normas:
a. Consumo de electricidad para electrólisis y tratamiento con cloro inferior a 2,45 MWh por tonelada.
b. Emisiones medias de gases de efecto invernadero inferiores a 100 g CO2e/kWh. _</t>
    </r>
  </si>
  <si>
    <t>Fabricación de materiales orgánicos básicos</t>
  </si>
  <si>
    <t>A.8.13. Fabricación de materiales orgánicos básicos</t>
  </si>
  <si>
    <t xml:space="preserve">A.8.13. Fabricación de materiales básicos orgánicos </t>
  </si>
  <si>
    <t xml:space="preserve">Fabricación de materiales básicos orgánicos </t>
  </si>
  <si>
    <t>Fabricación de químicos de alto valor.</t>
  </si>
  <si>
    <r>
      <rPr>
        <b/>
        <sz val="8"/>
        <color rgb="FF000000"/>
        <rFont val="Santander Text"/>
        <family val="2"/>
      </rPr>
      <t xml:space="preserve">¿De qué se trata? </t>
    </r>
    <r>
      <rPr>
        <sz val="8"/>
        <color rgb="FF000000"/>
        <rFont val="Santander Text"/>
        <family val="2"/>
      </rPr>
      <t>Fabricación de químicos de alto valor.</t>
    </r>
  </si>
  <si>
    <t>Cumple UN criterio aplicable _
3. Las tecnologías fabricadas buscan:
- Reducir las emisiones de gases de efecto invernadero en comparación con la mejor alternativa disponible en el mercado. 
- Cuando se cuantifiquen, las emisiones de gases de efecto invernadero serán verificadas por terceros independientes. _</t>
  </si>
  <si>
    <t>Cumple TODOS los criterios aplicables  _
1. Umbrales de emisiones de gases de efecto invernadero 
- HVC: 0 693 tCO2e/t de HVC 
- Aromáticos: 0,0072 tCO2e/t de rendimiento complejo ponderado 
- Cloruro de vinilo: 0 171 tCO2e/t de cloruro de vinilo 
- Estireno: 0 419 tCO2e/t de estireno 
- Óxido de etileno/glicoles: 314 tCO2e/t de óxido de etileno/glicol 
- Ácido adípico: 0,32 tCO2e/t de ácido adípico  _
2. Cálculo de las emisiones GEI durante el ciclo de vida, calculadas por un tercero independiente y utilizando UNO de los siguientes estándares:
a. ISO 14067
b. ISO 14064 _</t>
  </si>
  <si>
    <t>Fabricación de amoniaco</t>
  </si>
  <si>
    <t>A.8.16. Fabricación de amoniaco</t>
  </si>
  <si>
    <t xml:space="preserve">A.8.16. Fabricación de amoníaco anhidro </t>
  </si>
  <si>
    <t xml:space="preserve">Fabricación de amoníaco anhidro </t>
  </si>
  <si>
    <t>Cumple UN criterio aplicable  _
3. Las tecnologías fabricadas buscan:
- Reducir las emisiones de gases de efecto invernadero en comparación con la mejor alternativa disponible en el mercado. 
- Cuando se cuantifiquen, las emisiones de gases de efecto invernadero serán verificadas por terceros independientes. _</t>
  </si>
  <si>
    <t>Cumple UN criterio aplicable  _
1. - Respeta los umbrales para la producción de actividad de hidrógeno y fuga de CO2 por debajo del 0,5%. 
- El secuestro de carbono cumple con las normas internacionales (ISO). 
2.  El amoníaco se recupera de aguas residuales _</t>
  </si>
  <si>
    <t>Fabricación de ácido nítrico</t>
  </si>
  <si>
    <t>A.8.14. Fabricación de ácido nítrico</t>
  </si>
  <si>
    <t xml:space="preserve">A.8.14. Fabricación de ácido nítrico </t>
  </si>
  <si>
    <t xml:space="preserve">Fabricación de ácido nítrico </t>
  </si>
  <si>
    <t>Cumple TODOS los criterios aplicables  _
1. Emisiones de GEI por debajo de  0.038 tCO2e / ton_</t>
  </si>
  <si>
    <t xml:space="preserve">Fabricación de naftalina </t>
  </si>
  <si>
    <t xml:space="preserve">A.8.26. Fabricación de naftalina </t>
  </si>
  <si>
    <t xml:space="preserve">A.8.26. Fabricación de Naphtha limpio </t>
  </si>
  <si>
    <t xml:space="preserve">Fabricación de Naphtha limpio </t>
  </si>
  <si>
    <t>Cumple TODOS los criterios aplicables _
1. Clean Naphtha debe estar certificado por la Certificación Internacional de Sostenibilidad y Carbono (ISCC Plus) o equivalente</t>
  </si>
  <si>
    <t>Equipos eléctricos y electrónicos</t>
  </si>
  <si>
    <t>A.8.35. Equipos eléctricos y electrónicos</t>
  </si>
  <si>
    <t>A.8.35. Contribución de la fabricación de equipos eléctricos y electrónicos a la economía circular</t>
  </si>
  <si>
    <t>Contribución de la fabricación de equipos eléctricos y electrónicos a la economía circular</t>
  </si>
  <si>
    <t xml:space="preserve">Fabricación de equipos eléctricos y electrónicos para uso industrial, profesional y de consumo. </t>
  </si>
  <si>
    <r>
      <rPr>
        <b/>
        <sz val="8"/>
        <color rgb="FFFF0000"/>
        <rFont val="Santander Text"/>
        <family val="2"/>
      </rPr>
      <t>¿De qué se trata?</t>
    </r>
    <r>
      <rPr>
        <sz val="8"/>
        <color rgb="FFFF0000"/>
        <rFont val="Santander Text"/>
        <family val="2"/>
      </rPr>
      <t xml:space="preserve"> Esta actividad incluye la fabricación de pilas portátiles recargables y no recargables. 
¿</t>
    </r>
    <r>
      <rPr>
        <b/>
        <sz val="8"/>
        <color rgb="FFFF0000"/>
        <rFont val="Santander Text"/>
        <family val="2"/>
      </rPr>
      <t>De qué NO se trata</t>
    </r>
    <r>
      <rPr>
        <sz val="8"/>
        <color rgb="FFFF0000"/>
        <rFont val="Santander Text"/>
        <family val="2"/>
      </rPr>
      <t>? La actividad no incluye la fabricación de otras categorías de pilas.</t>
    </r>
  </si>
  <si>
    <t>Cumple TODOS los criterios aplicables: 
1. Criterios de la etiqueta ecológica de la UE aplicables a esa categoría de producto específica.
2. Cuando no existan criterios específicos de la etiqueta ecológica de la UE para un producto, se deben aplicar todos los criterios siguientes:
A. Diseño para una larga vida útil, incluyendo:
i. Cuando el producto contenga software que requiera actualizaciones, todas las versiones de los componentes de software, soporte de software y software/firmware, incluidas las actualizaciones, se pongan a disposición de los usuarios durante la vida útil de un artículo, tal como se define en la Directiva 2009/125/CE y en los actos de ejecución adoptados en virtud de dicha Directiva.
ii. Los productos que incorporan baterías portátiles garantizan que dichas baterías puedan ser extraídas y reemplazadas fácilmente por el usuario final en cualquier momento durante la vida útil del producto, sin necesidad de utilizar herramientas especializadas.
iii. No se utiliza software para afectar negativamente a la circularidad del producto, incluido el reemplazo de una batería portátil, y el reemplazo correcto de la batería no degrada el funcionamiento del producto.
B. Diseño para la reparación y garantía, incluyendo:
i. Cuando se establezca un sistema de puntuación de reparaciones específico para un producto de conformidad con el Derecho de la Unión, el operador de la actividad se asegurará de que los productos tengan la clase de reparabilidad más poblada.
ii. El operador de la actividad proporcionará acceso a la información a los reparadores profesionales durante toda la vida útil del producto, incluyendo: 
a. la identificación inequívoca del aparato;
b. un mapa de desmontaje o una vista explosionada;
c. una lista de los equipos de reparación y prueba necesarios;
d. detalles técnicos de los componentes e información de diagnóstico, como valores teóricos mínimos y máximos para las mediciones;
e. diagramas de cableado y conexión;
f. códigos de diagnóstico de fallos y errores, incluidos los códigos específicos del fabricante;
g. registros de datos de incidentes de fallos notificados almacenados en el producto;
h. manual técnico de instrucciones para la reparación del producto, incluidos diagramas sencillos de la placa electrónica, que incluya el marcado de los pasos individuales;
i. instrucciones para el software y el firmware, incluido el software de restablecimiento;
j. información sobre cómo acceder a los registros de datos de los incidentes de fallos notificados almacenados en el dispositivo, cuando proceda, con la excepción de la información de identificación personal, como la relacionada con el comportamiento del usuario y la información de ubicación.
iii. Las piezas de repuesto clave, ya sean nuevas o usadas, como motores, baterías, placas de circuitos y cualquier pieza o componente esencial para el buen funcionamiento del producto, están disponibles para los reparadores profesionales y los usuarios finales, después de la comercialización de la última unidad del modelo, durante un año adicional en comparación con los requisitos sobre la disponibilidad de piezas de repuesto de la Directiva 2009/125/CE.
iv. Cuando la reparación del producto no presente riesgos significativos para la salud y la seguridad, el operador de la actividad proporcionará instrucciones claras de desmontaje y reparación, incluso en papel, en formato electrónico o en vídeo, y las pondrá a disposición del público durante la vida útil del producto. 
v. En el caso de los aparatos eléctricos y electrónicos destinados al uso de los consumidores, el operador de la actividad ofrecerá una garantía comercial de un mínimo de tres años sin coste adicional.
C. Diseño para la reutilización y la refabricación, que incluye:
i. Cuando los productos puedan almacenar datos, y los datos estén encriptados, se requiere una función de software que restablezca el dispositivo a su configuración de fábrica y borre por defecto la clave de encriptación.
ii. Cuando los productos puedan transferir datos almacenados, los datos almacenados pueden transferirse fácil y completamente a otro producto, asegurando la privacidad y confidencialidad de los datos.
D. Diseño para el desmantelamiento, incluyendo:
i. La información sobre la gestión del fin de vida del producto está disponible públicamente durante la vida útil del producto. 
ii. La actividad proporciona información de seguimiento sobre las sustancias identificadas como sustancias extremadamente preocupantes (SEP) y sobre las sustancias que cumplen los criterios de sustancias extremadamente preocupantes (SEP).
E. Diseño para el reciclaje: La actividad económica fabrica productos con una reciclabilidad superior demostrada. La evaluación de la reciclabilidad se basa en la norma EN 45555:2019 o en cualquier norma EN específica de un producto que se base en la norma EN 45555:2019. A. La actividad económica cumple los siguientes requisitos:
i. se utilizan polímeros individuales o mezclas de polímeros reciclables;
ii.    los recintos de plástico no contienen metal moldeado o pegado;
iii.    los materiales que no pueden reciclarse juntos son de fácil acceso y pueden separarse;    
iv. la mejora de la reciclabilidad no perjudica la durabilidad del propio sistema;
v. las partes del producto que contienen sustancias, mezclas y componentes que deben eliminarse durante la descontaminación son fáciles de identificar
vi. las placas de circuitos impresos, las unidades de disco duro (HDD), los motores eléctricos, los imanes permanentes, las baterías, los polvos fluorescentes o cualquier otro componente identificado en la legislación de la Unión como de alto potencial de recuperación de materias primas críticas son de fácil acceso y fáciles de extraer del producto
vii. las piezas que reducen la reciclabilidad según el escenario de referencia para el tratamiento de productos al final de su vida útil, como el plástico que utiliza determinados rellenos o determinados retardantes de llama, son de fácil acceso y fáciles de extraer
viii. Las técnicas de unión, fijación o sellado no impiden la retirada segura y fácilmente realizable de los componentes especificados en la Directiva 2012/19/UE o en el Reglamento (UE) 2023/1542 del Parlamento Europeo y del Consejo sobre pilas y residuos de pilas, cuando estén presentes.
F. Sustitución proactiva de sustancias peligrosas, incluyendo:
i. La actividad económica fabrica productos que demuestran la sustitución proactiva de sustancias peligrosas.
ii. La actividad económica fabrica productos que demuestran la sustitución proactiva de sustancias peligrosas.
iii. No se introducen ni se forman sustancias peligrosas en los subconjuntos y componentes especificados en o por encima del límite de concentración especificado.
iv. Los productos no contienen halógeno más allá de los límites que pueden detectarse de acuerdo con la medición especificada en las normas existentes para todos sus componentes: cables (EN IEC 60754-3), piezas de plástico (EN50642), componentes electrónicos (EN IEC 61249-2-21 o JS709C), consumibles (EN IEC 61249-2-21 e IPC J-STD-004B)
v. Los productos no contienen gas fluorado.
G. Información a los clientes, incluyendo:
i. El operador de la actividad proporciona información a los clientes sobre las opciones de uso del producto teniendo en cuenta los beneficios medioambientales, en particular la prolongación de la vida útil de los productos asociados a los diferentes modos del producto.
ii. El operador de la actividad proporciona información a los clientes sobre las opciones de recompra, reventa y devolución del producto, información sobre la recogida selectiva y los puntos de recogida de residuos de aparatos eléctricos y electrónicos (RAEE), así como información sobre las opciones de reutilización.
iii. En el caso de los aparatos eléctricos y electrónicos, el operador de la actividad marca adecuadamente el producto con el símbolo que indica la recogida selectiva de residuos de aparatos eléctricos y electrónicos, y proporciona al consumidor información pertinente sobre los costes de recogida, tratamiento y eliminación del producto de forma respetuosa con el medio ambiente.
H. Responsabilidad de los productores, que incluye:
i. El operador de la actividad, al introducir aparatos eléctricos y electrónicos en el mercado de los Estados miembros, establece un sistema individual de responsabilidad ampliada del productor o participa en sistemas colectivos de responsabilidad ampliada del productor en todos los Estados miembros en los que se comercializa el producto. 
ii. En el caso de las pilas portátiles, el productor establece sistemas de recogida y recuperación de pilas portátiles usadas, que incluyen puntos de recogida, en todos los Estados miembros en los que se comercializa el producto.</t>
  </si>
  <si>
    <t>Cemento, aluminio, hierro, acero y otros</t>
  </si>
  <si>
    <t>Fabricación de cemento</t>
  </si>
  <si>
    <t>A.8.8. Fabricación de cemento</t>
  </si>
  <si>
    <t xml:space="preserve">A.8.8. Fabricación de cemento </t>
  </si>
  <si>
    <t xml:space="preserve">Fabricación de cemento </t>
  </si>
  <si>
    <t>Fabricación de cemento clinker, cemento o ligante alternativo.</t>
  </si>
  <si>
    <r>
      <rPr>
        <b/>
        <sz val="8"/>
        <color rgb="FF000000"/>
        <rFont val="Santander Text"/>
        <family val="2"/>
      </rPr>
      <t xml:space="preserve">¿De qué se trata? </t>
    </r>
    <r>
      <rPr>
        <sz val="8"/>
        <color rgb="FF000000"/>
        <rFont val="Santander Text"/>
        <family val="2"/>
      </rPr>
      <t>Fabricación de cemento clinker, cemento o ligante alternativo.</t>
    </r>
  </si>
  <si>
    <t>Cumple TODOS los criterios aplicables  _
3. Las tecnologías fabricadas buscan:
- Reducir las emisiones de gases de efecto invernadero en comparación con la mejor alternativa disponible en el mercado. 
- Cuando se cuantifiquen, las emisiones de gases de efecto invernadero serán verificadas por terceros independientes. _</t>
  </si>
  <si>
    <t>Cumple TODOS los criterios aplicables  _
1. Productos ALTERNATIVOS: 
a. Fabricación de cemento gris en la que las emisiones de gases de efecto invernadero son inferiores a 0,722 tCO2e/tonelada. 
b. Cemento de clinker gris o fabricación de aglutinantes hidráulicos alternativos donde las emisiones de gases de efecto invernadero (del clinker o de otra alternativa) son inferiores a 0,469 tCO2e/tonelada. _
2. - Fuga de CO2 inferior a 0,5%.
- El secuestro de carbono se realiza de acuerdo con los estândares internacionales (ISO). _</t>
  </si>
  <si>
    <t>Fabricación de aluminio</t>
  </si>
  <si>
    <t>A.8.9. Fabricación de aluminio</t>
  </si>
  <si>
    <t xml:space="preserve">A.8.9. Fabricación de aluminio </t>
  </si>
  <si>
    <t xml:space="preserve">Fabricación de aluminio </t>
  </si>
  <si>
    <t>Fabricación de alumínio primario y secundario gracias al reciclaje.</t>
  </si>
  <si>
    <r>
      <rPr>
        <b/>
        <sz val="8"/>
        <color rgb="FF000000"/>
        <rFont val="Santander Text"/>
        <family val="2"/>
      </rPr>
      <t xml:space="preserve">¿De qué se trata? </t>
    </r>
    <r>
      <rPr>
        <sz val="8"/>
        <color rgb="FF000000"/>
        <rFont val="Santander Text"/>
        <family val="2"/>
      </rPr>
      <t>Fabricación de alumínio primario y secundario gracias al reciclaje.</t>
    </r>
  </si>
  <si>
    <t>Cumple UN criterio aplicable  _
1. ALUMINIO PRIMARIO 
Deberá cumplir con UNO (hasta 2025) o TODOS (Después de 2025) los siguientes requerimientos: 
- Emisiones GEI inferiores a 1,484 tCO2e/tonelada 
- La intensidad de carbono de las emisiones indirectas de GEI está por debajo de los 100gCO2e/kWh 
- Consumo de eletricidade inferior a 15,5 MWh/t IA  _
2. Producción de ALUMINIO SECUNDARIO. _</t>
  </si>
  <si>
    <t>Fabricación de hierro y acero</t>
  </si>
  <si>
    <t>A.8.10. Fabricación de hierro y acero</t>
  </si>
  <si>
    <t xml:space="preserve">A.8.10. Fabricación de hierro y acero </t>
  </si>
  <si>
    <t xml:space="preserve">Fabricación de hierro y acero </t>
  </si>
  <si>
    <t>Cumple TODOS los criterios aplicables  _
1. Criterios alternativos: 
- Reducción de las emisiones de GEI, no excediendo los siguientes límites en las etapas de sus procesos:
a. Metal caliente: 1 331 tCO2e/t producto; 
b. Mineral sinterizado: 0 163 tCO2e/t producto 
c. Coque (excluido coque de lignito): 0 144 tCO2e/t de producto 
d. Fundición de hierro: 0,299(1152) tCO2e/t producto 
e. Acero de alta aleación del horno de arco eléctrico (EAF) de 0 266 tCO2e/t producto 
f. Acero al carbono del horno eléctrico de arco (EAF): 0 209 tCO2e/t producto 
- EAFs – Entrada de chatarra de acero vs. producción del producto superior a:
a. 70% para acero de alta aleación 
b. 90 % para el acero de carbono  _
2. 
- Fuga de CO2 por debajo del 0.5%.
- El secuestro de carbono se realiza de acuerdo con las normas internacionales.  _</t>
  </si>
  <si>
    <t>Fabricación de negro de carbono</t>
  </si>
  <si>
    <t xml:space="preserve">A.8.11. Fabricación de negro de carbono </t>
  </si>
  <si>
    <t xml:space="preserve">Fabricación de negro de carbono </t>
  </si>
  <si>
    <t>Cumple TODOS los criterios aplicables  _
2. Las tecnologías fabricadas buscan:
- Reducir las emisiones de gases de efecto invernadero en comparación con la mejor alternativa disponible en el mercado. 
- Cuando se cuantifiquen, las emisiones de gases de efecto invernadero serán verificadas por terceros independientes. _</t>
  </si>
  <si>
    <t>Cumple TODOS los criterios aplicables  _
1. Emisiones de GEI inferiores a 1.141 tCO2e / ton _</t>
  </si>
  <si>
    <t>Plásticos</t>
  </si>
  <si>
    <t>Fabricación de plásticos en forma primaria</t>
  </si>
  <si>
    <t xml:space="preserve">A.8.17. Fabricación de plásticos en forma primaria </t>
  </si>
  <si>
    <t xml:space="preserve">Fabricación de plásticos en forma primaria </t>
  </si>
  <si>
    <t xml:space="preserve">Fabricación de resinas y materiales plásticos. </t>
  </si>
  <si>
    <r>
      <rPr>
        <b/>
        <sz val="8"/>
        <color rgb="FF000000"/>
        <rFont val="Santander Text"/>
        <family val="2"/>
      </rPr>
      <t xml:space="preserve">¿De qué se trata? </t>
    </r>
    <r>
      <rPr>
        <sz val="8"/>
        <color rgb="FF000000"/>
        <rFont val="Santander Text"/>
        <family val="2"/>
      </rPr>
      <t xml:space="preserve">Fabricación de resinas y materiales plásticos. </t>
    </r>
  </si>
  <si>
    <t>Cumple TODOS los criterios aplicables  _
5. Las tecnologías fabricadas buscan:
- Reducir las emisiones de gases de efecto invernadero en comparación con la mejor alternativa disponible en el mercado. 
- Cuando se cuantifiquen, las emisiones de gases de efecto invernadero serán verificadas por terceros independientes. _</t>
  </si>
  <si>
    <t>Cumple UN criterio aplicable _
1. Forma primaria de plástico fabricada íntegramente mediante reciclaje mecánico de residuos plásticos _
2. Si el reciclaje mecánico no es factible, fabricación mediante reciclaje químico con menores emisiones de gases de efecto invernadero que la opción equivalente a partir de materias primas de combustibles fósiles. Cálculo realizado utilizando ISO 14067 o ISO 14064, verificado por un tercero independiente. _
3. Derivado total o parcialmente de materias primas renovables y con emisiones de gases de efecto invernadero inferiores a las de la opción equivalente a partir de materias primas de combustibles fósiles. Cálculo realizado utilizando ISO 14067 o ISO 14064, verificado por un tercero independiente. _
4. Los biocombustibles producidos a partir de biomasa agrícola no deben elaborarse a partir de materias primas de alto valor de biodiversidad ni derivarse de una producción insostenible. _</t>
  </si>
  <si>
    <t>Fabricación de embalajes de plástico</t>
  </si>
  <si>
    <t>A.8.23. Fabricación de embalajes de plástico</t>
  </si>
  <si>
    <t xml:space="preserve">A.8.23. Fabricación de productos de embalaje de plástico </t>
  </si>
  <si>
    <t xml:space="preserve">Fabricación de productos de embalaje de plástico </t>
  </si>
  <si>
    <t>Cumple TODOS los criterios aplicables _
1. Cumple UNO:
a. Materia prima circular: 
- Embalaje sensible sin contacto: Más del 35 % en peso reciclado.
- Embalaje sensible al contacto: Más del 10 % en peso reciclado.
b. Diseño para la reutilización: Cumplir los requisitos de la letra «a» y garantizar la reutilización en un sistema de circuito abierto o cerrado que proporcione:
- Estructura de gobierno definida y mantenimiento de registros de KPI.
- Reglas sobre el alcance del producto, formatos e incentivos para los clientes.
- Garantiza el acceso a todos los operadores económicos.
c. Uso de más de 65 materias primas de biorresiduos _
2. Cumple con TODO:
- Unidad de diseño de envase destinada a ser reciclada o que permite la separación de componentes no reciclados. 
- Evaluado como reciclable a escala. _
3. Durante su producción, la materia prima no contiene sustancias peligrosas con propiedades cancerígenas, mutagénicas o tóxicas. _
4. Plástico compostable utilizado únicamente para bolsas de plástico muy ligeras _</t>
  </si>
  <si>
    <t>Medicina y farmacia</t>
  </si>
  <si>
    <t>Fabricación de ingredientes farmacéuticos activos (API)</t>
  </si>
  <si>
    <t>A.8.24. Fabricación de ingredientes farmacéuticos activos (API)</t>
  </si>
  <si>
    <t xml:space="preserve">A.8.24. Fabricación de ingredientes farmacéuticos activos (API) o sustancias activas </t>
  </si>
  <si>
    <t xml:space="preserve">Fabricación de ingredientes farmacéuticos activos (API) o sustancias activas </t>
  </si>
  <si>
    <t>Cumple UN criterio aplicable _
1. Cumple TODOS:
a. Los ingredientes contienen sustancias naturales (vitaminas, electrolitos...) que son degradables O el resultado se califica como sustituto adecuado de otro producto.b. 
b. Si no se cumple «a.», los metabolitos humanos clave y los productos de transformación en el medio ambiente deben cumplir UNO:
- Clasificados como biodegradables según las Directrices de la OCDE para el ensayo de productos químicos (ensayo 301 A-F).
- Puede concluirse que se mineralizan según el ensayo n.º 308: Transformación aeróbica y anaeróbica en sistemas de sedimentos acuáticos (OCDE 308) de las Directrices de la OCDE.
c. API calificado como sustituto apropiado de otro disponible en el mercado que no cumple con los estándares del criterio #1 (evidencia como un análisis disponible públicamente verificado por un tercero independiente).
d. El proceso de fabricación no implica el uso de productos químicos restringidos a menos que no haya alternativa disponible en el mercado. _
2. Emisión de contaminantes - Cumple con TODOS:
- Límites de emisión por debajo del punto medio de la mejor técnica disponible / nivel de emisión asociado para la gestión de gases residuales, la fabricación de productos químicos orgánicos finos o productos químicos inorgánicos de gran volumen.
- Sistemas de monitorización continua de emisiones (CEMS), sistemas de monitorización continua de la calidad de los efluentes (CEQMS) o equivalentes aplicados para garantizar el no deterioro del medio ambiente.
- El operador aplica la segregación de residuos de disolventes para la recuperación de disolventes de corrientes de residuos concentrados, cuando sea técnicamente aplicable.
- Las aguas residuales y otros desechos se eliminan de manera oportuna y sanitaria en un contenedor/tubería seguro y claramente identificado, con datos disponibles y actualizados sobre la conversión de esos materiales _</t>
  </si>
  <si>
    <t>Fabricación de medicamentos</t>
  </si>
  <si>
    <t xml:space="preserve">A.8.25. Fabricación de medicamentos </t>
  </si>
  <si>
    <t xml:space="preserve">Fabricación de medicamentos </t>
  </si>
  <si>
    <t>Cumple UN criterio aplicable _
1. Cumple TODOS:
a. Los ingredientes contienen sustancias naturales (vitaminas, electrolitos...) que son degradables O el resultado se califica como sustituto adecuado de otro producto.
b. Existen pruebas de que no hay ingredientes disponibles para la producción de un sustituto adecuado, que cumpla con TODO lo siguiente:
- Análisis realizado con resultados publicados.
- Ningún riesgo significativo asociado (PEC/PNEC&lt;1).
- Cantidades vendidas ajustables con el embalaje y la distribución.
- Información pública actualizada de acuerdo con el estado de la técnica sobre la dosificación recomendada.
- Aplicación de la dosificación más eficaz (publicada) facilitada por el formato del envase.
- El fabricante contribuye a mitigar el impacto medioambiental de la eliminación incorrecta de residuos.
c. El proceso de fabricación no implica el uso de productos químicos restringidos, a menos que no haya alternativa disponible en el mercado. _
2. Emisión de contaminantes: cumple con TODO:
- Límites de emisión por debajo del punto medio de la mejor técnica disponible / nivel de emisión asociado para la gestión de gases residuales, la fabricación de productos químicos orgánicos finos o productos químicos inorgánicos de gran volumen.
- Sistemas de monitorización continua de emisiones (CEMS), sistemas de monitorización continua de la calidad de los efluentes (CEQMS) o equivalentes aplicados para garantizar el no deterioro del medio ambiente.
- El operador aplica la segregación de residuos de disolventes para la recuperación de disolventes de corrientes de residuos concentrados, cuando sea técnicamente aplicable.
- Las aguas residuales y otros desechos se eliminan de manera oportuna y sanitaria en un contenedor/tubería seguro y claramente identificado, con datos disponibles y actualizados sobre la conversión de esos materiales _</t>
  </si>
  <si>
    <t>A.8.5. Fabricación de Baterías</t>
  </si>
  <si>
    <t>Fabricación de Baterías</t>
  </si>
  <si>
    <t xml:space="preserve">Fabricación de baterías recargables y aplicaciones industriales con sus respectivos componentes. </t>
  </si>
  <si>
    <r>
      <rPr>
        <b/>
        <sz val="8"/>
        <color rgb="FF000000"/>
        <rFont val="Santander Text"/>
        <family val="2"/>
      </rPr>
      <t xml:space="preserve">¿De qué se trata? </t>
    </r>
    <r>
      <rPr>
        <sz val="8"/>
        <color rgb="FF000000"/>
        <rFont val="Santander Text"/>
        <family val="2"/>
      </rPr>
      <t xml:space="preserve">Fabricación de baterías recargables y aplicaciones industriales con sus respectivos componentes. </t>
    </r>
  </si>
  <si>
    <t>Cumple UN criterio aplicable  _
1. Uso secundario de materias primas que da lugar a reducciones de emisiones de gases de efecto invernadero en el transporte, almacenamiento de energía estacionaria y fuera de la red y otras aplicaciones industriales.  _
2. Reciclaje de las baterías al fin de su vida útil. _</t>
  </si>
  <si>
    <t>Alojamiento</t>
  </si>
  <si>
    <t xml:space="preserve">A.9.1. Hoteles, vacaciones, camping y alojamientos similares </t>
  </si>
  <si>
    <t xml:space="preserve">Hoteles, vacaciones, camping y alojamientos similares </t>
  </si>
  <si>
    <t xml:space="preserve">Alojamiento turístico a corto plazo, posiblemente con servicios asociados. </t>
  </si>
  <si>
    <r>
      <rPr>
        <b/>
        <sz val="8"/>
        <color rgb="FF000000"/>
        <rFont val="Santander Text"/>
        <family val="2"/>
      </rPr>
      <t xml:space="preserve">¿De qué se trata? </t>
    </r>
    <r>
      <rPr>
        <sz val="8"/>
        <color rgb="FF000000"/>
        <rFont val="Santander Text"/>
        <family val="2"/>
      </rPr>
      <t xml:space="preserve">Alojamiento turístico a corto plazo, posiblemente con servicios asociados. </t>
    </r>
  </si>
  <si>
    <r>
      <t>Cumple TODOS los criterios aplicables _
11. Certificado EarthCheck (</t>
    </r>
    <r>
      <rPr>
        <strike/>
        <sz val="8"/>
        <color rgb="FFFF0000"/>
        <rFont val="Santander Text"/>
      </rPr>
      <t>oro</t>
    </r>
    <r>
      <rPr>
        <sz val="8"/>
        <color rgb="FFFF0000"/>
        <rFont val="Santander Text"/>
      </rPr>
      <t>plata</t>
    </r>
    <r>
      <rPr>
        <sz val="8"/>
        <color theme="1"/>
        <rFont val="Santander Text"/>
        <family val="2"/>
      </rPr>
      <t xml:space="preserve"> o superior) _</t>
    </r>
  </si>
  <si>
    <t>Cumple TODOS los criterios aplicables _
1. Conservación, incluidos los criterios de «restauración de hábitats, ecosistemas y especies» que se cumplen en toda la zona. _
2. Zonas de alto valor de conservación de la naturaleza cubiertas por un plan de gestión. _
3. Actividades acordadas específicamente en un documento contractual de al menos 5 años de duración, revisado periódicamente, entre el operador y la organización encargada de la conservación de la zona. _
4. Medidas financieras o en especie en UNA de las siguientes formas:
a. Solicitud de entrada/permiso/tarifas de usuario.
b. Concesiones y arrendamientos de servicios directamente relacionados con un área de conservación.
c. Establecimientos de alojamiento turístico dentro de un área de conservación pero no sujetos a concesión.
d. Voluntarios para actividades directamente relacionadas con la conservación.
e. Oportunidades educativas directamente relacionadas con la conservación y el comportamiento adecuado.
f. Compra de productos derivados de prácticas sostenibles en un área de conservación.
g. Compra de mercancías de un área de conservación para su reventa.
h. Pago de derechos de autor, directamente a la organización encargada de la gestión de un área de conservación.
i. Recaudación de donaciones voluntarias de turistas para transferirlas a un fondo específico. _
5. Contribución mínima en % definida:
a. Caso de un solo establecimiento: 1 % de la facturación anual.
b. 2-10 establecimientos: 0,7 % de la facturación anual de un alojamiento turístico individual.
c. Más de 10 establecimientos: 0,5 % de la facturación anual de un establecimiento de alojamiento turístico individual. _
6. Plan de acción que incluya:
-Objetivos: evitar/minimizar los impactos negativos en la biodiversidad, incluyendo:
       -Para las visitas a sitios naturales: evitar el daño al ecosistema a través de los flujos de turistas.
       -Para la interacción con la vida silvestre: evitar las perturbaciones a través de acciones perjudiciales, los movimientos locales de los turistas o la introducción de especies exóticas invasoras.
       -Para la recolección y el comercio de vida silvestre: Respeto a las especies de vida silvestre protegidas.
-Acuerdos de colaboración.
-Información sobre biodiversidad y plan de concienciación.
-Marco de seguimiento continuo y acciones correctivas. _
7. Cadena de suministro sostenible y sistema de gestión que cumple con TODO:
-Proporción justa de productos en línea con las mejores prácticas certificadas por un tercero (FSC, FAO).
-Si tiene más de 50 empleados, cumple con UNO de los siguientes:
a. El sistema de gestión medioambiental requiere certificación de terceros, como EMAS, ISO 14001:201526 o equivalente.
b. Etiqueta ecológica de la UE para alojamientos turísticos o equivalente. _
8. Evaluación del impacto medioambiental para garantizar la prevención de efectos adversos. _
9. Áreas específicas para la caza y la pesca recreativas. _
10. Las autoridades o un certificador independiente verifican los criterios técnicos cada 5 años. _</t>
  </si>
  <si>
    <t>Información &amp; Comunicación</t>
  </si>
  <si>
    <t>Soluciones basadas en datos y software</t>
  </si>
  <si>
    <t>Soluciones basadas en datos para la reducción de emisiones de GEI</t>
  </si>
  <si>
    <t>A.10.2. Soluciones basadas en datos para la reducción de emisiones de GEI</t>
  </si>
  <si>
    <t xml:space="preserve">A.10.2. Soluciones basadas en datos para la reducción de emisiones de GEI </t>
  </si>
  <si>
    <t xml:space="preserve">Soluciones basadas en datos para la reducción de emisiones de GEI </t>
  </si>
  <si>
    <t>Desarrollo o uso de soluciones TIC destinadas a proporcionar datos y análisis que permitan reducir las emisiones de gases de efecto invernadero.</t>
  </si>
  <si>
    <r>
      <rPr>
        <b/>
        <sz val="8"/>
        <color rgb="FF000000"/>
        <rFont val="Santander Text"/>
        <family val="2"/>
      </rPr>
      <t>¿De qué se trata?</t>
    </r>
    <r>
      <rPr>
        <sz val="8"/>
        <color rgb="FF000000"/>
        <rFont val="Santander Text"/>
        <family val="2"/>
      </rPr>
      <t xml:space="preserve"> Desarrollo o uso de soluciones TIC destinadas a proporcionar datos y análisis que permitan reducir las emisiones de gases de efecto invernadero.</t>
    </r>
  </si>
  <si>
    <t>Cumple TODOS los criterios aplicables  _
1. Soluciones y análisis para la toma de decisiones sobre la reducción de gases de efecto invernadero. Estas soluciones pueden incluir tecnologías descentralizadas, Internet de las cosas, actualización de 5G e inteligencia artificial.  _</t>
  </si>
  <si>
    <t>Cumple TODOS los criterios aplicables _
1. Soluciones y análisis para la toma de decisiones sobre la reducción de gases de efecto invernadero. Estas soluciones pueden incluir tecnologías descentralizadas, Internet de las cosas, actualización de 5G e inteligencia artificial.  _
2. La solución de TIC demuestra ahorros sustanciales en las emisiones de gases de efecto invernadero (calculadas usando ETSI es 203 199, ISO 14067:2018 o ISO 14064-2:2019). _
3. Las reducciones de las emisiones de gases de efecto invernadero son verificadas por terceros en una evaluación transparente.  _</t>
  </si>
  <si>
    <t>9) Industria, innovación e infraestructura
12) Consumo y producción responsables</t>
  </si>
  <si>
    <t xml:space="preserve">Software que permite la gestión y adaptación física de los riesgos climáticos </t>
  </si>
  <si>
    <t xml:space="preserve">A.10.3. Software que permite la gestión y adaptación física de los riesgos climáticos </t>
  </si>
  <si>
    <t xml:space="preserve">A.10.3. Software que permite la gestión física del riesgo climático y la adaptación </t>
  </si>
  <si>
    <t xml:space="preserve">Software que permite la gestión física del riesgo climático y la adaptación </t>
  </si>
  <si>
    <t xml:space="preserve">Actividades de programación destinadas a proporcionar programas informáticos para la predicción de riesgos climáticos, los sistemas de alerta temprana y la gestión de riesgos climáticos. </t>
  </si>
  <si>
    <r>
      <rPr>
        <b/>
        <sz val="8"/>
        <color rgb="FF000000"/>
        <rFont val="Santander Text"/>
        <family val="2"/>
      </rPr>
      <t>¿De qué se trata?</t>
    </r>
    <r>
      <rPr>
        <sz val="8"/>
        <color rgb="FF000000"/>
        <rFont val="Santander Text"/>
        <family val="2"/>
      </rPr>
      <t xml:space="preserve"> Actividades de programación destinadas a proporcionar programas informáticos para la predicción de riesgos climáticos, los sistemas de alerta temprana y la gestión de riesgos climáticos. </t>
    </r>
  </si>
  <si>
    <t>Cumple TODOS los criterios aplicables  _
1. La actividad elimina las barreras de la información, la tecnología o la capacidad de adaptación. _
3. El software desarrollado cumple TODOS los requisitos: 
- El objetivo es permitir la gestión de los riesgos climáticos físicos. 
- No afecta negativamente a los esfuerzos para adaptar el nivel de responsabilidad a los riesgos climáticos físicos. 
- Favorece la solución basada en la naturaleza en la medida de lo posible. 
- Es coherente con las estrategias y planes nacionales de adaptación. 
- Se informa y supervisa de acuerdo con indicadores predefinidos. _</t>
  </si>
  <si>
    <t>Cumple TODOS los criterios aplicables  _
1. La actividad elimina las barreras de la información, la tecnología o la capacidad de adaptación. _
2. La actividad utiliza una metodología y datos que se ajustan a TODO Lo que se muestra a continuación: 
- Sobre la base de las mejores prácticas y las directrices disponibles. 
- Compatible con las normas y directrices sobre adaptación y gestión del riesgo del clima (en ISO 14090 y en ISO 14091). 
3. El software desarrollado cumple TODOS LOS requisitos: 
- El objetivo es permitir la gestión de los riesgos climáticos físicos. 
- No afecta negativamente a los esfuerzos para adaptar el nivel de responsabilidad a los riesgos climáticos físicos. 
- Favorece la solución basada en la naturaleza en la medida de lo posible. 
- Es coherente con las estrategias y planes nacionales de adaptación. 
- Se informa y supervisa de acuerdo con indicadores predefinidos. _</t>
  </si>
  <si>
    <t xml:space="preserve">Suministro de soluciones basadas en datos IT/OT para la reducción de fugas </t>
  </si>
  <si>
    <t xml:space="preserve">A.10.4. Suministro de soluciones basadas en datos IT/OT para la reducción de fugas </t>
  </si>
  <si>
    <t>Consultoría técnica para diseño o monitoreo, tecnología de la información/operativa y soluciones orientadas a datos para reducir las fugas en sistemas de suministro de agua</t>
  </si>
  <si>
    <r>
      <rPr>
        <b/>
        <sz val="8"/>
        <color rgb="FF000000"/>
        <rFont val="Santander Text"/>
        <family val="2"/>
      </rPr>
      <t xml:space="preserve">¿De qué se trata? </t>
    </r>
    <r>
      <rPr>
        <sz val="8"/>
        <color rgb="FF000000"/>
        <rFont val="Santander Text"/>
        <family val="2"/>
      </rPr>
      <t>Consultoría técnica para diseño o monitoreo, tecnología de la información/operativa y soluciones orientadas a datos para reducir las fugas en sistemas de suministro de agua.</t>
    </r>
  </si>
  <si>
    <t>Cumple TODOS los criterios aplicables _
1. La actividad cumple con la definición y TODOS los criterios a continuación:
-Sistemas de monitoreo que incluyen IT/OT para proporcionar identificación, seguimiento y rastreo de fugas de agua.
-Soluciones de IT/OT que proporcionan control, gestión y mitigación de fugas de agua.
-Soluciones de IT/OT que garantizan la interoperabilidad de los sistemas en áreas de medición de distrito. _
2. Se identifican y abordan los riesgos de degradación ambiental relacionados con la preservación de la calidad del agua y la prevención del estrés hídrico para lograr un buen estado del agua. _</t>
  </si>
  <si>
    <t>Suministro de soluciones orientadas a datos IT/OT para otros propósitos</t>
  </si>
  <si>
    <t>A.10.5. Suministro de soluciones orientadas a datos IT/OT para otros propósitos</t>
  </si>
  <si>
    <t xml:space="preserve">A.10.5. Suministro de soluciones IT/OT basadas en datos </t>
  </si>
  <si>
    <t xml:space="preserve">Suministro de soluciones IT/OT basadas en datos </t>
  </si>
  <si>
    <t xml:space="preserve">Consultoría técnica para software y sistemas de IT/OT, apoyando el diseño ecológico y software de gestión de proveedores que apoyan la adquisición ecológica. </t>
  </si>
  <si>
    <r>
      <rPr>
        <b/>
        <sz val="8"/>
        <color rgb="FF000000"/>
        <rFont val="Santander Text"/>
        <family val="2"/>
      </rPr>
      <t xml:space="preserve">¿De qué se trata? </t>
    </r>
    <r>
      <rPr>
        <sz val="8"/>
        <color rgb="FF000000"/>
        <rFont val="Santander Text"/>
        <family val="2"/>
      </rPr>
      <t xml:space="preserve">Consultoría técnica para software y sistemas de IT/OT, apoyando el diseño ecológico y software de gestión de proveedores que apoyan la adquisición ecológica. </t>
    </r>
  </si>
  <si>
    <t>Cumple TODOS los criterios aplicables _
9. Para países no pertenecientes a la UE, los mismos criterios coherentes que la taxonomía de la UE, excepto el cumplimiento de la LTO</t>
  </si>
  <si>
    <r>
      <t xml:space="preserve">Cumple el criterio  #1 + UNO de los demás. _
1. La actividad desarrolla servicios profesionales, incluida la consultoría técnica para el diseño de una o más de las siguientes soluciones de IT/OT basadas en datos: 
-Sensores.
-Equipos de recopilación y comunicación de datos.
-Repositorio de datos.
-Software. _
2. Para el sistema de supervisión remota y mantenimiento predictivo, se cumplen AL MENOS DOS de las siguientes capacidades:
a. Alertar al usuario de valores anormales de los sensores y sacar conclusiones sobre la naturaleza exacta mediante métodos analíticos avanzados.
b. Predecir la vida útil restante esperada de un producto y recomendar medidas para prolongarla.
c. Predecir fallos y recomendar medidas para prevenirlos.
d. Recomendaciones sobre la recuperación de componentes mediante la recolección de piezas para su reciclaje, cumpliendo con UNO: 
i) Supervisión para la sustitución de consumibles.
ii) Supervisión remota de las plantas de generación de energía que emiten más de 100 gCO2e/kWh. _
3. Para el software de seguimiento y localización y los sistemas de IT/OT, cumple UNO de los siguientes requisitos:
a. Datos estructurados accesibles (ISO 14067:2018152 o ISO 14040:2006153).
b. Aprovisionamiento de documentos y datos que apoyen directamente el mantenimiento de los equipos.
c. Apoyo a la logística inversa, incluida la recuperación de productos para su remanufactura o reciclaje mediante la gestión de pasos y transacciones.
d. Apoyo a la optimización e intensificación del uso de los productos. </t>
    </r>
    <r>
      <rPr>
        <sz val="8"/>
        <color rgb="FFFF0000"/>
        <rFont val="Santander Text"/>
        <family val="2"/>
      </rPr>
      <t>_</t>
    </r>
    <r>
      <rPr>
        <sz val="8"/>
        <color theme="1"/>
        <rFont val="Santander Text"/>
        <family val="2"/>
      </rPr>
      <t xml:space="preserve">
4. En el caso del software de evaluación del ciclo de vida, cumple UNO de los siguientes requisitos: 
a. Apoyar la evaluación del ciclo de vida de los productos con métodos implementados por software (de acuerdo con ISO 14067:2018154 o ISO 14040:2006155).
b. Proporcionar los datos necesarios para el análisis del ciclo de vida.
c. Proporcionar recomendaciones para mejorar el diseño de un producto. _
5. Para el software de diseño e ingeniería, cumple con UNO de los siguientes: 
a. Gestionar la circularidad específica del producto y otros objetivos de diseño medioambiental.
b. Explorar diseños de productos para evaluar y optimizar los diseños de productos.
c. Encontrar el mejor equilibrio entre objetivos de diseño contradictorios.
d. Validar un diseño mediante análisis y simulación.
e. Apoyar el proceso de diseño de productos asistido por ordenador con datos sobre el impacto del diseño en el rendimiento medioambiental.
f. Selección de materiales con bajo impacto medioambiental mediante el suministro de datos. _
6. Para el software de gestión de proveedores, cumple UNO de los siguientes requisitos: 
a. Proporcionar al usuario información sobre los proveedores.
b. Gestión de proveedores certificados relacionados con el suministro de dichos materiales.
c. Intercambio con los proveedores de los datos necesarios para verificar el comportamiento medioambiental.
d. Comercio entre proveedores y compradores de productos ecológicos.
e. Apoyo a la logística inversa. _
7. Para el software de gestión del ciclo de vida, cumple UNO de los siguientes requisitos: 
a. Evaluación del rendimiento de circularidad de un producto.
b. Comparación del rendimiento de circularidad con la circularidad original.
c. Planificación/documentación de las medidas necesarias para prolongar la vida útil del producto.
d. Evaluación de dichas medidas sobre el rendimiento de circularidad.
e. Proporcionar al usuario los datos necesarios para tomar decisiones. _
8. Todas las soluciones basadas en datos de IT/OT deben cumplir TODOS los criterios siguientes:
a. Las técnicas adoptadas apoyan la reutilización y el uso de materias primas secundarias.
b. Existen medidas para gestionar y reciclar los residuos al final de su vida útil.
c. Preparación para las operaciones de reutilización, incluida la eliminación de fluidos y el tratamiento selectivo. _</t>
    </r>
  </si>
  <si>
    <t xml:space="preserve">A.10.1. Procesamiento de datos, hospedaje y actividades relacionadas </t>
  </si>
  <si>
    <t xml:space="preserve">Procesamiento de datos, hospedaje y actividades relacionadas </t>
  </si>
  <si>
    <t>Almacenamiento, manipulación, gestión, movimiento, transmisión o procesamiento de datos a través de los centros de datos, incluida la informática de vanguardia.</t>
  </si>
  <si>
    <r>
      <rPr>
        <b/>
        <sz val="8"/>
        <color rgb="FF000000"/>
        <rFont val="Santander Text"/>
        <family val="2"/>
      </rPr>
      <t>¿De qué se trata?</t>
    </r>
    <r>
      <rPr>
        <sz val="8"/>
        <color rgb="FF000000"/>
        <rFont val="Santander Text"/>
        <family val="2"/>
      </rPr>
      <t xml:space="preserve"> Almacenamiento, manipulación, gestión, movimiento, transmisión o procesamiento de datos a través de los centros de datos, incluida la informática de vanguardia. </t>
    </r>
  </si>
  <si>
    <t>Cumple TODOS los criterios aplicables  _
4. Centros de datos para el procesamiento de datos. Si cumple todas las prácticas pertinentes del Código Europeo y/o de la eficacia del uso de la energía (PUE), se indica con puntuación 1,5. _</t>
  </si>
  <si>
    <t>Cumple TODOS los criterios aplicables 
1. La actividad funciona con todas las prácticas pertinentes enumeradas en la última versión del Código Europeo de Conducta sobre la eficiencia energética de los Centros de Datos. _
2. Otras mejores prácticas alternativas, además de las descritas en el punto #1, pueden identificarse si dan lugar a un ahorro similar de energía. _
3. El potencial de calentamiento global (GWP) de los refrigerantes utilizados en el sistema de refrigeración del centro de datos no excede de 675. _</t>
  </si>
  <si>
    <t xml:space="preserve">A.10.6. Cerca de la investigación de mercado, el desarrollo y la innovación </t>
  </si>
  <si>
    <t xml:space="preserve">Cerca de la investigación de mercado, el desarrollo y la innovación </t>
  </si>
  <si>
    <t>Investigación y desarrollo experimental de soluciones dedicadas a la reducción de las emisiones de gases de efecto invernadero.</t>
  </si>
  <si>
    <r>
      <rPr>
        <b/>
        <sz val="8"/>
        <color rgb="FF000000"/>
        <rFont val="Santander Text"/>
        <family val="2"/>
      </rPr>
      <t xml:space="preserve">¿De qué se trata? </t>
    </r>
    <r>
      <rPr>
        <sz val="8"/>
        <color rgb="FF000000"/>
        <rFont val="Santander Text"/>
        <family val="2"/>
      </rPr>
      <t>Investigación y desarrollo experimental de soluciones dedicadas a la reducción de las emisiones de gases de efecto invernadero.</t>
    </r>
  </si>
  <si>
    <t>Cumple TODOS los criterios aplicables _
10. Para países no pertenecientes a la UE, los mismos criterios coherentes que la taxonomía de la UE, excepto el cumplimiento de la LTO</t>
  </si>
  <si>
    <t>Cumple TODOS los criterios aplicables _
1. Investigación/Desarrollo de innovación para tecnologías dedicadas a actividades económicas. _
2. Los resultados permiten que las actividades económicas cumplan los criterios respectivos. _
3. La actividad económica tiene como objetivo aportar una solución que aún no existe en el mercado y que tendrá un mejor rendimiento en términos de emisiones de GEI. _
4. Cuando el producto investigado ya permite una actividad, la actividad se centra en el desarrollo de tecnologías igualmente de bajas emisiones. _
5. Cuando una actividad de investigación se dedica a actividades económicas consideradas «habilitadoras», los resultados proporcionan tecnologías innovadoras que les permiten reducir las emisiones de GEI. _
6. Cuando una actividad de investigación se dedica a actividades consideradas «transitorias», las tecnologías permiten que las actividades objetivo se lleven a cabo con menores emisiones proyectadas. _
7. Cuando una actividad de investigación se dedica a actividades de fabricación, las tecnologías permiten que el objetivo se lleve a cabo con menores emisiones de GEI (30 % en comparación con el punto de referencia pertinente del RCDE UE). _
8. Cuando la tecnología se encuentra en TRL 6 o 7, las emisiones de GEI del ciclo de vida son evaluadas por la entidad que cumple con ONE: 
a. Patente no mayor de 10 años, con potencial de reducción de emisiones de GEI proporcionado.
b. Permiso de una autoridad competente, con potencial de reducción de emisiones de GEI proporcionado. _
9. Cuando la tecnología se encuentra en TRL 8 o superior, las emisiones de GEI del ciclo de vida se calculan utilizando ISO 14067:2018(325) o ISO 14064-1:2018(326), verificadas por un tercero independiente. _</t>
  </si>
  <si>
    <t>Captura de CO2 en el aire</t>
  </si>
  <si>
    <t>Captura directa de CO2 en el aire (Investigación, desarrollo e innovación)</t>
  </si>
  <si>
    <t>A.8.28. Captura directa de CO2 en el aire (Investigación, desarrollo e innovación)</t>
  </si>
  <si>
    <t>Soluciones y modelos de negocio dedicados a la captación directa de CO2 de la atmosfera</t>
  </si>
  <si>
    <r>
      <rPr>
        <b/>
        <sz val="8"/>
        <color rgb="FF000000"/>
        <rFont val="Santander Text"/>
        <family val="2"/>
      </rPr>
      <t xml:space="preserve">¿De qué se trata? </t>
    </r>
    <r>
      <rPr>
        <sz val="8"/>
        <color rgb="FF000000"/>
        <rFont val="Santander Text"/>
        <family val="2"/>
      </rPr>
      <t>Soluciones y modelos de negocio dedicados a la captación directa de CO2 de la atmósfera</t>
    </r>
  </si>
  <si>
    <t>Cumple UN criterio aplicable _
5. Soluciones para probar y controlar las emisiones y la contaminación y proyectos para reducir las emisiones de gases de efecto invernadero y minimizar/reducir el calor residual del agua. _</t>
  </si>
  <si>
    <t>Cumple TODOS los criterios aplicables _
1. Actividad dedicada a la captura directa de CO2 en la atmósfera. _
2. La implementación tiene un resultado potencial en la reducción neta general de emisiones de GEI una vez comercializada. _
3. Si la solución está en TRL 1 a 7, las emisiones del ciclo de vida son evaluadas de forma simplificada por la entidad, lo que demuestra UNO de los siguientes: _
a. Patente de no más de 10 años con información sobre emisiones de gases de efecto invernadero (GEI). 
b. Permiso de la autoridad competente para operar con información sobre emisiones de GEI. _
4. Si la solución se encuentra en TRL 8 o superior, las emisiones del ciclo de vida son verificadas por un tercero independiente y evaluadas utilizando UNO de los siguientes:
a. ISO 14067
b. ISO 14064 _</t>
  </si>
  <si>
    <t>Actividades profesionales, científicas y técnicas</t>
  </si>
  <si>
    <t>A.4.1. Servicios profesionales de eficiencia energética de edificios</t>
  </si>
  <si>
    <t>Servicios profesionales de eficiencia energética de edificios</t>
  </si>
  <si>
    <t xml:space="preserve">Utilización de servicios profesionales relacionados con la eficiencia energética de los edificios. </t>
  </si>
  <si>
    <r>
      <rPr>
        <b/>
        <sz val="8"/>
        <color rgb="FF000000"/>
        <rFont val="Santander Text"/>
        <family val="2"/>
      </rPr>
      <t xml:space="preserve">¿De qué se trata? </t>
    </r>
    <r>
      <rPr>
        <sz val="8"/>
        <color rgb="FF000000"/>
        <rFont val="Santander Text"/>
        <family val="2"/>
      </rPr>
      <t xml:space="preserve">Utilización de servicios profesionales relacionados con la eficiencia energética de los edificios. </t>
    </r>
  </si>
  <si>
    <t>Cumple UN criterio aplicable _
1. Consultas técnicas relacionadas con la mejora del rendimiento energético de los edificios. _
2. Auditorías energéticas acreditadas y evaluaciones del rendimiento de los edificios _
3. Servicios de gestión energética. _
4. Contratos de rendimiento energético. _
5. Servicios energéticos prestados por empresas de servicios energéticos. _</t>
  </si>
  <si>
    <t>Gestión del Riesgo de Desastres</t>
  </si>
  <si>
    <t>A.5.1. Soluciones de prevención y protección contra inundaciones/sequías</t>
  </si>
  <si>
    <t>Soluciones de prevención y protección contra inundaciones/sequías</t>
  </si>
  <si>
    <t>Construcción y operación de manejo de inundaciones o sequías basadas en la naturaleza a gran escala y restauración de ecosistemas acuáticos costeros, transitorios o continentales.</t>
  </si>
  <si>
    <r>
      <rPr>
        <b/>
        <sz val="8"/>
        <color rgb="FF000000"/>
        <rFont val="Santander Text"/>
        <family val="2"/>
      </rPr>
      <t xml:space="preserve">¿De qué se trata? </t>
    </r>
    <r>
      <rPr>
        <sz val="8"/>
        <color rgb="FF000000"/>
        <rFont val="Santander Text"/>
        <family val="2"/>
      </rPr>
      <t xml:space="preserve">Construcción y operación de manejo de inundaciones o sequías basadas en la naturaleza a gran escala y restauración de ecosistemas acuáticos costeros, transitorios o continentales. </t>
    </r>
  </si>
  <si>
    <t>Cumple TODOS los criterios aplicables _
6. Para países no pertenecientes a la UE, los mismos criterios coherentes que la taxonomía de la UE, excepto el cumplimiento de la LTO</t>
  </si>
  <si>
    <t>Cumple TODOS los criterios aplicables _
1. Medida de reducción del riesgo de inundaciones/sequías, ya sea en la cuenca hidrográfica o a lo largo de una costa. _
2. Se identifican y abordan los riesgos de degradación ambiental. _
3. Acciones de restauración o conservación de la naturaleza que demuestren beneficios colaterales específicos para el ecosistema (Estrategias y Planes de Acción Nacionales de Biodiversidad). _
4. Programa de seguimiento en marcha para evaluar la eficacia del plan de soluciones basadas en la naturaleza para mejorar el estado de la masa de agua afectada. Actualizado cada 10 años. _
5. El programa se adhiere y se ajusta a las disposiciones legales y reglamentarias vigentes. _</t>
  </si>
  <si>
    <t>A.5.2. Servicios de emergencia</t>
  </si>
  <si>
    <t>Servicios de emergencia</t>
  </si>
  <si>
    <r>
      <rPr>
        <b/>
        <sz val="8"/>
        <color rgb="FF000000"/>
        <rFont val="Santander Text"/>
        <family val="2"/>
      </rPr>
      <t xml:space="preserve">¿De qué se trata? 
</t>
    </r>
    <r>
      <rPr>
        <sz val="8"/>
        <color rgb="FF000000"/>
        <rFont val="Santander Text"/>
        <family val="2"/>
      </rPr>
      <t>- Coordinación de la respuesta a los desastres. 
- Centros de coordinación de operaciones in situ. 
- Servicios de salud de emergencia. 
- Actividades de socorro en casos de desastre. 
- Operaciones de búsqueda y salvamento. 
- Lucha y prevención de incendios. 
- Respuesta de protección técnica y asistencia en materia de riesgos climáticos. 
- Desarrollar planes, capacitar personal y adquirir el equipo necesario.</t>
    </r>
  </si>
  <si>
    <r>
      <rPr>
        <sz val="8"/>
        <color rgb="FFFF0000"/>
        <rFont val="Santander Text"/>
      </rPr>
      <t>Cumple TODOS los criterios aplicables _
4. La actividad incluye la adquisición de activos o la prestación de servicios vinculados a la lucha contra incendios forestales y la prevención de incendios</t>
    </r>
    <r>
      <rPr>
        <sz val="8"/>
        <color theme="1"/>
        <rFont val="Santander Text"/>
        <family val="2"/>
      </rPr>
      <t xml:space="preserve"> _</t>
    </r>
  </si>
  <si>
    <t>Cumple TODOS los criterios aplicables _
1. Sistemas de datos o infraestructura diseñados para proteger de fenómenos meteorológicos extremos. _
2. Sistemas de información y supervisión. _
3. Infraestructura específica de adaptación a los desafíos climáticos en la que se revisan los planes para garantizar el éxito. _</t>
  </si>
  <si>
    <t>A.5.3. Infraestructura de prevención y protección contra inundaciones</t>
  </si>
  <si>
    <t>Infraestructura de prevención y protección contra inundaciones</t>
  </si>
  <si>
    <t xml:space="preserve">Infraestructura de prevención y protección de riesgos de inundación </t>
  </si>
  <si>
    <r>
      <rPr>
        <b/>
        <sz val="8"/>
        <color rgb="FF000000"/>
        <rFont val="Santander Text"/>
        <family val="2"/>
      </rPr>
      <t xml:space="preserve">¿De qué se trata? </t>
    </r>
    <r>
      <rPr>
        <sz val="8"/>
        <color rgb="FF000000"/>
        <rFont val="Santander Text"/>
        <family val="2"/>
      </rPr>
      <t xml:space="preserve">Medidas estructurales y no estructurales destinadas a la prevención y protección de las personas, el ecosistema, el patrimonio cultural y las infraestructuras contra las inundaciones. </t>
    </r>
  </si>
  <si>
    <t>Otros sectores</t>
  </si>
  <si>
    <t>A.11.2. Seguro no-vida</t>
  </si>
  <si>
    <t>Seguro no-vida</t>
  </si>
  <si>
    <r>
      <rPr>
        <b/>
        <sz val="8"/>
        <color rgb="FF000000"/>
        <rFont val="Santander Text"/>
        <family val="2"/>
      </rPr>
      <t xml:space="preserve">¿De qué se trata? </t>
    </r>
    <r>
      <rPr>
        <sz val="8"/>
        <color rgb="FF000000"/>
        <rFont val="Santander Text"/>
        <family val="2"/>
      </rPr>
      <t>Suministro de: 
- Seguro de gastos médicos 
- Seguro de protección de ingresos 
- Seguro de indemnización de los trabajadores 
- Seguro de responsabilidad civil de vehículos automóviles 
- Otro seguro de automóvil; marítimo, aéreo y transporte de incendios y otros daños en el seguro de propiedad.</t>
    </r>
  </si>
  <si>
    <t>Cumple TODOS los criterios aplicables _
1. Liderazgo en la modelización y fijación de precios de los riesgos climáticos. _
2. El diseño del producto ofrece recompensas basadas en el riesgo para acciones preventivas. _
3. Soluciones innovadoras de cobertura de reaseguros que cubren los riesgos del cambio climático. _
4. Una parte significativa de los datos de pérdidas disponibles gratuitamente para las autoridades públicas para la investigación analítica. _
5. Alto nivel de servicio en la situación posterior al desastre. _</t>
  </si>
  <si>
    <t>13) Acción climática</t>
  </si>
  <si>
    <t>A.11.3. Re-aseguro</t>
  </si>
  <si>
    <t>Re-aseguro</t>
  </si>
  <si>
    <t xml:space="preserve">Cobertura de riesgos derivados de riesgos relacionados con el clima cedidos por la aseguradora al reasegurador. </t>
  </si>
  <si>
    <r>
      <rPr>
        <b/>
        <sz val="8"/>
        <color rgb="FF000000"/>
        <rFont val="Santander Text"/>
        <family val="2"/>
      </rPr>
      <t>¿De qué se trata?</t>
    </r>
    <r>
      <rPr>
        <sz val="8"/>
        <color rgb="FF000000"/>
        <rFont val="Santander Text"/>
        <family val="2"/>
      </rPr>
      <t xml:space="preserve"> Cobertura de riesgos derivados de riesgos relacionados con el clima cedidos por la aseguradora al reasegurador. </t>
    </r>
  </si>
  <si>
    <t>Cumple TODOS los criterios aplicables _
1. Liderazgo en la modelización y fijación de precios de los riesgos climáticos. _
2. Apoyo al desarrollo y suministro de productos de reaseguro no de vida. _
3. Soluciones innovadoras de cobertura de reaseguro que cubren los riesgos relacionados con el clima. _
4. Importante proporción de datos sobre pérdidas disponibles, de forma gratuita, para las autoridades públicas con fines de investigación analítica. _
5. Alto nivel de servicio en situaciones posteriores a desastres. _</t>
  </si>
  <si>
    <t>A.11.1. Mercado de carbono</t>
  </si>
  <si>
    <t>Mercado de carbono</t>
  </si>
  <si>
    <t xml:space="preserve">Actividad transitoria: Mercado de carbono que opera a nivel nacional e internacional. Emisión de créditos de carbono. </t>
  </si>
  <si>
    <r>
      <rPr>
        <b/>
        <sz val="8"/>
        <color rgb="FF000000"/>
        <rFont val="Santander Text"/>
        <family val="2"/>
      </rPr>
      <t>¿De qué se trata?</t>
    </r>
    <r>
      <rPr>
        <sz val="8"/>
        <color rgb="FF000000"/>
        <rFont val="Santander Text"/>
        <family val="2"/>
      </rPr>
      <t xml:space="preserve"> Actividad transitoria: Mercado de carbono que opera a nivel nacional e internacional. Emisión de créditos de carbono. </t>
    </r>
  </si>
  <si>
    <t>Cumple UN criterio aplicable _
1. Financiación para el cumplimiento de los sistemas nacionales e internacionales de comercio de emisiones. _
2. Financiación de créditos de carbono de acuerdo con las normas:
a. Verified Carbon Standard (VCS)
b. Gold Standard for Global Goals
c. American Carbon Registry Standard
d. Climate Action Reserve Standard
e. Puro
f. Planes nacionales de crédito supervisados por un organismo nacional.
La actividad sólo será elegible si el cliente tiene planes de reducción de emisiones. _</t>
  </si>
  <si>
    <t>A.11.4. Adaptación al clima</t>
  </si>
  <si>
    <t>Adaptación al clima</t>
  </si>
  <si>
    <t xml:space="preserve">Actividades que pueden adaptarse a los impactos inevitables del cambio climático. </t>
  </si>
  <si>
    <r>
      <rPr>
        <b/>
        <sz val="8"/>
        <color rgb="FF000000"/>
        <rFont val="Santander Text"/>
        <family val="2"/>
      </rPr>
      <t xml:space="preserve">¿De qué se trata? </t>
    </r>
    <r>
      <rPr>
        <sz val="8"/>
        <color rgb="FF000000"/>
        <rFont val="Santander Text"/>
        <family val="2"/>
      </rPr>
      <t xml:space="preserve">Actividades que pueden adaptarse a los impactos inevitables del cambio climático. </t>
    </r>
  </si>
  <si>
    <t>Cumple UN criterio aplicable _
10. Sistemas de observación y datos climáticos para protegerse contra inundaciones y otros fenómenos meteorológicos extremos. _
11. Sistemas de información y seguimiento. _
12. Se especifica el desafío climático. _</t>
  </si>
  <si>
    <t>Cumple TODOS los criterios aplicables _
1. Soluciones físicas y no físicas para reducir el riesgo climático físico más importante. _
2. Los riesgos climáticos físicos que son importantes para la actividad se han identificado en una evaluación. _
3. Proyecciones y evaluación climáticas basadas en las mejores prácticas y en la orientación disponible en línea con el panel intergubernamental más reciente. _
4. Soluciones de adaptación implementadas. _
5. No afectan negativamente a los esfuerzos de adaptación o a los riesgos climáticos físicos de otras personas. _
6. Favorece las soluciones basadas en la naturaleza o se basa en infraestructuras azules o verdes. _
7. Planes y estrategias nacionales de adaptación coherentes _
8. Supervisado en función de indicadores predefinidos. _
9. Cuando la solución es física, cumple con el criterio técnico de no causar daños significativos. _</t>
  </si>
  <si>
    <t>A.11.5. Explotación de materias primas que apoyan la transición</t>
  </si>
  <si>
    <t>Actividad de transición: restringida a la minería y extracción de materias primas necesarias para la transición hacia una economía baja en carbono</t>
  </si>
  <si>
    <r>
      <t xml:space="preserve">¿Qué es? </t>
    </r>
    <r>
      <rPr>
        <sz val="8"/>
        <color rgb="FF000000"/>
        <rFont val="Santander Text"/>
      </rPr>
      <t>Actividad de transición: restringida a la minería y extracción de materias primas necesarias para la transición hacia una economía baja en carbono.</t>
    </r>
  </si>
  <si>
    <t>Cumple UNO de los criterios aplicables o con certificados alternativos que se indican a continuación: _
Cumple con TODOS los siguientes (para la apertura de minas de litio, cobre y níquel):
a. La apertura de nuevas minas o la expansión de sitios mineros existentes debe tener al menos un 50 % de ventas garantizadas de minerales sobre el volumen de producción autorizado hacia las actividades de uso final indicadas en la lista siguiente. Las ventas garantizadas pueden demostrarse mediante acuerdos condicionales o firmes de compraventa.
b. La mina debe contar con un plan de inversión, así como un sistema de monitoreo y evaluación de GEI para alcanzar los umbrales de emisiones de GEI requeridos al inicio de la etapa de producción de la mina o de la expansión de la mina según los criterios #2b y #2c. a continuación.
c. Se requiere una evaluación ambiental y social.
d. La documentación financiera deberá incluir cláusulas ambientales y sociales según corresponda a cada caso, así como una cláusula para la retirada de la etiqueta verde en caso de incidentes ambientales o sociales materiales. _
Cumple con TODOS los siguientes (para minas de litio, cobre y níquel):
a. La operación de los sitios mineros existentes debe tener al menos un 50 % de ventas garantizadas de minerales sobre el volumen de producción anual hacia las actividades verdes indicadas en la lista siguiente. Las ventas garantizadas se evidencian mediante trazabilidad, modelos físicos de cadena de custodia, así como acuerdos condicionales y firmes de compraventa.
b. La mina cumple con las siguientes intensidades de GEI de Alcance 1 + 2 (excluyendo cambios de uso de suelo), según el mineral:
    - Minería de roca de litio: 1,23 tCO₂e/tLCE (LCE: equivalente en carbonato de litio)
    - Salmuera de litio: 1,25 tCO₂e/tLCE
    - Minería de mineral sulfidico de níquel: 0,74 tCO₂e/tNiEq
    - Minería de mineral laterítico de níquel: 0,68 tCO₂e/tNiEq
    - Minería de cobre: 2,31 tCO₂e/tConcCu
c. La intensidad media de carbono de la electricidad no debe superar las emisiones directas de 240 g CO₂e/kWh.
d. Como alternativa a los puntos b y c, la mina debe contar con un plan para reducir un 50 % las emisiones de Alcance 1 y 2 desde la línea base (2018 o posterior) hasta 2030, habiendo alcanzado una reducción del 35 % entre la línea base y 2025, y un 3 % adicional cada año hasta 2030.
e. Se requiere una evaluación ambiental y social. _
Cumple con TODOS los siguientes (para otros minerales distintos de litio, cobre y níquel):
a. Está incluido en la Ley de Materias Primas Críticas de la UE, se considera estratégico para el país, o forma parte del IEA Global Critical Mineral Outlook 2025 (Cobalto, tierras raras, cromo, zinc, PGMs – platino y aluminio – que se suman a litio, cobre y níquel).
b. Para proyectos mineros de nueva explotación o la expansión de minas existentes, debe tener al menos un 50 % de ventas garantizadas de minerales sobre el volumen de producción autorizado hacia las actividades de uso final indicadas en la lista siguiente. Las ventas garantizadas pueden demostrarse mediante acuerdos condicionales o firmes de compraventa.
c. La mina debe contar con un plan de inversión y un sistema de monitoreo y evaluación de GEI para reducir o alcanzar los umbrales de emisiones definidos por las Mejores Técnicas Disponibles al inicio de la etapa de producción de la mina o de su expansión. Como alternativa, la mina debe contar con un plan para reducir un 50 % las emisiones de Alcance 1 y 2 desde la línea base (2018 o posterior) hasta 2030, y, si está en operación, demostrar que ha alcanzado una reducción del 35 % entre la línea base y 2025, y un 3 % adicional cada año hasta 2030.
d. Se requiere una evaluación ambiental y social. _
Cumple con TODOS los siguientes (para Cobre, Cobalto, Níquel, Litio, Tierras Raras, Cromo, Zinc, PGMs – platino, Aluminio (materias primas cubiertas en el IEA Global Critical Mineral Outlook 2025), a corto plazo):
a. La apertura y operación de minas relacionadas exclusivamente (100 %) con estas materias primas, sin necesidad de garantizar ventas de minerales sobre el volumen de producción autorizado hacia las actividades de uso final indicadas en la lista siguiente (solo se usa como referencia en este caso).
b. La mina debe contar con un plan de inversión y un sistema de monitoreo y evaluación de GEI para reducir o alcanzar los umbrales de emisiones definidos por las Mejores Técnicas Disponibles al inicio de la etapa de producción de la mina o de su expansión. Como alternativa, la mina debe contar con un plan para reducir un 50 % las emisiones de Alcance 1 y 2 desde la línea base (2018 o posterior) hasta 2030, y, si está en operación, demostrar que ha alcanzado una reducción del 35 % entre la línea base y 2025, y un 3 % adicional cada año hasta 2030.
c. Se requiere una evaluación ambiental y social. _
Cumple con UNO de los siguientes certificados (excepto minería de combustibles fósiles):
Copper Mark (“nivel Cumple” o superior)
IRMA (“nivel plata” o superior) para cobre, níquel, litio y otros minerales incluidos en el IEA Global Critical Mineral Outlook 2025, que cubren materias primas vinculadas a la transición hacia una economía baja en carbono _</t>
  </si>
  <si>
    <t>Educación</t>
  </si>
  <si>
    <t xml:space="preserve">B.1.1. Centros públicos de servicios y activos educativos (guarderías, escuelas primarias y secundarias, universidades, inserción y reintegración de personas en el mercado laboral). </t>
  </si>
  <si>
    <t>Público general</t>
  </si>
  <si>
    <t xml:space="preserve">Número de beneficiarios  </t>
  </si>
  <si>
    <t>4) Educación de calidad
8) Trabajo decente y crecimiento económico</t>
  </si>
  <si>
    <t xml:space="preserve">B.1.2. Centros públicos de educación deportiva y cultural / prestación de servicios y bienes, incluyendo artes, danza, deportes, teatro, música, etc. </t>
  </si>
  <si>
    <t xml:space="preserve">B.1.3. Centros públicos para otras actividades, incluyendo: aulas, centros de aprendizaje, preparación para exámenes, habilidades lingüísticas, formación informática, innovación. </t>
  </si>
  <si>
    <t xml:space="preserve">B.1.4. Préstamos estudiantiles si los términos y condiciones ofrecen condiciones financieras o de pago preferencial al público objetivo. </t>
  </si>
  <si>
    <t xml:space="preserve">Personas de bajos ingresos, personas marginadas, sin acceso de calidad a bienes y servicios esenciales. </t>
  </si>
  <si>
    <t xml:space="preserve">Número de estudiantes que reciben el préstamo </t>
  </si>
  <si>
    <t xml:space="preserve">B.1.5. Préstamos para financiar el upskilling para adultos o ancianos, con condiciones financieras o de pago preferenciales para el público objetivo. </t>
  </si>
  <si>
    <t xml:space="preserve">Individuos de bajos ingresos, individuos marginados. </t>
  </si>
  <si>
    <t xml:space="preserve">Número de beneficiarios del préstamo </t>
  </si>
  <si>
    <t>Salud</t>
  </si>
  <si>
    <t xml:space="preserve">B.2.1. Investigación y desarrollo (I+D) y fabricación de: 
- Productos farmacéuticos de tipo básico y genérico 
- Equipo médico y otros materiales. </t>
  </si>
  <si>
    <t xml:space="preserve">Número de personas que utilizan los productos </t>
  </si>
  <si>
    <t>3) Salud y bienestar
10) Reducción de las desigualdades</t>
  </si>
  <si>
    <r>
      <t xml:space="preserve">B.2.2. Servicios sanitarios </t>
    </r>
    <r>
      <rPr>
        <sz val="8"/>
        <color rgb="FFFF0000"/>
        <rFont val="Santander Text"/>
      </rPr>
      <t>(incluida la medicación prescrita a precio con descuento/subvencionado/asequible)</t>
    </r>
    <r>
      <rPr>
        <sz val="8"/>
        <color rgb="FF000000"/>
        <rFont val="Santander Text"/>
        <family val="2"/>
      </rPr>
      <t xml:space="preserve"> y activos en hospitales públicos; centros de atención sanitaria general, medicina especializada, fisioterapia, diagnóstico, planificación familiar y logopedia; laboratorios; </t>
    </r>
    <r>
      <rPr>
        <sz val="8"/>
        <color rgb="FFFF0000"/>
        <rFont val="Santander Text"/>
      </rPr>
      <t>farmacias (que cumplan fines claros de carácter social y/o de salud pública)</t>
    </r>
    <r>
      <rPr>
        <sz val="8"/>
        <color rgb="FF000000"/>
        <rFont val="Santander Text"/>
        <family val="2"/>
      </rPr>
      <t xml:space="preserve"> y hospitales de campaña.</t>
    </r>
  </si>
  <si>
    <t xml:space="preserve">Número de personas que se benefician de las instalaciones </t>
  </si>
  <si>
    <t xml:space="preserve">B.2.3. - Servicios de salud pública en instalaciones especializadas de atención residencial/trabajo social para el público objetivos tales como: 
- Instalaciones especializadas de cuidado residencial. 
- Servicios de trabajo social no residenciales. </t>
  </si>
  <si>
    <t xml:space="preserve">B.3.1. Carreteras e infraestructuras conexas para mejorar las conexiones de transporte a las zonas rurales subdesarrolladas, o donde la conectividad vial no existe o es claramente inadecuada. </t>
  </si>
  <si>
    <t xml:space="preserve">Aquellos que no tienen acceso de calidad a bienes y servicios esenciales </t>
  </si>
  <si>
    <t xml:space="preserve">Número de personas afectadas por las carreteras y las infraestructuras </t>
  </si>
  <si>
    <t xml:space="preserve">B.3.2. Infraestructura de transporte público, incluidos los ferrocarriles subterráneos y subterráneos, para lograr el desarrollo socioeconómico en las áreas de público objetivo. </t>
  </si>
  <si>
    <t xml:space="preserve">Número de personas afectadas por la infraestructura ferroviaria </t>
  </si>
  <si>
    <t>B.3.3. Infraestructura de transporte para ayudar a las personas con discapacidades a desplazarse más fácilmente.</t>
  </si>
  <si>
    <t>Número de usuarios de los productos</t>
  </si>
  <si>
    <t xml:space="preserve">B.4.1. - Producción y distribución de energía limpia (renovable) en las áreas públicas objetivo. 
- Quedan excluidas todas las infraestructuras de transmisión y distribución dedicadas a la conexión de centrales nucleares o fósiles a la red. </t>
  </si>
  <si>
    <t>Número de personas afectadas</t>
  </si>
  <si>
    <t>7) Energía asequible y no contaminante
11) Ciudades y comunidades sostenibles</t>
  </si>
  <si>
    <t>Gestión de agua y residuos</t>
  </si>
  <si>
    <t xml:space="preserve">B.5.1. Infraestructuras de recogida, tratamiento y distribución de agua en las zonas públicas objetivo. </t>
  </si>
  <si>
    <t>6) Agua limpia y saneamiento
11) Ciudades y comunidades sostenibles</t>
  </si>
  <si>
    <t xml:space="preserve">B.5.2. Aguas residuales, aguas residuales (no derivadas de fuentes de combustibles fósiles) infraestructuras de tratamiento y recogida y apoyo a edificios y estructuras integrales en las áreas públicas objetivo. </t>
  </si>
  <si>
    <t xml:space="preserve">B.5.3. Recogida, clasificación, eliminación, tratamiento y reciclado de residuos peligrosos y no peligrosos en las zonas públicas objetivo. </t>
  </si>
  <si>
    <t xml:space="preserve">Cantidad de residuos recogidos, reciclados y tratados. Número de personas afectadas </t>
  </si>
  <si>
    <t xml:space="preserve">Real Estate </t>
  </si>
  <si>
    <t xml:space="preserve">B.6.1. Vivienda asequible: Préstamos para vivienda (hipotecas) con fines de residencia propia. Se considera una actividad social si el préstamo que proporciona el banco tiene condiciones financieras o de pago preferenciales para que la vivienda permanezca accesible con el tiempo. </t>
  </si>
  <si>
    <t xml:space="preserve">Personas sin una vivienda adecuada 
Los ingresos son inferiores al 80% del ingreso medio del país. 
Personas que cumplan con los requisitos de los gobiernos regionales o nacionales para los programas de vivienda. </t>
  </si>
  <si>
    <t xml:space="preserve">Número de personas que se benefician de la hipoteca </t>
  </si>
  <si>
    <t>10) Reducción de las desigualdades
11) Ciudades y comunidades sostenibles</t>
  </si>
  <si>
    <t xml:space="preserve">B.6.2. Viviendas a precios asequibles e infraestructuras asociadas que satisfacen los requisitos socioeconómicos de las autoridades. </t>
  </si>
  <si>
    <t xml:space="preserve">Personas que cumplan con los requisitos de los gobiernos regionales o nacionales para los programas de vivienda. </t>
  </si>
  <si>
    <t>Número de personas que se benefician de los inmuebles</t>
  </si>
  <si>
    <t xml:space="preserve">Finanzas y seguros </t>
  </si>
  <si>
    <r>
      <t>B.7.1 Inversión para aumentar el acceso a una amplia gama de productos y servicios de microseguros y banca transaccional para la población objetivo.</t>
    </r>
    <r>
      <rPr>
        <sz val="8"/>
        <color rgb="FFFF0000"/>
        <rFont val="Santander Text"/>
      </rPr>
      <t xml:space="preserve"> Esto incluye la concesión de financiación a instituciones que facilitan el acceso al crédito a la población objetivo y cuyas prácticas sean reconocidas como éticas y/o no estén afectadas por controversias relacionadas con sus operaciones y prácticas empresariales.</t>
    </r>
  </si>
  <si>
    <r>
      <t xml:space="preserve">PYMES, microempresas, microemprendedores y trabajadores informales que se encuentren en zonas subdesarrolladas; zonas que experimentan despoblación; o afectadas por desastres naturales o de salud.
</t>
    </r>
    <r>
      <rPr>
        <sz val="8"/>
        <color rgb="FFFF0000"/>
        <rFont val="Santander Text"/>
      </rPr>
      <t>Personas financieramente vulnerables e individuos de bajos ingresos.
En el caso de desastres naturales, de salud y/o provocados por el ser humano, esto puede extenderse a otras organizaciones que apoyen la reconstrucción o ayuden a las personas a superar la crisis.</t>
    </r>
  </si>
  <si>
    <t xml:space="preserve">Número de personas que reciben la microfinanciación 
</t>
  </si>
  <si>
    <t>1) Fin de la pobreza
8) Trabajo decente y crecimiento económico</t>
  </si>
  <si>
    <t xml:space="preserve">B.7.2. Financiación con condiciones financieras o de pago preferencial a entidades e individuos afectados por desastres naturales, armados, de salud o causados por personas, así como situaciones socioeconómicas graves. </t>
  </si>
  <si>
    <t xml:space="preserve">Migrantes 
Individuos de bajos ingresos 
Trabajadores informales 
Otros grupos vulnerables afectados por los desastres y las circunstancias que se enumeran </t>
  </si>
  <si>
    <t xml:space="preserve">B.8.1. Infraestructura de telecomunicaciones en las áreas públicas objetivo. </t>
  </si>
  <si>
    <t xml:space="preserve">Número de personas que tendrán una conexión a Internet por primera vez </t>
  </si>
  <si>
    <t>8) Trabajo decente y crecimiento económico
11) Ciudades y comunidades sostenibles</t>
  </si>
  <si>
    <t>Organizaciones sin ánimo de lucro</t>
  </si>
  <si>
    <t xml:space="preserve">B.9.1. Préstamos a organizaciones sin fines de lucro y/o organizaciones benéficas registradas. </t>
  </si>
  <si>
    <t xml:space="preserve">Organizaciones sin ánimo de lucro </t>
  </si>
  <si>
    <t xml:space="preserve">Número de organizaciones sin fines de lucro que reciben financiación </t>
  </si>
  <si>
    <t xml:space="preserve">10) Reducción de las desigualdades </t>
  </si>
  <si>
    <t>Centros de Empleo Especial</t>
  </si>
  <si>
    <t>B.10.1. Empresas cuyo objetivo principal es proporcionar a los trabajadores con discapacidad un trabajo productivo y remunerado, adecuado a sus características personales, y facilitar su integración en el mercado laboral.</t>
  </si>
  <si>
    <t>Número de Centros de Empleo Especial que reciben financiación</t>
  </si>
  <si>
    <t xml:space="preserve">8) Trabajo decente y crecimiento económico
10) Reducción de las desigualdades </t>
  </si>
  <si>
    <t>Seguridad Alimentaria</t>
  </si>
  <si>
    <t>B.11. Seguridad alimentaria y sistemas alimentarios sostenibles, incluyendo el acceso físico, social y económico a alimentos seguros, nutritivos y suficientes que satisfagan las necesidades y requerimientos dietéticos, según los valores de referencia dietéticos atendiendo a criterios locales o internacionales.</t>
  </si>
  <si>
    <t>Desatendidos, debido a la falta de acceso de calidad a necesidades dietéticas esenciales y/o poblaciones afectadas por desastres naturales, guerras u otros desastres que afectan el acceso a los alimentos.</t>
  </si>
  <si>
    <t>Número de personas beneficiadas mediante el aumento de la disponibilidad de alimentos</t>
  </si>
  <si>
    <t>2)Hambre Cero
3)Salud y Bienestar</t>
  </si>
  <si>
    <t>Níveis SFICS</t>
  </si>
  <si>
    <t>Critérios de Contribuição Financeira</t>
  </si>
  <si>
    <t>Métricas Sociais</t>
  </si>
  <si>
    <t>Objectivos da Taxonomia da UE</t>
  </si>
  <si>
    <t>Específico SAN</t>
  </si>
  <si>
    <t>Código de nível 1</t>
  </si>
  <si>
    <t>Código de nível 2</t>
  </si>
  <si>
    <t>Código de nível 3</t>
  </si>
  <si>
    <t>SFICS N3 c/códigos</t>
  </si>
  <si>
    <t>SFICS c/códigos</t>
  </si>
  <si>
    <t>Critérios</t>
  </si>
  <si>
    <t>Frente</t>
  </si>
  <si>
    <t>Descrição</t>
  </si>
  <si>
    <t xml:space="preserve">Critérios de Santander </t>
  </si>
  <si>
    <t xml:space="preserve">Critérios regulamentares </t>
  </si>
  <si>
    <t>População-alvo</t>
  </si>
  <si>
    <t>Métrica do Impacto</t>
  </si>
  <si>
    <t>SDGs (SFICS N1)</t>
  </si>
  <si>
    <t>Mitigação</t>
  </si>
  <si>
    <t>Adaptação</t>
  </si>
  <si>
    <t>Recursos hídricos</t>
  </si>
  <si>
    <t>Economia circular</t>
  </si>
  <si>
    <t>Poluição</t>
  </si>
  <si>
    <t>Biodiversidade</t>
  </si>
  <si>
    <t>Energia</t>
  </si>
  <si>
    <t>Energia renovável</t>
  </si>
  <si>
    <t>Solar fotovoltaica - Geração de eletricidade</t>
  </si>
  <si>
    <t>A.1.1. Solar fotovoltaica - Geração de eletricidade</t>
  </si>
  <si>
    <t xml:space="preserve">A.1.1. Geração de eletricidade usando tecnologia solar fotovoltaica </t>
  </si>
  <si>
    <t xml:space="preserve">Geração de eletricidade usando tecnologia solar fotovoltaica </t>
  </si>
  <si>
    <t>Construção ou operação de instalações de geração de eletricidade que produzam eletricidade usando a tecnologia fotovoltaica solar (PV).</t>
  </si>
  <si>
    <r>
      <rPr>
        <sz val="8"/>
        <color rgb="FF000000"/>
        <rFont val="Santander Text"/>
      </rPr>
      <t xml:space="preserve">O que é isso? Construção ou operação de instalações de geração de eletricidade que produzam eletricidade usando a tecnologia fotovoltaica solar (PV). 
</t>
    </r>
    <r>
      <rPr>
        <b/>
        <sz val="8"/>
        <color rgb="FF000000"/>
        <rFont val="Santander Text"/>
      </rPr>
      <t xml:space="preserve">Evidência recomendada: </t>
    </r>
    <r>
      <rPr>
        <sz val="8"/>
        <color rgb="FF000000"/>
        <rFont val="Santander Text"/>
      </rPr>
      <t xml:space="preserve">As evidências recomendadas incluem fatura, avaliação de impactos ambiental, projeto executivo. </t>
    </r>
  </si>
  <si>
    <t>Não aplicável</t>
  </si>
  <si>
    <t>Cumpre TODOS os critérios aplicáveis _
1. Construção ou operação de instalações de geração de eletricidade que produzam eletricidade usando a tecnologia fotovoltaica solar (PV)._</t>
  </si>
  <si>
    <t>7) Energia acessível e limpa
9) Indústria, inovação e infraestrutura
13) Ação climática</t>
  </si>
  <si>
    <t>Desempenho próprio</t>
  </si>
  <si>
    <t>Energia solar concentrada (CSP) - Geração de eletricidade</t>
  </si>
  <si>
    <t>A.1.2. Energia solar concentrada (CSP) - Geração de eletricidade</t>
  </si>
  <si>
    <t xml:space="preserve">A.1.2. Geração de eletricidade usando tecnologia de energia solar concentrada (CSP) </t>
  </si>
  <si>
    <t xml:space="preserve">Geração de eletricidade usando tecnologia de energia solar concentrada (CSP) </t>
  </si>
  <si>
    <t xml:space="preserve">Construção ou operação de instalações de geração de eletricidade que produzam eletricidade usando a tecnologia de energia solar concentrada (CSP). </t>
  </si>
  <si>
    <r>
      <rPr>
        <b/>
        <sz val="8"/>
        <color rgb="FF000000"/>
        <rFont val="Santander Text"/>
      </rPr>
      <t xml:space="preserve">O que é isso? </t>
    </r>
    <r>
      <rPr>
        <sz val="8"/>
        <color rgb="FF000000"/>
        <rFont val="Santander Text"/>
      </rPr>
      <t xml:space="preserve">Construção ou operação de instalações de geração de eletricidade que produzam eletricidade usando a tecnologia de energia solar concentrada (CSP). </t>
    </r>
    <r>
      <rPr>
        <sz val="8"/>
        <color rgb="FF000000"/>
        <rFont val="Santander Text"/>
      </rPr>
      <t xml:space="preserve">
</t>
    </r>
    <r>
      <rPr>
        <b/>
        <sz val="8"/>
        <color rgb="FF000000"/>
        <rFont val="Santander Text"/>
      </rPr>
      <t>Evidência recomendada:</t>
    </r>
    <r>
      <rPr>
        <sz val="8"/>
        <color rgb="FF000000"/>
        <rFont val="Santander Text"/>
      </rPr>
      <t xml:space="preserve"> As evidências recomendadas incluem fatura, avaliação de impactos ambiental, projeto executivo.</t>
    </r>
  </si>
  <si>
    <t>Cumpre TODOS os critérios aplicáveis _
1. Construção ou operação de instalações de geração de eletricidade que produzam eletricidade usando a tecnologia de energia solar concentrada (CSP). _</t>
  </si>
  <si>
    <t>Energia eólica - Geração de eletricidade</t>
  </si>
  <si>
    <t>A.1.3. Energia eólica - Geração de eletricidade</t>
  </si>
  <si>
    <t xml:space="preserve">A.1.3. Geração de eletricidade a partir da energia eólica </t>
  </si>
  <si>
    <t xml:space="preserve">Geração de eletricidade a partir da energia eólica </t>
  </si>
  <si>
    <t xml:space="preserve">Construção ou operação de instalações de geração de eletricidade que produzam eletricidade usando a tecnologia de energia eólica. </t>
  </si>
  <si>
    <r>
      <rPr>
        <b/>
        <sz val="8"/>
        <color rgb="FF000000"/>
        <rFont val="Santander Text"/>
      </rPr>
      <t xml:space="preserve">O que é isso? </t>
    </r>
    <r>
      <rPr>
        <sz val="8"/>
        <color rgb="FF000000"/>
        <rFont val="Santander Text"/>
      </rPr>
      <t xml:space="preserve">Construção ou operação de instalações de geração de eletricidade que produzam eletricidade usando a tecnologia de energia eólica. </t>
    </r>
    <r>
      <rPr>
        <sz val="8"/>
        <color rgb="FF000000"/>
        <rFont val="Santander Text"/>
      </rPr>
      <t xml:space="preserve">
</t>
    </r>
    <r>
      <rPr>
        <b/>
        <sz val="8"/>
        <color rgb="FF000000"/>
        <rFont val="Santander Text"/>
      </rPr>
      <t>Evidência recomendada:</t>
    </r>
    <r>
      <rPr>
        <sz val="8"/>
        <color rgb="FF000000"/>
        <rFont val="Santander Text"/>
      </rPr>
      <t xml:space="preserve"> As evidências recomendadas incluem fatura, avaliação de impactos ambiental, projeto executivo. </t>
    </r>
  </si>
  <si>
    <t>Cumpre TODOS os critérios aplicáveis _
1. Construção ou operação de instalações de geração de eletricidade que produzam eletricidade usando a tecnologia de energia eólica. _</t>
  </si>
  <si>
    <t>Tecnologias de energia oceânica - Geração de eletricidade</t>
  </si>
  <si>
    <t>A.1.4. Tecnologias de energia oceânica - Geração de eletricidade</t>
  </si>
  <si>
    <t xml:space="preserve">A.1.4. Geração de eletricidade a partir de tecnologias de energia oceânica </t>
  </si>
  <si>
    <t>Geração de eletricidade a partir de tecnologias de energia oceânica</t>
  </si>
  <si>
    <t xml:space="preserve">Construção ou operação de instalações de geração de eletricidade que produzam eletricidade a partir de energia oceânica ou corrente </t>
  </si>
  <si>
    <r>
      <rPr>
        <b/>
        <sz val="8"/>
        <color rgb="FF000000"/>
        <rFont val="Santander Text"/>
      </rPr>
      <t xml:space="preserve">O que é isso? </t>
    </r>
    <r>
      <rPr>
        <sz val="8"/>
        <color rgb="FF000000"/>
        <rFont val="Santander Text"/>
      </rPr>
      <t>Construção ou operação de instalações de geração de eletricidade que produzam eletricidade a partir de energia oceânica ou corrente.</t>
    </r>
    <r>
      <rPr>
        <sz val="8"/>
        <color rgb="FF000000"/>
        <rFont val="Santander Text"/>
      </rPr>
      <t xml:space="preserve">
</t>
    </r>
    <r>
      <rPr>
        <b/>
        <sz val="8"/>
        <color rgb="FF000000"/>
        <rFont val="Santander Text"/>
      </rPr>
      <t>Evidência recomendada:</t>
    </r>
    <r>
      <rPr>
        <sz val="8"/>
        <color rgb="FF000000"/>
        <rFont val="Santander Text"/>
      </rPr>
      <t xml:space="preserve"> As evidências recomendadas incluem fatura, avaliação de impactos ambiental, projeto executivo. </t>
    </r>
  </si>
  <si>
    <t xml:space="preserve">Cumpre TODOS os critérios aplicáveis _
1. Construção ou operação de instalações de geração de eletricidade que produzam eletricidade a partir de energia oceânica ou corrente. _ 
</t>
  </si>
  <si>
    <t>Energia hidroelétrica - Geração de eletricidade</t>
  </si>
  <si>
    <t>A.1.5. Energia hidroelétrica - Geração de eletricidade</t>
  </si>
  <si>
    <t xml:space="preserve">A.1.5. Geração de eletricidade a partir de energia hidroelétrica </t>
  </si>
  <si>
    <t xml:space="preserve">Geração de eletricidade a partir de energia hidroelétrica </t>
  </si>
  <si>
    <t>Construção ou operação de instalações de geração de eletricidade que produzam eletricidade a partir de energia hidroelétrica</t>
  </si>
  <si>
    <r>
      <rPr>
        <b/>
        <sz val="8"/>
        <color rgb="FF000000"/>
        <rFont val="Santander Text"/>
      </rPr>
      <t xml:space="preserve">O que é isso? </t>
    </r>
    <r>
      <rPr>
        <sz val="8"/>
        <color rgb="FF000000"/>
        <rFont val="Santander Text"/>
      </rPr>
      <t xml:space="preserve">Construção ou operação de instalações de geração de eletricidade que produzam eletricidade a partir de energia hidroelétrica. </t>
    </r>
  </si>
  <si>
    <r>
      <rPr>
        <sz val="8"/>
        <color theme="1"/>
        <rFont val="Anta"/>
      </rPr>
      <t xml:space="preserve">Cumpre </t>
    </r>
    <r>
      <rPr>
        <sz val="8"/>
        <color rgb="FFFF0000"/>
        <rFont val="Anta"/>
      </rPr>
      <t xml:space="preserve">UM </t>
    </r>
    <r>
      <rPr>
        <sz val="8"/>
        <color theme="1"/>
        <rFont val="Anta"/>
      </rPr>
      <t xml:space="preserve">critério aplicável _
4. Cumpre o nº 3 e o cálculo é realizado utilizando qualquer certificação reconhecida (por exemplo, PAS 2050). _
</t>
    </r>
    <r>
      <rPr>
        <sz val="8"/>
        <color rgb="FFFF0000"/>
        <rFont val="Anta"/>
      </rPr>
      <t>5. A repotenciação ou o desenvolvimento de novas instalações de armazenamento por bombagem sobre centrais hidroelétricas existentes também pode ser considerado, desde que cumpram os requisitos ambientais e disponham das licenças necessárias para operar._</t>
    </r>
  </si>
  <si>
    <t>Energia geotérmica - Geração de eletricidade</t>
  </si>
  <si>
    <t>A.1.6. Energia geotérmica - Geração de eletricidade</t>
  </si>
  <si>
    <t xml:space="preserve">A.1.6. Geração de eletricidade a partir de energia geotérmica </t>
  </si>
  <si>
    <t xml:space="preserve">Geração de eletricidade a partir de energia geotérmica </t>
  </si>
  <si>
    <t xml:space="preserve">Construção ou exploração de instalações de produção de eletricidade que produzam eletricidade a partir de energia geotérmica. </t>
  </si>
  <si>
    <r>
      <rPr>
        <b/>
        <sz val="8"/>
        <color rgb="FF000000"/>
        <rFont val="Santander Text"/>
      </rPr>
      <t xml:space="preserve">O que é isso? </t>
    </r>
    <r>
      <rPr>
        <sz val="8"/>
        <color rgb="FF000000"/>
        <rFont val="Santander Text"/>
      </rPr>
      <t xml:space="preserve">Construção ou exploração de instalações de produção de eletricidade que produzam eletricidade a partir de energia geotérmica. </t>
    </r>
  </si>
  <si>
    <t xml:space="preserve">Cumpre TODOS os critérios aplicáveis  _
1. Emissões diretas inferiores a 100gCO2e/kWh. _
4. Está em conformidade com o n.º 3 e o cálculo é feito utilizando qualquer certificação reconhecida (e.g. PAS 2050).  _
</t>
  </si>
  <si>
    <t xml:space="preserve">Cumpre TODOS os critérios aplicáveis  _
1. Direct emissions below 100gCO2e/kWh. _
2. Emissões quantificadas do ciclo de vida verificadas por terceiros independentes. _
3. Poupança de emissões de ciclo de vida verificada por terceiros e calculada USANDO UM: 
a. ISO 14067:2018
b. ISO 14064-1:2018 _
</t>
  </si>
  <si>
    <t xml:space="preserve">Energia solar - cogeração calor/frio/energia </t>
  </si>
  <si>
    <t xml:space="preserve">A.1.17. Energia solar - cogeração calor/frio/energia </t>
  </si>
  <si>
    <t xml:space="preserve">A.1.17. Cogeração de calor/frio e eletricidade a partir de energia solar </t>
  </si>
  <si>
    <t xml:space="preserve">Cogeração de calor/frio e eletricidade a partir de energia solar </t>
  </si>
  <si>
    <t xml:space="preserve">Construção e operação de instalações co-geradoras de eletricidade e calor/frio a partir de energia solar. </t>
  </si>
  <si>
    <r>
      <rPr>
        <b/>
        <sz val="8"/>
        <color rgb="FF000000"/>
        <rFont val="Santander Text"/>
      </rPr>
      <t xml:space="preserve">O que é isso? </t>
    </r>
    <r>
      <rPr>
        <sz val="8"/>
        <color rgb="FF000000"/>
        <rFont val="Santander Text"/>
      </rPr>
      <t xml:space="preserve">Construção e operação de instalações co-geradoras de eletricidade e calor/frio a partir de energia solar. </t>
    </r>
  </si>
  <si>
    <t xml:space="preserve">Cumpre TODOS os critérios aplicáveis _
1. Construção e operação de instalações co-geradoras de eletricidade e calor/frio a partir de energia solar.  _
</t>
  </si>
  <si>
    <t>Energia geotérmica - cogeração calor/frio/energia</t>
  </si>
  <si>
    <t>A.1.18.Energia geotérmica - cogeração calor/frio/energia</t>
  </si>
  <si>
    <t xml:space="preserve">A.1.18. Cogeração de calor/frio e eletricidade a partir de energia geotérmica </t>
  </si>
  <si>
    <t xml:space="preserve">Cogeração de calor/frio e eletricidade a partir de energia geotérmica </t>
  </si>
  <si>
    <t xml:space="preserve">Construção e operação de instalações co-geradoras de eletricidade e calor/frio a partir de energia geotérmica. </t>
  </si>
  <si>
    <r>
      <rPr>
        <b/>
        <sz val="8"/>
        <color rgb="FF000000"/>
        <rFont val="Santander Text"/>
      </rPr>
      <t xml:space="preserve">O que é isso? </t>
    </r>
    <r>
      <rPr>
        <sz val="8"/>
        <color rgb="FF000000"/>
        <rFont val="Santander Text"/>
      </rPr>
      <t xml:space="preserve">Construção e operação de instalações co-geradoras de eletricidade e calor/frio a partir de energia geotérmica. </t>
    </r>
  </si>
  <si>
    <t>Cumpre TODOS os critérios aplicáveis  _
1. Emissões de gases de efeito estufa do ciclo de vida da geração combinada de calor/frio e energia da energia geotérmica inferior a 100 gCO2e/kWh. _
3. Está em conformidade com o n.º 1 e o cálculo é feito utilizando qualquer certificação reconhecida (e.g. PAS 2050), verificado por um terceiro independente. _</t>
  </si>
  <si>
    <t>Cumpre TODOS os critérios aplicáveis  _
1. Emissões de gases de efeito estufa do ciclo de vida da geração combinada de calor/frio e energia da energia geotérmica inferior a 100 gCO2e/kWh.  _
2. Emissões do ciclo de vida verificadas por terceiros e calculadas USANDO UM:  
a. ISO 14067:2018
b. ISO 14064-1:2018 _</t>
  </si>
  <si>
    <t>Solar térmica - produção de calor/frio</t>
  </si>
  <si>
    <t>A.1.21. Solar térmica - produção de calor/frio</t>
  </si>
  <si>
    <t>A.1.21. Produção de calor/frio a partir de aquecimento solar térmico</t>
  </si>
  <si>
    <t>Produção de calor/frio a partir de aquecimento solar térmico</t>
  </si>
  <si>
    <t xml:space="preserve">Construção ou operação de instalações para geração de calor/frio através da tecnologia de aquecimento térmico solar. </t>
  </si>
  <si>
    <r>
      <rPr>
        <b/>
        <sz val="8"/>
        <color rgb="FF000000"/>
        <rFont val="Santander Text"/>
      </rPr>
      <t xml:space="preserve">O que é isso? </t>
    </r>
    <r>
      <rPr>
        <sz val="8"/>
        <color rgb="FF000000"/>
        <rFont val="Santander Text"/>
      </rPr>
      <t xml:space="preserve">Construção ou operação de instalações para geração de calor/frio através da tecnologia de aquecimento térmico solar. </t>
    </r>
  </si>
  <si>
    <t>Cumpre TODOS os critérios aplicáveis _
1. Os sistemas de aquecimento/arrefecimento são alimentados por aquecimento térmico solar. _</t>
  </si>
  <si>
    <t>Energia geotérmica - produção de calor/frio</t>
  </si>
  <si>
    <t>A.1.22. Energia geotérmica - produção de calor/frio</t>
  </si>
  <si>
    <t xml:space="preserve">A.1.22. Produção de calor/frio a partir de energia geotérmica </t>
  </si>
  <si>
    <t xml:space="preserve">Produção de calor/frio a partir de energia geotérmica </t>
  </si>
  <si>
    <t xml:space="preserve">Construção ou operação de instalações para geração de calor/frio através da tecnologia de aquecimento geotérmico. </t>
  </si>
  <si>
    <r>
      <rPr>
        <b/>
        <sz val="8"/>
        <color rgb="FF000000"/>
        <rFont val="Santander Text"/>
      </rPr>
      <t xml:space="preserve">O que é isso? </t>
    </r>
    <r>
      <rPr>
        <sz val="8"/>
        <color rgb="FF000000"/>
        <rFont val="Santander Text"/>
      </rPr>
      <t xml:space="preserve">Construção ou operação de instalações para geração de calor/frio através da tecnologia de aquecimento geotérmico. </t>
    </r>
  </si>
  <si>
    <t>Cumpre TODOS os critérios aplicáveis  _
2. Está em conformidade com o n.º 1 e o cálculo é feito utilizando qualquer certificação reconhecida (e.g. PAS 2050). _</t>
  </si>
  <si>
    <t>Cumpre TODOS os critérios aplicáveis  _
1. Emissões de ciclo de vida mais baixas do 100gCO2e/kWh verificadas por terceiros e calculadas USANDO UM: 
ISO 14067:2018
ISO 14064-1:2018 _</t>
  </si>
  <si>
    <t>Combustíveis renováveis, bioenergia e aquecimento residual</t>
  </si>
  <si>
    <t>Combustíveis renováveis - Geração de eletricidade</t>
  </si>
  <si>
    <t>A.1.7. Combustíveis renováveis - Geração de eletricidade</t>
  </si>
  <si>
    <t xml:space="preserve">A.1.7. Geração de eletricidade a partir de combustíveis gasosos e líquidos não fósseis renováveis </t>
  </si>
  <si>
    <t xml:space="preserve">Geração de eletricidade a partir de combustíveis gasosos e líquidos não fósseis renováveis </t>
  </si>
  <si>
    <t xml:space="preserve">Produzir eletricidade usando combustíveis gasosos e líquidos renováveis. </t>
  </si>
  <si>
    <r>
      <rPr>
        <b/>
        <sz val="8"/>
        <color rgb="FF000000"/>
        <rFont val="Santander Text"/>
      </rPr>
      <t xml:space="preserve">O que é isso? </t>
    </r>
    <r>
      <rPr>
        <sz val="8"/>
        <color rgb="FF000000"/>
        <rFont val="Santander Text"/>
      </rPr>
      <t xml:space="preserve">Produzir eletricidade usando combustíveis gasosos e líquidos renováveis
</t>
    </r>
    <r>
      <rPr>
        <b/>
        <sz val="8"/>
        <color rgb="FF000000"/>
        <rFont val="Santander Text"/>
      </rPr>
      <t xml:space="preserve">O que não é? </t>
    </r>
    <r>
      <rPr>
        <sz val="8"/>
        <color rgb="FF000000"/>
        <rFont val="Santander Text"/>
      </rPr>
      <t xml:space="preserve">Produzir eletricidade exclusivamente a partir de biomassa, biogás ou biolíquidos
</t>
    </r>
    <r>
      <rPr>
        <b/>
        <sz val="8"/>
        <color rgb="FF000000"/>
        <rFont val="Santander Text"/>
      </rPr>
      <t xml:space="preserve">Evidência recomendada: </t>
    </r>
    <r>
      <rPr>
        <sz val="8"/>
        <color rgb="FF000000"/>
        <rFont val="Santander Text"/>
      </rPr>
      <t>International Sustainability &amp; Carbon Certification (ISCC) Solid Biomass (NL)</t>
    </r>
  </si>
  <si>
    <t>Cumpre TODOS os critérios aplicáveis  _
2. Está em conformidade com o n.º 1 e o cálculo é feito utilizando qualquer certificação reconhecida (por exemplo, PAS 2050).  _
3. Os relatórios de emissões de metano estão em conformidade com UM:
a. Na construção - emissões físicas e equipamentos de medição e monitorização de metano.  
b. Na construção - Programa de deteção e reparação de fugas.
c. Durante a operação – a medida física do metano é relatada e o vazamento é eliminado.  _
5. Fuga de CO2 do transporte de carbono certificada com as normas aceites pelo Santander.  _
6. As fontes produzidas a partir de biomassa agrícola não devem ser obtidas a partir de terrenos com elevado valor de biodiversidade nem derivem de uma produção insustentável, como as reservas naturais. _
8. O uso de combustível biometano, certificado GOO, é aceite como uma alternativa à conexão física da tubulação. _</t>
  </si>
  <si>
    <t>Cumpre TODOS os critérios aplicáveis  _
1. Emissões diretas inferiores a 100gCO2e/kWh verificada por terceiros e calculada USANDO UM: 
a. ISO 14067:2018
b. ISO 14064-1:2018 _
3. Os relatórios de emissões de metano estão em conformidade com UM:
a. Na construção - emissões físicas e equipamentos de medição e monitorização de metano.  
b. Na construção - Programa de deteção e reparação de fugas.
c. Durante a operação – a medida física do metano é relatada e o vazamento é eliminado. _
4. Vazamento de CO2 do transporte de carbono abaixo de 0,5%, captura de carbono em conformidade com as normas e suas tecnologias permitem uma atividade relacionada à geração de energia. _
6. As fontes produzidas a partir de biomassa agrícola não devem ser obtidas a partir de terrenos com elevado valor de biodiversidade nem derivem de uma produção insustentável, como as reservas naturais. _
7. A produção de hidrogênio, aço, cimento e produtos químicos opera dentro do limite de intensidade de carbono permitido (por exemplo, aço: Metal quente 1,331 tCO2e/t; forno a arco elétrico (EAF) aço de alta liga: 0,266 tCO2e/t produto).  _</t>
  </si>
  <si>
    <t>Bioenergia - Geração de eletricidade</t>
  </si>
  <si>
    <t>A.1.8. Bioenergia - Geração de eletricidade</t>
  </si>
  <si>
    <t xml:space="preserve">A.1.8. Geração de eletricidade a partir de bioenergia </t>
  </si>
  <si>
    <t xml:space="preserve">Geração de eletricidade a partir de bioenergia </t>
  </si>
  <si>
    <t xml:space="preserve">Produzir eletricidade exclusivamente a partir de biomassa, biogás ou biolíquidos </t>
  </si>
  <si>
    <r>
      <rPr>
        <b/>
        <sz val="8"/>
        <color rgb="FF000000"/>
        <rFont val="Santander Text"/>
      </rPr>
      <t xml:space="preserve">O que é isso? </t>
    </r>
    <r>
      <rPr>
        <sz val="8"/>
        <color rgb="FF000000"/>
        <rFont val="Santander Text"/>
      </rPr>
      <t xml:space="preserve">Produzir eletricidade exclusivamente a partir de biomassa, biogás ou biolíquidos 
</t>
    </r>
    <r>
      <rPr>
        <b/>
        <sz val="8"/>
        <color rgb="FF000000"/>
        <rFont val="Santander Text"/>
      </rPr>
      <t>O que não é?</t>
    </r>
    <r>
      <rPr>
        <sz val="8"/>
        <color rgb="FF000000"/>
        <rFont val="Santander Text"/>
      </rPr>
      <t xml:space="preserve"> Geração de eletricidade a partir da mistura de combustíveis renováveis com biogás ou biolíquidos. 
</t>
    </r>
    <r>
      <rPr>
        <b/>
        <sz val="8"/>
        <color rgb="FF000000"/>
        <rFont val="Santander Text"/>
      </rPr>
      <t xml:space="preserve">Evidência recomendada: </t>
    </r>
    <r>
      <rPr>
        <sz val="8"/>
        <color rgb="FF000000"/>
        <rFont val="Santander Text"/>
      </rPr>
      <t>International Sustainability &amp; Carbon Certification (ISCC) Solid Biomass (NL).</t>
    </r>
  </si>
  <si>
    <r>
      <rPr>
        <sz val="8"/>
        <color theme="1"/>
        <rFont val="Anta"/>
      </rPr>
      <t xml:space="preserve">Cumpre UM critério aplicável _
2. Matéria-prima sujeita à avaliação de Risco ESCC do Santander (resultado de 2,8 ou superior) (apenas para o Brasil – ou qualquer outro país onde possa ser realizada uma avaliação equivalente)_
3. Matéria-prima especificamente certificada pelo ISCC Plus ou RSB Biomass com UM dos seguintes:
a. A intensidade das emissões de GEE ao longo do ciclo de vida é inferior a 100 gCO2e / kWh.
b. As emissões ao longo do ciclo de vida são pelo menos 65% inferiores ao nível de referência dos combustíveis fósseis. _
</t>
    </r>
    <r>
      <rPr>
        <sz val="8"/>
        <color rgb="FFFF0000"/>
        <rFont val="Anta"/>
      </rPr>
      <t>7. A matéria-prima de biomassa não perigosa deve:
- Evitar a deposição em aterro.
- Ser proveniente de uma empresa oficial de gestão de resíduos, ou de fontes certificadas como sustentáveis (por exemplo, PEFC/FSC), ou ser um subproduto/resíduo de um processo interno de fabrico.
- Ser submetida a uma avaliação Ambiental e Social adicional para confirmar que não existem condições que possam dificultar o processo de classificação (tagging). _</t>
    </r>
  </si>
  <si>
    <r>
      <rPr>
        <sz val="8"/>
        <color rgb="FF000000"/>
        <rFont val="Santander Text"/>
      </rPr>
      <t xml:space="preserve">Cumpre TODOS os critérios aplicáveis  _
1. A matéria-prima cumpre UM dos seguintes critérios (não aplicável a instalações com potência térmica nominal total inferior a 2 usando combustíveis de biomassa gasosa):
a. Certificados disponíveis (UM) 
      - 2BSvs
     - Better Biomass
      -Bonsucro EU
     - ISCC EU
     - KZR INiG system
     - REDcert
     - Red Tractor
     - RSB EU RED
     - SQC
      - TASCC
      - UFAS
      - SURE
      - SBP
      - </t>
    </r>
    <r>
      <rPr>
        <sz val="8"/>
        <color rgb="FFFF0000"/>
        <rFont val="Santander Text"/>
      </rPr>
      <t xml:space="preserve">AACS
</t>
    </r>
    <r>
      <rPr>
        <sz val="8"/>
        <color rgb="FF000000"/>
        <rFont val="Santander Text"/>
      </rPr>
      <t>b. Está em conformidade COM TODOS os seguintes:
- Os biocombustíveis, os biolíquidos e os combustíveis de biomassa não devem ser produzidos usando terras/materiais de alto valor ambiental.
- Poupanças de emissões de gases com efeito de estufa superiores a 80% em relação à linha de base dos combustíveis. _
4. 
- Entrada térmica nominal total de 50-100 MV e tecnologia de cogeração de alta eficiência. 
- No caso de instalações apenas de eletricidade, nível de eficiência energética com as melhores técnicas disponíveis. _
5. Potência térmica nominal total acima de 100 MW, em conformidade com UMA:
a. A atividade atinge uma eficiência elétrica de 36%. 
b. Aplica eficiência combinada de calor e energia altamente eficiente. 
c. Utiliza tecnologia de captura e armazenamento de carbono com fugas de CO2 limitadas a menos de 0,5% e sequestro de carbono em conformidade com as normas. _
6. Geração anaeróbia: Biogás usado diretamente para eletricidade ou geração de calor / atualizado para bio-metano / usado como matéria-prima na indústria química.  _</t>
    </r>
  </si>
  <si>
    <t>Fabricação de Biogas/biocombustíveis para transporte</t>
  </si>
  <si>
    <t>A.1.13. Fabricação de Biogas/biocombustíveis para transporte</t>
  </si>
  <si>
    <t>A.1.13. Fabricação de biogás e biocombustíveis para uso em transporte e de biolíquidos</t>
  </si>
  <si>
    <t>Fabricação de biogás e biocombustíveis para uso em transporte e de biolíquidos</t>
  </si>
  <si>
    <t xml:space="preserve">Fabrico de biogás ou biocombustíveis para utilização no transporte e de biolíquidos. </t>
  </si>
  <si>
    <r>
      <rPr>
        <b/>
        <sz val="8"/>
        <color rgb="FF000000"/>
        <rFont val="Santander Text"/>
      </rPr>
      <t>O que é isso?</t>
    </r>
    <r>
      <rPr>
        <sz val="8"/>
        <color rgb="FF000000"/>
        <rFont val="Santander Text"/>
      </rPr>
      <t xml:space="preserve"> Fabrico de biogás ou biocombustíveis para utilização no transporte e de biolíquidos.</t>
    </r>
  </si>
  <si>
    <t>Cumpre UM critério aplicável  _
2. Certificado de matéria-prima está em conformidade com UM, Verificar a intensidade das emissões de gases com efeito de estufa abaixo de 100gCO2e/kWh ou a poupança de emissões do ciclo de vida superior a 65%. _
3. (BR): Renovabio como CERTIFICAÇÃO OU matéria-prima sujeita a avaliações de risco da ESCC do Santander (apenas para o Brasil). _</t>
  </si>
  <si>
    <r>
      <rPr>
        <sz val="8"/>
        <color rgb="FF000000"/>
        <rFont val="Anta"/>
      </rPr>
      <t xml:space="preserve">Cumpre TODOS os critérios aplicáveis  _
1. A matéria-prima cumpre UM dos seguintes critérios:
a. Certificados disponíveis (UM) 
    a. 2BSvs
  b. Better Biomass
  c. ISCC EU
  d. KZR INiG system
  e. REDcert
  f. RSB EU RED
  g. SURE
  h. SBP
  i. </t>
    </r>
    <r>
      <rPr>
        <sz val="8"/>
        <color rgb="FFFF0000"/>
        <rFont val="Santander Text"/>
      </rPr>
      <t xml:space="preserve">AACS
</t>
    </r>
    <r>
      <rPr>
        <sz val="8"/>
        <color rgb="FF000000"/>
        <rFont val="Santander Text"/>
      </rPr>
      <t>b. Está em conformidade COM TODOS os seguintes:
- Os biocombustíveis, os biolíquidos e os combustíveis de biomassa não devem ser produzidos usando terras/materiais de alto valor ambiental.
- Poupanças de emissões de gases com efeito de estufa superiores a 65% em relação à linha de base dos combustíveis. _
4. Não consiste em culturas alimentares e alimentares. _
5. Inclui o uso de etanol apenas se for feito de celulose ou hemicellulose através de tecnologias de segunda geração. _
6. A fuga de CO2 dos métodos de transporte de carbono abaixo dos 0,5 %, e os locais de sequestro de carbono estão em conformidade ISO 27914:2017. _
7. Geração anaeróbia: Biogás usado diretamente para eletricidade ou geração de calor / atualizado para bio-metano / usado como matéria-prima na indústria química.  _</t>
    </r>
  </si>
  <si>
    <t>Combustíveis renováveis - cogeração calor/frio/energia</t>
  </si>
  <si>
    <t>A.1.19. Combustíveis renováveis - cogeração calor/frio/energia</t>
  </si>
  <si>
    <t>A.1.19. Cogeração de calor/frio e eletricidade a partir de combustíveis gasosos e líquidos renováveis não fósseis</t>
  </si>
  <si>
    <t>Cogeração de calor/frio e eletricidade a partir de combustíveis gasosos e líquidos renováveis não fósseis</t>
  </si>
  <si>
    <t xml:space="preserve">Construção e operação de instalações co-geradoras de eletricidade e calor/frio a partir de combustíveis renováveis. </t>
  </si>
  <si>
    <r>
      <rPr>
        <b/>
        <sz val="8"/>
        <color rgb="FF000000"/>
        <rFont val="Santander Text"/>
      </rPr>
      <t xml:space="preserve">O que é isso? </t>
    </r>
    <r>
      <rPr>
        <sz val="8"/>
        <color rgb="FF000000"/>
        <rFont val="Santander Text"/>
      </rPr>
      <t xml:space="preserve">Instalações combinadas de aquecimento/arrefecimento e geração de energia usando combustíveis gasosos e líquidos de origem renovável. 
</t>
    </r>
    <r>
      <rPr>
        <b/>
        <sz val="8"/>
        <color rgb="FF000000"/>
        <rFont val="Santander Text"/>
      </rPr>
      <t>O que não é?</t>
    </r>
    <r>
      <rPr>
        <sz val="8"/>
        <color rgb="FF000000"/>
        <rFont val="Santander Text"/>
      </rPr>
      <t xml:space="preserve"> Cogeração de calor/frio e energia a partir da utilização exclusiva de biogás e combustíveis bio-líquidos. 
</t>
    </r>
    <r>
      <rPr>
        <b/>
        <sz val="8"/>
        <color rgb="FF000000"/>
        <rFont val="Santander Text"/>
      </rPr>
      <t>Evidência recomendada:</t>
    </r>
    <r>
      <rPr>
        <sz val="8"/>
        <color rgb="FF000000"/>
        <rFont val="Santander Text"/>
      </rPr>
      <t xml:space="preserve"> International Sustainability &amp; Carbon Certification (ISCC) Solid Biomass (NL).</t>
    </r>
  </si>
  <si>
    <t>Cumpre TODOS os critérios aplicáveis _
3. Emissões de gases de efeito estufa do ciclo de vida da geração combinada de calor/frio e energia a partir de combustíveis gasosos inferiores a 100 gCO2e/kWh; verificadas por terceiros independentes e calculadas com base em dados específicos do projeto utilizando certificações reconhecidas localmente ou internacionalmente. _
4. Os relatórios de emissões de metano estão em conformidade com UM: 
a. Na construção - emissões físicas e equipamentos de medição e monitorização de metano. 
b. Na construção - Programa de deteção e reparação de fugas.
c. Durante a operação – a medida física do metano é relatada e o vazamento é eliminado.  _
7. Vazamento de CO2 do transporte de carbono e sequestro certificado com base em normas aceites para o Santander. _
9. Os biocombustíveis, os biolíquidos e os combustíveis de biomassa não devem ser produzidos usando terras/materiais de alto valor ambiental. _
10. Os certificados GOO sobre o uso de combustível biometano são aceites como uma alternativa a uma conexão física canalizada.  _</t>
  </si>
  <si>
    <t xml:space="preserve">Cumpre TODOS os critérios aplicáveis  _
1. Redução das emissões de gases de efeito estufa do ciclo de vida:
- 73,4% para o Hidrogênio, sendo inferior a 3tCO2e/Th2. 
- 70% para combustíveis sintéticos à base de Hidrogênio em relação a um comparador de combustíveis fósseis de 94g CO2e/MJ. _
2. Emissões do ciclo de vida verificadas por terceiros e calculadas USANDO UM: 
a. ISO 14067:2018
b. ISO 14064-1:2018 _
4. Os relatórios de emissões de metano estão em conformidade com UM: 
a. Na construção - emissões físicas e equipamentos de medição e monitorização de metano. 
b. Na construção - Programa de deteção e reparação de fugas.
c. Durante a operação – a medida física do metano é relatada e o vazamento é eliminado.  _
5.  A fuga de CO2 dos métodos de transporte de carbono abaixo dos 0,5 %, e os locais de sequestro de carbono estão em conformidade ISO 27914:2017. _
6. As tecnologias de captura de carbono permitem uma atividade relacionada com a geração de energia. _
8. A produção de Hidrogênio, aço, cimento e produtos químicos opera dentro do limiar de intensidade de carbono permitido (por exemplo, aço-metal quente: Produto de 1,331 tCO2e/t; forno a arco elétrico (EAF) aço de alta liga: 0,266 tCO2e/t produto).  _
9. Os biocombustíveis, os biolíquidos e os combustíveis de biomassa não devem ser produzidos usando terras/materiais de alto valor ambiental. _
</t>
  </si>
  <si>
    <t>Bioenergia -  cogeração calor/frio/energia</t>
  </si>
  <si>
    <t>A.1.20. Bioenergia -  cogeração calor/frio/energia</t>
  </si>
  <si>
    <t>A.1.20. Cogeração de calor/frio e eletricidade a partir de bioenergia</t>
  </si>
  <si>
    <t>Cogeração de calor/frio e eletricidade a partir de bioenergia</t>
  </si>
  <si>
    <t xml:space="preserve">Construção and operação of instalações cogeradoras de eletricidade e frio forma bioenergia </t>
  </si>
  <si>
    <r>
      <rPr>
        <b/>
        <sz val="8"/>
        <color rgb="FF000000"/>
        <rFont val="Santander Text"/>
      </rPr>
      <t xml:space="preserve">O que é isso? </t>
    </r>
    <r>
      <rPr>
        <sz val="8"/>
        <color rgb="FF000000"/>
        <rFont val="Santander Text"/>
      </rPr>
      <t xml:space="preserve">Cogeração de calor/frio e energia exclusivamente a partir de biomassa, biogás ou biolíquidos. 
</t>
    </r>
    <r>
      <rPr>
        <b/>
        <sz val="8"/>
        <color rgb="FF000000"/>
        <rFont val="Santander Text"/>
      </rPr>
      <t>O que não é?</t>
    </r>
    <r>
      <rPr>
        <sz val="8"/>
        <color rgb="FF000000"/>
        <rFont val="Santander Text"/>
      </rPr>
      <t xml:space="preserve"> Cogeração a partir da mistura de combustíveis renováveis com biogás ou biolíquidos. </t>
    </r>
  </si>
  <si>
    <r>
      <rPr>
        <sz val="8"/>
        <color theme="1"/>
        <rFont val="Anta"/>
      </rPr>
      <t xml:space="preserve">Cumpre UM critério aplicável _
3. </t>
    </r>
    <r>
      <rPr>
        <strike/>
        <sz val="8"/>
        <color rgb="FFFF0000"/>
        <rFont val="Anta"/>
      </rPr>
      <t xml:space="preserve">O certificado da matéria-prima cumpre UM, verificando OU uma intensidade de emissões de GEE inferior a 100 gCO2e/kWh OU poupanças de emissões ao longo do ciclo de vida superiores a 65%. _ </t>
    </r>
    <r>
      <rPr>
        <sz val="8"/>
        <color rgb="FFFF0000"/>
        <rFont val="Anta"/>
      </rPr>
      <t xml:space="preserve">Matéria-prima sujeita às avaliações de Risco ESCC do Santander (apenas para o Brasil)_
4. A matéria-prima é certificada pelo ISCC Plus ou RSB Biomass com:
A. Intensidade de emissões de GEE ao longo do ciclo de vida inferior a 100 g CO2e/kWh ou
B. Emissões ao longo do ciclo de vida pelo menos 65% inferiores_
</t>
    </r>
    <r>
      <rPr>
        <strike/>
        <sz val="8"/>
        <color rgb="FFFF0000"/>
        <rFont val="Anta"/>
      </rPr>
      <t>4. BR): Renovabio como certificação OU matéria-prima sujeita às avaliações de Risco ESCC do Santander (apenas para o Brasil). _</t>
    </r>
    <r>
      <rPr>
        <sz val="8"/>
        <color rgb="FFFF0000"/>
        <rFont val="Anta"/>
      </rPr>
      <t xml:space="preserve">
5. Matéria-prima de biomassa não perigosa que evite a deposição em aterro, proveniente de uma empresa oficial de gestão de resíduos, ou originada de florestas bem geridas ou de fontes certificadas como sustentáveis, tais como PEFC/FSC, ou derivada como subproduto ou resíduo de um processo interno de fabrico. É necessária uma avaliação Ambiental e Social adicional para garantir que não existem condições que possam dificultar o processo de classificação (tagging)._</t>
    </r>
  </si>
  <si>
    <r>
      <rPr>
        <sz val="8"/>
        <color rgb="FF000000"/>
        <rFont val="Santander Text"/>
      </rPr>
      <t xml:space="preserve">Cumpre TODOS os critérios aplicáveis  _
1. FA matéria-prima cumpre UM dos seguintes:
a. Certificados disponíveis (UM)
   - 2BSvs
     -Better Biomass
     -Bonsucro EU
     -ISCC EU
     -KZR INiG system
     -REDcert
     -Red Tractor
     -RSB EU RED
     -SQC
     -TASCC
     -UFAS
     -SURE
     -SBP
    - </t>
    </r>
    <r>
      <rPr>
        <sz val="8"/>
        <color rgb="FFFF0000"/>
        <rFont val="Santander Text"/>
      </rPr>
      <t xml:space="preserve">AACS
</t>
    </r>
    <r>
      <rPr>
        <sz val="8"/>
        <color rgb="FF000000"/>
        <rFont val="Santander Text"/>
      </rPr>
      <t>b. Está em conformidade COM TODOS os seguintes:
- Os biocombustíveis, os biolíquidos e os combustíveis de biomassa não devem ser produzidos usando terras/materiais de alto valorr ambiental.
- Poupanças de emissões de gases com efeito de estufa superiores a 80% em relação à linha de base dos combustíveis.  _
2. Geração anaeróbia: Biogás usado diretamente para eletricidade ou geração de calor / atualizado para bio-metano / usado como como matéria-prima na indústria química.  _</t>
    </r>
  </si>
  <si>
    <t>Combustíveis renováveis - produção de calor/frio</t>
  </si>
  <si>
    <t>A.1.23. Combustíveis renováveis - produção de calor/frio</t>
  </si>
  <si>
    <t xml:space="preserve">A.1.23. Produção de calor/frio a partir de combustíveis gasosos e líquidos renováveis não fósseis </t>
  </si>
  <si>
    <t xml:space="preserve">Produção de calor/frio a partir de combustíveis gasosos e líquidos renováveis não fósseis </t>
  </si>
  <si>
    <t xml:space="preserve">Construção e operação de instalações de geração de calor que produzem calor/frio usando combustíveis gasosos e líquidos de origem renovável. </t>
  </si>
  <si>
    <r>
      <rPr>
        <b/>
        <sz val="8"/>
        <color rgb="FF000000"/>
        <rFont val="Santander Text"/>
      </rPr>
      <t>O que é isso?</t>
    </r>
    <r>
      <rPr>
        <sz val="8"/>
        <color rgb="FF000000"/>
        <rFont val="Santander Text"/>
      </rPr>
      <t xml:space="preserve"> Construção e operação de instalações de geração de calor que produzem calor/frio usando combustíveis gasosos e líquidos de origem renovável. 
</t>
    </r>
    <r>
      <rPr>
        <b/>
        <sz val="8"/>
        <color rgb="FF000000"/>
        <rFont val="Santander Text"/>
      </rPr>
      <t xml:space="preserve">O que não é? </t>
    </r>
    <r>
      <rPr>
        <sz val="8"/>
        <color rgb="FF000000"/>
        <rFont val="Santander Text"/>
      </rPr>
      <t xml:space="preserve">Produção de calor/frio a partir do uso exclusivo de biogás e combustíveis bio-líquidos. </t>
    </r>
  </si>
  <si>
    <t>Cumpre TODOS os critérios aplicáveis  _
2. Está em conformidade com o n.º 1 e o cálculo é feito utilizando qualquer certificação reconhecida (por exemplo, PAS 2050).  _
3. Os relatórios de emissões de metano estão em conformidade com UM: 
a. Na construção - emissões físicas e equipamentos de medição e monitorização de metano. 
b. Na construção - Programa de deteção e reparação de fugas.
c. Durante a operação – a medida física do metano é relatada e o vazamento é eliminado.  _
6. Vazamento de CO2 do transporte de carbono e sequestro certificado com base em normas aceites para o Santander. _
8. Os biocombustíveis, os biolíquidos e os combustíveis de biomassa não devem ser produzidos com elevado valor de biodiversidade. _
9. Os certificados GOO sobre o uso de combustível biometano são aceites como uma alternativa a uma conexão física canalizada. _</t>
  </si>
  <si>
    <t>Cumpre TODOS os critérios aplicáveis _
1. Emissões de ciclo de vida mais baixas do 100gCO2e/kWh verificadas por terceiros e calculadas USANDO UM: 
a. ISO 14064-1:2018
b. ISO 14067:2018 _
3. Os relatórios de emissões de metano estão em conformidade com UM: 
a. Na construção - emissões físicas e equipamentos de medição e monitorização de metano. 
b. Na construção - Programa de deteção e reparação de fugas.
c. Durante a operação – a medida física do metano é relatada e o vazamento é eliminado.  _
4. A fuga de CO2 dos métodos de transporte de carbono abaixo dos 0,5 %, e os locais de sequestro de carbono estão em conformidade ISO 27914:2017. _
5. As tecnologias de captura de carbono permitem uma atividade relacionada com a geração de energia. _
7. A produção de Hidrogênio, aço, cimento e produtos químicos opera dentro do limiar de intensidade de carbono permitido (por exemplo, aço-metal quente: Produto de 1,331 tCO2e/t; forno a arco elétrico (EAF) aço de alta liga: 0,266 tCO2e/t produto).  _
8. Os biocombustíveis, os biolíquidos e os combustíveis de biomassa não devem ser produzidos com elevado valor de biodiversidade. _</t>
  </si>
  <si>
    <t>Bioenergia - produção de calor/frio</t>
  </si>
  <si>
    <t>A.1.24. Bioenergia - produção de calor/frio</t>
  </si>
  <si>
    <t xml:space="preserve">A.1.24. Produção de calor/frio a partir de bioenergia </t>
  </si>
  <si>
    <t xml:space="preserve">Produção de calor/frio a partir de bioenergia </t>
  </si>
  <si>
    <t xml:space="preserve">Construção e exploração de instalações que produzam calor/arrefecimento exclusivamente a partir de biomassa, biogás ou biolíquidos. </t>
  </si>
  <si>
    <r>
      <rPr>
        <b/>
        <sz val="8"/>
        <color rgb="FF000000"/>
        <rFont val="Santander Text"/>
      </rPr>
      <t>O que é isso?</t>
    </r>
    <r>
      <rPr>
        <sz val="8"/>
        <color rgb="FF000000"/>
        <rFont val="Santander Text"/>
      </rPr>
      <t xml:space="preserve"> Construção e exploração de instalações que produzam calor/arrefecimento exclusivamente a partir de biomassa, biogás ou biolíquidos. 
</t>
    </r>
    <r>
      <rPr>
        <b/>
        <sz val="8"/>
        <color rgb="FF000000"/>
        <rFont val="Santander Text"/>
      </rPr>
      <t xml:space="preserve"> O que não é? </t>
    </r>
    <r>
      <rPr>
        <sz val="8"/>
        <color rgb="FF000000"/>
        <rFont val="Santander Text"/>
      </rPr>
      <t xml:space="preserve">Produção de calor/frio a partir da mistura de combustíveis renováveis com biogás ou biolíquidos. </t>
    </r>
  </si>
  <si>
    <r>
      <rPr>
        <sz val="8"/>
        <color rgb="FF000000"/>
        <rFont val="Anta"/>
      </rPr>
      <t xml:space="preserve">Cumpre TODOS os critérios aplicáveis  _
1. A matéria-prima cumpre UM dos seguintes critérios::
a. Certificados  (UM):
    a. 2BSvs
  b. Better Biomass
  c. Bonsucro EU
  d. ISCC EU
  e. KZR INiG system
  f. REDcert
  g. Red Tractor
  h. RSB EU RED
  i. SQC
  j. TASCC
  k. UFAS
  l. SURE
  m. SBP
</t>
    </r>
    <r>
      <rPr>
        <sz val="8"/>
        <color rgb="FFFF0000"/>
        <rFont val="Santander Text"/>
      </rPr>
      <t xml:space="preserve">  n. AACS
</t>
    </r>
    <r>
      <rPr>
        <sz val="8"/>
        <color rgb="FF000000"/>
        <rFont val="Santander Text"/>
      </rPr>
      <t>b. Está em conformidade COM TODOS os seguintes:
- Os biocombustíveis, os biolíquidos e os combustíveis de biomassa não devem ser produzidos usando terras/materiais de alto valor ambiental.
- Poupanças de emissões de gases com efeito de estufa superiores a 80% em relação à linha de base dos combustíveis. _
2. Geração anaeróbia: Biogás usado diretamente para eletricidade ou geração de calor / atualizado para bio-metano / usado como matéria-prima na indústria química. _</t>
    </r>
  </si>
  <si>
    <t>Calor residual - produção de calor/frio</t>
  </si>
  <si>
    <t>A.1.25. Calor residual - produção de calor/frio</t>
  </si>
  <si>
    <t xml:space="preserve">A.1.25. Produção de calor/frio usando calor residual </t>
  </si>
  <si>
    <t xml:space="preserve">Produção de calor/frio usando calor residual </t>
  </si>
  <si>
    <t xml:space="preserve">Construção e operação de instalações que produzem calor/frio usando calor residual. </t>
  </si>
  <si>
    <r>
      <rPr>
        <b/>
        <sz val="8"/>
        <color rgb="FF000000"/>
        <rFont val="Santander Text"/>
      </rPr>
      <t>O que é isso?</t>
    </r>
    <r>
      <rPr>
        <sz val="8"/>
        <color rgb="FF000000"/>
        <rFont val="Santander Text"/>
      </rPr>
      <t xml:space="preserve"> Construção e operação de instalações que produzem calor/frio usando calor residual.</t>
    </r>
  </si>
  <si>
    <r>
      <rPr>
        <sz val="8"/>
        <color rgb="FF000000"/>
        <rFont val="Santander Text"/>
      </rPr>
      <t xml:space="preserve">Cumpre </t>
    </r>
    <r>
      <rPr>
        <sz val="8"/>
        <color rgb="FFFF0000"/>
        <rFont val="Santander Text"/>
      </rPr>
      <t>TODOS</t>
    </r>
    <r>
      <rPr>
        <sz val="8"/>
        <color rgb="FF000000"/>
        <rFont val="Santander Text"/>
      </rPr>
      <t xml:space="preserve"> os critérios aplicáveis
2. A atividade produz eletricidade a partir de calor residual.</t>
    </r>
  </si>
  <si>
    <t>Cumpre TODOS os critérios aplicáveis _
1. Em conformidade com a definição: Construção e operação de instalações que produzem calor/frio usando calor residual. _</t>
  </si>
  <si>
    <t>Transmissão e distribuição de energia</t>
  </si>
  <si>
    <t>Transmissão e distribuição de eletricidade</t>
  </si>
  <si>
    <t>A.1.9. Transmissão e distribuição de eletricidade</t>
  </si>
  <si>
    <t xml:space="preserve">A.1.9. Transmissão e distribuição de eletricidade </t>
  </si>
  <si>
    <t xml:space="preserve">Transmissão e distribuição de eletricidade </t>
  </si>
  <si>
    <t xml:space="preserve">Sistemas de transmissão que transportam a eletricidade no sistema interligado de alta e extra tensão. </t>
  </si>
  <si>
    <t>a) Sistemas de transmissão que transportam a eletricidade no sistema interligado de alta e extra tensão. 
B) Sistemas de distribuição que transportam eletricidade em sistemas de distribuição de alta tensão, média tensão e baixa tensão.</t>
  </si>
  <si>
    <t>Cumpre UM critério aplicável  _
1. Infra-estrutura ou qualquer critério de equipamento  está em conformidade com UM:
a. Mais de 67% da capacidade de geração recém-capacitada no sistema abaixo 100 g de CO2e/kWh. 
b. Coeficiente médio de emissões da rede do sistema abaixo de 100 g CO2e/kWh, durante um período deslocável de cinco anos. 
c. O sistema é o sistema europeu interligado. _
2. Cumpre UMA dessas atividades elegíveis:
a. Construção ou reparação de infraestruturas de rede com fator de emissões médias da rede de sistemas inferiores a 100gCO2e/kWh durante um período de cinco anos.
b. Equipamento/infraestrutura para aumentar a geração ou o uso de eletricidade renovável.
c. Construção e exploração de estações de carregamento de veículos elétricos e infraestruturas de apoio para a eletrificação de transportes, sujeito ao cumprimento dos critérios técnicos definidos no setor dos transportes, nas seguintes atividades:
-Infraestruturas para o transporte ferroviário.
-Infraestruturas que permitem o transporte rodoviário de baixo carbono e os transportes públicos.
-Infraestrutura que permite o transporte de água com baixo carbono. 
-Infra-estrutura aeroportuária de baixo carbono. _
3. -Transformadores de transmissão e distribuição. 
     -Para transformadores de média potência com a mais alta tensão para equipamentos que não excedem 36 KV, com requisitos de nível AAA0 em perdas sem carga estabelecidos na norma EN 50588-1. _
4.   -Aumentar a controlabilidade e a observabilidade do sistema de eletricidade. 
       -Permitir o desenvolvimento e a integração de fontes de energia renováveis. _</t>
  </si>
  <si>
    <t>Habilitação</t>
  </si>
  <si>
    <t xml:space="preserve">Redes para gases renováveis/de baixo carbono </t>
  </si>
  <si>
    <t xml:space="preserve">A.1.14. Redes para gases renováveis/de baixo carbono </t>
  </si>
  <si>
    <t xml:space="preserve">A.1.14. Redes de transmissão e distribuição de gases renováveis e de baixo carbono </t>
  </si>
  <si>
    <t xml:space="preserve">Redes de transmissão e distribuição de gases renováveis e de baixo carbono </t>
  </si>
  <si>
    <t xml:space="preserve">Redes para distribuição de gases de carbono com baixo teor de carbono. </t>
  </si>
  <si>
    <t xml:space="preserve">1) Conversão, reformulação ou adaptação de redes de gás para a transmissão e distribuição de gases renováveis e de baixo carbono. 
2) Construção ou operação de condutas de transmissão e distribuição dedicadas ao transporte de Hidrogênio ou outros gases de baixo carbono. </t>
  </si>
  <si>
    <t>Cumpre TODOS os critérios aplicáveis  _
1. Cumpre com UMA atividade elegível:
a. Novas redes de transmissão e distribuição dedicadas ao hidrogênio ou a outros gases de baixo carbono. 
b. Conversão/reaproveitamento das redes de gás natural existentes para 100% de Hidrogênio. 
c. Readaptação de redes de transmissão e distribuição de gás que permitem a integração de Hidrogênio e outros gases de baixo carbono na rede. . _
2. Inclui deteção de fugas e reparação de condutas de gás existentes e outros elementos da rede para reduzir a fuga de metano. _</t>
  </si>
  <si>
    <t>Distribuição de aquecimento/arrefecimento distrital</t>
  </si>
  <si>
    <t>A.1.15. Distribuição de aquecimento/arrefecimento distrital</t>
  </si>
  <si>
    <t xml:space="preserve">A.1.15. Distribuição de aquecimento/arrefecimento distrital </t>
  </si>
  <si>
    <t xml:space="preserve">Distribuição de aquecimento/arrefecimento distrital </t>
  </si>
  <si>
    <t xml:space="preserve">Condutas e infra-estruturas associadas para distribuição de aquecimento e arrefecimento, terminadas na subestação ou permutador de calor. </t>
  </si>
  <si>
    <r>
      <rPr>
        <b/>
        <sz val="8"/>
        <color rgb="FF000000"/>
        <rFont val="Santander Text"/>
      </rPr>
      <t xml:space="preserve">O que é isso? </t>
    </r>
    <r>
      <rPr>
        <sz val="8"/>
        <color rgb="FF000000"/>
        <rFont val="Santander Text"/>
      </rPr>
      <t xml:space="preserve">Condutas e infra-estruturas associadas para distribuição de aquecimento e arrefecimento, terminadas na subestação ou permutador de calor. </t>
    </r>
  </si>
  <si>
    <t>Cumpre UM critério aplicável 
1. Se a atividade se relaciona com A CONSTRUÇÃO: O sistema adere a padrões eficientes de aquecimento e arrefecimento distintos. _
2.  Se a atividade estiver relacionada com A remodelação: O eficiente sistema de aquecimento/arrefecimento urbano começa num período de 3 anos, como se sustenta numa obrigação contratual.  _
3. Atividades elegíveis: 
a. Modificação de regimes de temperatura mais baixos. 
b. Sistemas piloto avançados.  _</t>
  </si>
  <si>
    <t>Armazenamento de energia</t>
  </si>
  <si>
    <t xml:space="preserve">Armazenamento de eletricidade </t>
  </si>
  <si>
    <t xml:space="preserve">A.1.10. Armazenamento de eletricidade </t>
  </si>
  <si>
    <t xml:space="preserve">Instalações que armazenam energia e a devolvem posteriormente sob a forma de eletricidade, incluindo energia hidroelétrica bombeada, armazenamento eletroquímico e mecânico. </t>
  </si>
  <si>
    <t xml:space="preserve">O que é isso? Instalações que armazenam energia e a devolvem posteriormente sob a forma de eletricidade, incluindo energia hidroelétrica bombeada, armazenamento eletroquímico e mecânico. </t>
  </si>
  <si>
    <t>Cumpre TODOS os critérios aplicáveis  _
1. Cumpre a definição, onde a atividade inclui armazenamento de energia química, o meio de armazenamento (como Hidrogênio ou amoníaco) cumpre os critérios técnicos dos requisitos de fabrico._</t>
  </si>
  <si>
    <t xml:space="preserve">Armazenamento de energia térmica </t>
  </si>
  <si>
    <t xml:space="preserve">A.11. Armazenamento de energia térmica </t>
  </si>
  <si>
    <t xml:space="preserve">A.1.11. Armazenamento de energia térmica </t>
  </si>
  <si>
    <t xml:space="preserve">Instalações que armazenam energia térmica e a devolvem posteriormente sob a forma de energia térmica ou outros vetores energéticos. </t>
  </si>
  <si>
    <r>
      <rPr>
        <b/>
        <sz val="8"/>
        <color rgb="FF000000"/>
        <rFont val="Santander Text"/>
      </rPr>
      <t xml:space="preserve">O que é isso? </t>
    </r>
    <r>
      <rPr>
        <sz val="8"/>
        <color rgb="FF000000"/>
        <rFont val="Santander Text"/>
      </rPr>
      <t xml:space="preserve">Instalações que armazenam energia térmica e a devolvem posteriormente sob a forma de energia térmica ou outros vetores energéticos. </t>
    </r>
  </si>
  <si>
    <t>Cumpre TODOS os critérios aplicáveis  _
1. A atividade armazena energia térmica, incluindo o armazenamento de energia térmica subterrânea (UTES) ou o armazenamento de energia térmica Aquifer (ATES). _</t>
  </si>
  <si>
    <t xml:space="preserve">Armazenamento de hidrogênio </t>
  </si>
  <si>
    <t xml:space="preserve">A.1.12. Armazenamento de hidrogênio </t>
  </si>
  <si>
    <t xml:space="preserve">A.1.12. Armazenamento de hidrogénio </t>
  </si>
  <si>
    <t xml:space="preserve">Armazenamento de hidrogénio </t>
  </si>
  <si>
    <t>Construção e exploração de instalações que armazenam hidrogénio e o devolvem mais tarde.</t>
  </si>
  <si>
    <r>
      <rPr>
        <b/>
        <sz val="8"/>
        <color rgb="FF000000"/>
        <rFont val="Santander Text"/>
      </rPr>
      <t xml:space="preserve">O que isso? </t>
    </r>
    <r>
      <rPr>
        <sz val="8"/>
        <color rgb="FF000000"/>
        <rFont val="Santander Text"/>
      </rPr>
      <t>Construção e operação de instalações que armazenam hidrogénio e o devolvem mais tarde.</t>
    </r>
  </si>
  <si>
    <r>
      <rPr>
        <sz val="8"/>
        <color rgb="FF000000"/>
        <rFont val="Santander Text"/>
      </rPr>
      <t xml:space="preserve">Cumpre </t>
    </r>
    <r>
      <rPr>
        <sz val="8"/>
        <color rgb="FFFF0000"/>
        <rFont val="Santander Text"/>
      </rPr>
      <t>UM</t>
    </r>
    <r>
      <rPr>
        <sz val="8"/>
        <color rgb="FF000000"/>
        <rFont val="Santander Text"/>
      </rPr>
      <t xml:space="preserve"> dos critérios aplicáveis _.
1. Cumpre UMA atividade elegível:
a. Construção de instalações de armazenamento de hidrogénio.
b. Conversão de instalações de armazenamento subterrâneo de gás existentes em instalações de armazenamento dedicadas ao armazenamento de hidrogénio.
c. Exploração de instalações de armazenagem de hidrogénio. _
2. Hidrogénio armazenado na instalação: Redução das emissões de GEE ao longo do ciclo de vida de 73,4% para o hidrogénio, sendo inferior a 3tCO2e/tH2 e de 70% para os combustíveis sintéticos à base de hidrogénio em relação a um comparador de combustível fóssil de 94g CO2e/MJ.  _
4. As reduções quantificadas das emissões de GEE ao longo do ciclo de vida do hidrogénio armazenado na instalação são verificadas por um terceiro independente e calculadas utilizando quaisquer certificações reconhecidas a nível internacional ou local. _
6. A fuga de CO2 dos métodos de transporte de carbono e os locais de sequestro de carbono cumprem as normas aceites pelo Santander. _</t>
    </r>
  </si>
  <si>
    <t>Cumpre TODOS os critérios aplicáveis
1. satisfaz UMA atividade elegível: 
a. Construção de instalações de armazenamento de hidrogénio. 
b. Conversão de instalações de armazenamento subterrâneo de gás existentes em instalações de armazenamento dedicadas ao armazenamento de hidrogénio. 
c. Exploração de instalações de armazenamento de hidrogénio. _
2. 
- Hidrogénio armazenado em instalações: Emissões de gases com efeito de estufa ao longo do ciclo de vida de 73,4% para o hidrogénio, sendo inferiores a 3tCO2e/Th2 e 70% para os combustíveis sintéticos à base de hidrogénio, em comparação com um combustível fóssil de 94g CO2e/MJ.  _
3. O hidrogénio armazenado permite uma redução quantificada das emissões de gases com efeito de estufa ao longo do ciclo de vida da instalação, a verificar por um terceiro independente e a calcular utilizando: 
- ISO 14067:2018
- ISO 14064- 1:2018 _
5. A fuga de CO2 dos métodos de transporte de carbono é inferior a 0,5 % e os locais de sequestro de carbono cumprem a norma ISO 27914:2017. _</t>
  </si>
  <si>
    <t>Instalação e operação de bombas de calor elétricas</t>
  </si>
  <si>
    <t>A.1.16. Instalação e operação de bombas de calor elétricas</t>
  </si>
  <si>
    <t xml:space="preserve">A.1.16. Instalação e operação de bombas de calor elétricas </t>
  </si>
  <si>
    <t xml:space="preserve">Instalação e operação de bombas de calor elétricas </t>
  </si>
  <si>
    <t>Cumpre TODOS os critérios aplicáveis  _
2. Bombas de calor elétricas (aerotermia de fonte de ar, ou fonte de terra / fonte de água)._</t>
  </si>
  <si>
    <t>Cumpre TODOS os critérios aplicáveis  _
1. A instalação e operação de bombas de calor elétricas está em conformidade com o limiar do refrigerante: O potencial de aquecimento global não excede 675._</t>
  </si>
  <si>
    <t>Combustíveis gasosos nucleares e fósseis</t>
  </si>
  <si>
    <t>Energia nuclear - Produzir energia com desperdício mínimo</t>
  </si>
  <si>
    <t>A.1.26. Energia nuclear - Produzir energia com desperdício mínimo</t>
  </si>
  <si>
    <t>A.1.26. Fases pré-comerciais de tecnologias avançadas para produzir energia a partir de processos nucleares com desperdício mínimo do ciclo de combustível</t>
  </si>
  <si>
    <t xml:space="preserve">Fases pré-comerciais de tecnologias avançadas para produzir energia a partir de processos nucleares com desperdício mínimo do ciclo de combustível </t>
  </si>
  <si>
    <t xml:space="preserve">Instalações inovadoras de produção de eletricidade, licenciadas pelas autoridades competentes dos Estados-Membros de acordo com a legislação nacional aplicável, que produzem energia a partir de processos nucleares com um mínimo de resíduos do ciclo do combustível. </t>
  </si>
  <si>
    <r>
      <rPr>
        <b/>
        <sz val="8"/>
        <color rgb="FF000000"/>
        <rFont val="Santander Text"/>
      </rPr>
      <t xml:space="preserve">O que é isso? </t>
    </r>
    <r>
      <rPr>
        <sz val="8"/>
        <color rgb="FF000000"/>
        <rFont val="Santander Text"/>
      </rPr>
      <t xml:space="preserve">Instalações inovadoras de produção de eletricidade, licenciadas pelas autoridades competentes dos Estados-Membros de acordo com a legislação nacional aplicável, que produzem energia a partir de processos nucleares com um mínimo de resíduos do ciclo do combustível. </t>
    </r>
  </si>
  <si>
    <t>Cumpre TODOS os critérios aplicáveis _
2. Para os países não pertencentes à UE, os mesmos critérios coerentes com a taxonomia da UE, com exceção da conformidade com a LTO</t>
  </si>
  <si>
    <t>Cumpre TODOS os critérios aplicáveis _
1. O projeto tem uma licença para operar de um membro da UE. _</t>
  </si>
  <si>
    <t>Transição</t>
  </si>
  <si>
    <t>Energia nuclear - Construção / operação segura</t>
  </si>
  <si>
    <t>A.1.27. Energia nuclear - Construção / operação segura</t>
  </si>
  <si>
    <t xml:space="preserve">A.1.27. Construção e exploração segura de novas centrais nucleares, para a geração de eletricidade e/ou calor, incluindo para a produção de hidrogénio, utilizando as melhores tecnologias disponíveis </t>
  </si>
  <si>
    <t xml:space="preserve">Construção e exploração segura de novas centrais nucleares, para a geração de eletricidade e/ou calor, incluindo para a produção de hidrogénio, utilizando as melhores tecnologias disponíveis </t>
  </si>
  <si>
    <t xml:space="preserve">Construção e operação segura de novas instalações de energia nuclear com construção emitida por 2045 de acordo com a legislação nacional aplicável, para produzir/processar eletricidade ou calor, incluindo processos industriais como a produção de Hidrogênio (novas instalações nucleares), e as suas atualizações de segurança. </t>
  </si>
  <si>
    <r>
      <rPr>
        <b/>
        <sz val="8"/>
        <color rgb="FF000000"/>
        <rFont val="Santander Text"/>
      </rPr>
      <t xml:space="preserve">O que é isso? </t>
    </r>
    <r>
      <rPr>
        <sz val="8"/>
        <color rgb="FF000000"/>
        <rFont val="Santander Text"/>
      </rPr>
      <t xml:space="preserve">Construção e operação segura de novas instalações de energia nuclear com construção emitida por 2045 de acordo com a legislação nacional aplicável, para produzir/processar eletricidade ou calor, incluindo processos industriais como a produção de hidrogênio (novas instalações nucleares), e as suas atualizações de segurança. </t>
    </r>
  </si>
  <si>
    <t>Cumpre TODOS os critérios aplicáveis _
1. A construção tem uma licença para operar a partir de um membro da UE. _</t>
  </si>
  <si>
    <t>Energia nuclear - Geração de eletricidade</t>
  </si>
  <si>
    <t>A.1.28. Energia nuclear - Geração de eletricidade</t>
  </si>
  <si>
    <t xml:space="preserve">A.1.28. Geração de eletricidade a partir de energia nuclear em instalações existentes </t>
  </si>
  <si>
    <t xml:space="preserve">Geração de eletricidade a partir de energia nuclear em instalações existentes </t>
  </si>
  <si>
    <t xml:space="preserve">Autorizado até 2040 a ampliação das instalações nucleares existentes, de acordo com a legislação nacional aplicável, do tempo de serviço de exploração segura das centrais nucleares. </t>
  </si>
  <si>
    <r>
      <rPr>
        <b/>
        <sz val="8"/>
        <color rgb="FF000000"/>
        <rFont val="Santander Text"/>
      </rPr>
      <t xml:space="preserve">O que é isso? </t>
    </r>
    <r>
      <rPr>
        <sz val="8"/>
        <color rgb="FF000000"/>
        <rFont val="Santander Text"/>
      </rPr>
      <t>Autorizado até 2040 a ampliação das instalações nucleares existentes, de acordo com a legislação nacional aplicável, do tempo de serviço de exploração segura das centrais nucleares.</t>
    </r>
  </si>
  <si>
    <t>Cumpre TODOS os critérios aplicáveis _
1. A extensão tem uma licença para operar a partir de um membro da UE. _</t>
  </si>
  <si>
    <t>Combustíveis gasosos fósseis - Geração de eletricidade</t>
  </si>
  <si>
    <t>A.1.29. Combustíveis gasosos fósseis - Geração de eletricidade</t>
  </si>
  <si>
    <t xml:space="preserve">A.1.29. Geração de eletricidade a partir de combustíveis fósseis gasosos </t>
  </si>
  <si>
    <t xml:space="preserve">Geração de eletricidade a partir de combustíveis fósseis gasosos </t>
  </si>
  <si>
    <t xml:space="preserve">Instalações de geração de eletricidade que produzem eletricidade usando combustíveis fósseis gasosos. </t>
  </si>
  <si>
    <r>
      <rPr>
        <b/>
        <sz val="8"/>
        <color rgb="FF000000"/>
        <rFont val="Santander Text"/>
      </rPr>
      <t xml:space="preserve">O que é isso? </t>
    </r>
    <r>
      <rPr>
        <sz val="8"/>
        <color rgb="FF000000"/>
        <rFont val="Santander Text"/>
      </rPr>
      <t xml:space="preserve">Instalações de geração de eletricidade que produzem eletricidade usando combustíveis fósseis gasosos. 
</t>
    </r>
    <r>
      <rPr>
        <b/>
        <sz val="8"/>
        <color rgb="FF000000"/>
        <rFont val="Santander Text"/>
      </rPr>
      <t>O que não é?</t>
    </r>
    <r>
      <rPr>
        <sz val="8"/>
        <color rgb="FF000000"/>
        <rFont val="Santander Text"/>
      </rPr>
      <t xml:space="preserve"> Geração de eletricidade a partir do uso exclusivo de combustíveis gasosos e líquidos renováveis não fósseis.</t>
    </r>
  </si>
  <si>
    <t>Cumpre TODOS os critérios aplicáveis _
7. Para os países não pertencentes à UE, os mesmos critérios coerentes com a taxonomia da UE, com exceção da conformidade com a LTO</t>
  </si>
  <si>
    <t>Cumpre TODOS os critérios aplicáveis  _
1. Emissões de ciclo de vida mais baixas do tan 100gCO2e/kWh verificadas por terceiros e calculadas USANDO UM: 
a. ISO 14067:2018
b. ISO 14064-1:2018 _
2. Fuga de CO2 dos métodos de transporte de carbono abaixo de 0,5 %.  _ 
3. Os locais de sequestro de carbono estão em conformidade com a norma ISO 27914:2017.  _
4.  TA produção de Hidrogênio, aço, cimento e produtos químicos opera dentro do limite de intensidade de carbono permitido (por exemplo, aço: Metal quente 1,331 tCO2e/t; forno a arco elétrico (EAF) aço de alta liga: 0,266 tCO2e/t produto).  _
5. Se os #1, 32, #3 e #4 não se aplicarem, no caso de autorização de construção concedida até 31 de dezembro de 2030, cumprir TODOS os seguintes requisitos:
- Emissões de gases com efeito de estufa inferiores a 270gCO2e/kWh OU as emissões anuais superiores à capacidade da instalação acima de 20 anos são inferiores à média de 550kgCO2e/kWh.
- A substituição leva a uma redução de 55% das emissões de gases de efeito estufa durante a vida útil da nova capacidade de instalação. 
- Público, sujeito à avaliação da consulta das partes interessadas, afirmando que a energia a substituir não pode ser gerada a partir de fontes de energia renováveis em termos de custo, viabilidade e eficácia. 
- A atividade substitui outra eletricidade de alta emissão que usa combustíveis fósseis sólidos ou líquidos. 
- A nova capacidade de produção não excede a anterior em mais de 15%. 
- Plano aprovado para o compromisso de utilização de combustíveis gasosos renováveis/de baixo carbono até 31 de dezembro de 2035. _
6. Está em conformidade com UM do seguinte critérios:
a. Na construção - emissões físicas e equipamentos de medição e monitorização de metano.  
b. Na construção - Programa de deteção e reparação de fugas.
c. Durante a operação – a medida física do metano é relatada e o vazamento é eliminado.  _</t>
  </si>
  <si>
    <t>Combustíveis gasosos fósseis - produção de calor/frio</t>
  </si>
  <si>
    <t>A.1.30. Combustíveis gasosos fósseis - produção de calor/frio</t>
  </si>
  <si>
    <t xml:space="preserve">A.1.30. Produção de calor/frio a partir de combustíveis fósseis gasosos num eficiente sistema de aquecimento e arrefecimento urbano </t>
  </si>
  <si>
    <t xml:space="preserve">Produção de calor/frio a partir de combustíveis fósseis gasosos num eficiente sistema de aquecimento e arrefecimento urbano </t>
  </si>
  <si>
    <t xml:space="preserve">Construção, remodelação e operação de instalações de geração de calor que produzem calor/frio usando combustíveis gasosos fósseis ligados ao aquecimento e arrefecimento urbano eficientes. </t>
  </si>
  <si>
    <r>
      <rPr>
        <sz val="8"/>
        <color rgb="FF000000"/>
        <rFont val="Santander Text"/>
      </rPr>
      <t xml:space="preserve">O que é isso? Construção, remodelação e operação de instalações de geração de calor que produzem calor/frio usando combustíveis gasosos fósseis ligados ao aquecimento e arrefecimento urbano eficientes. 
</t>
    </r>
    <r>
      <rPr>
        <b/>
        <sz val="8"/>
        <color rgb="FF000000"/>
        <rFont val="Santander Text"/>
      </rPr>
      <t xml:space="preserve">O que não é? </t>
    </r>
    <r>
      <rPr>
        <sz val="8"/>
        <color rgb="FF000000"/>
        <rFont val="Santander Text"/>
      </rPr>
      <t xml:space="preserve">Produção de calor/frio num eficiente aquecimento urbano com uso de combustíveis gasosos e líquidos renováveis não fósseis e biogás/combustíveis bioliquidos. </t>
    </r>
  </si>
  <si>
    <t>Cumpre TODOS os critérios aplicáveis  _
1.Emissões de ciclo de vida mais baixas do tan 100gCO2e/kWh verificadas por terceiros e calculadas USANDO UM: 
a. ISO 14067:2018
b. ISO 14064-1:2018 _
2. Fuga de CO2 dos métodos de transporte de carbono abaixo de 0,5 %.  _
3. Os locais de sequestro de carbono estão em conformidade com a norma ISO 27914:2017.  _
4. A produção de Hidrogênio, aço, cimento e produtos químicos opera dentro do limite de intensidade de carbono permitido (por exemplo, aço: Metal quente 1,331 tCO2e/t; forno a arco elétrico (EAF) aço de alta liga: 0,266 tCO2e/t produto).  _
5. Se #1, #2, #3 e #4 não se aplicarem, no caso de autorização de construção concedida até 31 de dezembro de 2030, cumprir TODOS os seguintes requisitos:
- Emissões de gases com efeito de estufa inferiores a 270gCO2e/kWh OU as emissões anuais superiores à capacidade da instalação acima de 20 anos são inferiores à média de 550kgCO2e/kWh.
- A substituição leva a uma redução de 55% das emissões de gases de efeito estufa durante a vida útil da nova capacidade de instalação. 
- Público, sujeito à avaliação da consulta das partes interessadas, afirmando que a energia a substituir não pode ser gerada a partir de fontes de energia renováveis em termos de custo, viabilidade e eficácia. 
- A atividade substitui outra eletricidade de alta emissão que usa combustíveis fósseis sólidos ou líquidos. 
- A nova capacidade de produção não excede a anterior em mais de 15%. 
- Plano aprovado para o compromisso de utilização de combustíveis gasosos renováveis/de baixo carbono até 31 de dezembro de 2035. _
6. Está em conformidade com UM do seguinte critérios:
a. Na construção - emissões físicas e equipamentos de medição e monitorização de metano.  
b. Na construção - Programa de deteção e reparação de fugas.
c. Durante a operação – a medida física do metano é relatada e o vazamento é eliminado.  _</t>
  </si>
  <si>
    <t>Combustíveis gasosos fósseis - Co-geração de calor/frio e energia</t>
  </si>
  <si>
    <t>A.1.31. Combustíveis gasosos fósseis - Co-geração de calor/frio e energia</t>
  </si>
  <si>
    <t xml:space="preserve">A.1.31. Co-geração de calor/frio e energia a partir de combustíveis fósseis </t>
  </si>
  <si>
    <t xml:space="preserve">Co-geração de calor/frio e energia a partir de combustíveis fósseis </t>
  </si>
  <si>
    <t xml:space="preserve">Construção, remodelação e operação de instalações combinadas de aquecimento/arrefecimento e geração de energia usando combustíveis fósseis gasosos. </t>
  </si>
  <si>
    <r>
      <rPr>
        <b/>
        <sz val="8"/>
        <color rgb="FF000000"/>
        <rFont val="Santander Text"/>
      </rPr>
      <t>O que é isso?</t>
    </r>
    <r>
      <rPr>
        <sz val="8"/>
        <color rgb="FF000000"/>
        <rFont val="Santander Text"/>
      </rPr>
      <t xml:space="preserve"> Construção, remodelação e operação de instalações combinadas de aquecimento/arrefecimento e geração de energia usando combustíveis fósseis gasosos. 
</t>
    </r>
    <r>
      <rPr>
        <b/>
        <sz val="8"/>
        <color rgb="FF000000"/>
        <rFont val="Santander Text"/>
      </rPr>
      <t>O que não é?</t>
    </r>
    <r>
      <rPr>
        <sz val="8"/>
        <color rgb="FF000000"/>
        <rFont val="Santander Text"/>
      </rPr>
      <t xml:space="preserve"> Co-geração de calor/frio e energia de alta eficiência a partir do uso exclusivo de combustíveis gasosos e líquidos renováveis não fósseis. </t>
    </r>
  </si>
  <si>
    <t>Cumpre TODOS os critérios aplicáveis  _
1.Emissões de ciclo de vida mais baixas do tan 100gCO2e/kWh verificadas por terceiros e calculadas USANDO UM: 
a. ISO 14067:2018
b. ISO 14064-1:2018 _
2. Fuga de CO2 dos métodos de transporte de carbono abaixo de 0,5 %.  _
3. Os locais de sequestro de carbono estão em conformidade com a norma ISO 27914:2017.  _
4. A produção de Hidrogênio, aço, cimento e produtos químicos opera dentro do limite de intensidade de carbono permitido (por exemplo, aço: Metal quente 1,331 tCO2e/t; forno a arco elétrico (EAF) aço de alta liga: 0,266 tCO2e/t produto).  _
5. Se #1, #2, #3 e #4  não se aplicarem, no caso de autorização de construção concedida até 31 de dezembro de 2030, cumprir TODOS os seguintes requisitos:
- Emissões de gases com efeito de estufa inferiores a 270gCO2e/kWh OU as emissões anuais superiores à capacidade da instalação acima de 20 anos são inferiores à média de 550kgCO2e/kWh.
- A substituição leva a uma redução de 55% das emissões de gases de efeito estufa durante a vida útil da nova capacidade de instalação. 
- Público, sujeito à avaliação da consulta das partes interessadas, afirmando que a energia a substituir não pode ser gerada a partir de fontes de energia renováveis em termos de custo, viabilidade e eficácia. 
- A atividade substitui outra eletricidade de alta emissão que usa combustíveis fósseis sólidos ou líquidos. 
- A nova capacidade de produção não excede a anterior em mais de 15%. 
- Plano aprovado para o compromisso de utilização de combustíveis gasosos renováveis/de baixo carbono até 31 de dezembro de 2035. _
6. Está em conformidade com UM do seguinte critérios:
a. Na construção - emissões físicas e equipamentos de medição e monitorização de metano.  
b. Na construção - Programa de deteção e reparação de fugas.
c. Durante a operação – a medida física do metano é relatada e o vazamento é eliminado.  _</t>
  </si>
  <si>
    <t>Aquisição de Energia Renovável</t>
  </si>
  <si>
    <t xml:space="preserve">Aquisição de Energia Renovável </t>
  </si>
  <si>
    <t xml:space="preserve">A.1.32. Aquisição de Energia Renovável </t>
  </si>
  <si>
    <t>Aquisição de energia proveniente de fontes renováveis.</t>
  </si>
  <si>
    <r>
      <rPr>
        <b/>
        <sz val="8"/>
        <color rgb="FF000000"/>
        <rFont val="Santander Text"/>
      </rPr>
      <t xml:space="preserve">O que é isso? </t>
    </r>
    <r>
      <rPr>
        <sz val="8"/>
        <color rgb="FF000000"/>
        <rFont val="Santander Text"/>
      </rPr>
      <t xml:space="preserve">Aquisição de energia proveniente de fontes renováveis. </t>
    </r>
  </si>
  <si>
    <r>
      <rPr>
        <sz val="8"/>
        <color theme="1"/>
        <rFont val="Anta"/>
      </rPr>
      <t xml:space="preserve">Cumpre UM critério aplicável _
1. </t>
    </r>
    <r>
      <rPr>
        <strike/>
        <sz val="8"/>
        <color rgb="FFFF0000"/>
        <rFont val="Anta"/>
      </rPr>
      <t xml:space="preserve">PPAs ou VPPAs de médio a longo prazo._ </t>
    </r>
    <r>
      <rPr>
        <sz val="8"/>
        <color rgb="FFFF0000"/>
        <rFont val="Anta"/>
      </rPr>
      <t>Médio (≥ 1 ano, embora períodos mais curtos possam ser aceitáveis se devidamente justificados) – PPAs ou VPPAs de longo prazo. _</t>
    </r>
    <r>
      <rPr>
        <sz val="8"/>
        <color theme="1"/>
        <rFont val="Anta"/>
      </rPr>
      <t xml:space="preserve">
2. Certificados de energia renovável (REC) integrados de longo prazo._
3. Se 100% da energia não for renovável, a percentagem de alocação verde será determinada através de uma abordagem pro rata._</t>
    </r>
  </si>
  <si>
    <t xml:space="preserve">Transporte ferroviário interurbano de passageiros </t>
  </si>
  <si>
    <t xml:space="preserve">A.2.1. Transporte ferroviário interurbano de passageiros </t>
  </si>
  <si>
    <t xml:space="preserve">Compra, financiamento, aluguer, locação e exploração do transporte de passageiros utilizando material circulante ferroviário nas redes principais. </t>
  </si>
  <si>
    <r>
      <rPr>
        <b/>
        <sz val="8"/>
        <color rgb="FF000000"/>
        <rFont val="Santander Text"/>
      </rPr>
      <t>O que é isso?</t>
    </r>
    <r>
      <rPr>
        <sz val="8"/>
        <color rgb="FF000000"/>
        <rFont val="Santander Text"/>
      </rPr>
      <t xml:space="preserve"> Compra, financiamento, aluguer, locação e exploração do transporte de passageiros utilizando material circulante ferroviário nas redes principais. </t>
    </r>
  </si>
  <si>
    <t>Cumpre TODOS os critérios aplicáveis  _
3. Menos de 50gCO2/km até 2026._</t>
  </si>
  <si>
    <t>Cumpre UM critério aplicável _
1. Zero emissões diretas de CO2.  _
2. Zero emissões diretas de CO2 (tubo de escape) quando utilizadas numa via com infra-estrutura necessária e utilizam um motor convencional onde essa infraestrutura não está disponível (bimodo). _</t>
  </si>
  <si>
    <t>9) Indústria, inovação e infraestrutura
11) Cidades e comunidades sustentáveis</t>
  </si>
  <si>
    <t xml:space="preserve">Transporte ferroviário de mercadorias </t>
  </si>
  <si>
    <t xml:space="preserve">A.2.2. Transporte ferroviário de mercadorias </t>
  </si>
  <si>
    <t xml:space="preserve">Compra, financiamento, leasing, aluguer e operação de transporte de mercadorias. </t>
  </si>
  <si>
    <r>
      <rPr>
        <b/>
        <sz val="8"/>
        <color rgb="FF000000"/>
        <rFont val="Santander Text"/>
      </rPr>
      <t xml:space="preserve">O que é isso? </t>
    </r>
    <r>
      <rPr>
        <sz val="8"/>
        <color rgb="FF000000"/>
        <rFont val="Santander Text"/>
      </rPr>
      <t xml:space="preserve">Compra, financiamento, leasing, aluguer e operação de transporte de mercadorias. </t>
    </r>
  </si>
  <si>
    <t>Cumpre TODOS os critérios aplicáveis  _
3. Até 2029 abaixo 25g de CO2 por tonelada-km (carga).  _
4. 2023 – 2049 abaixo 21 g de CO2 por tonelada-km (carga).  _
5. A partir de 2050, abaixo, 18g CO2 por tonelada-km (carga). _
6. O principal objetivo (mais de 25% de participação) não é o transporte de combustíveis fósseis. _</t>
  </si>
  <si>
    <t xml:space="preserve">Cumpre TODOS os critérios aplicáveis  _
1.Comformidade com UM:
a. Zero emissão direta de CO2 do tubo de escape. 
b. Quando operado numa via com a infraestrutura necessária e usar um motor convencional onde essa infraestrutura não esteja disponível (bimodo)._
2. Não se dedica ao transporte de combustíveis fósseis. _
</t>
  </si>
  <si>
    <t xml:space="preserve">Transportes urbanos e suburbanos, transportes rodoviários de passageiros </t>
  </si>
  <si>
    <t xml:space="preserve">A.2.3. Transportes urbanos e suburbanos, transportes rodoviários de passageiros </t>
  </si>
  <si>
    <t>Aquisição, financiamento, locação financeira, aluguer e exploração de veículos de transporte urbano e suburbano de passageiros e de transporte rodoviário de passageiros.</t>
  </si>
  <si>
    <r>
      <rPr>
        <b/>
        <sz val="8"/>
        <color rgb="FF000000"/>
        <rFont val="Santander Text"/>
      </rPr>
      <t>O que é isso?</t>
    </r>
    <r>
      <rPr>
        <sz val="8"/>
        <color rgb="FF000000"/>
        <rFont val="Santander Text"/>
      </rPr>
      <t xml:space="preserve"> </t>
    </r>
    <r>
      <rPr>
        <sz val="8"/>
        <color rgb="FFFF0000"/>
        <rFont val="Santander Text"/>
      </rPr>
      <t>Aquisição, financiamento, locação financeira, aluguer e exploração de veículos de transporte urbano e suburbano de passageiros e de transporte rodoviário de passageiros.</t>
    </r>
  </si>
  <si>
    <t>Cumpre UM critério aplicável  _
3. Nova frota: Emissões diretas abaixo 20g CO2e/km até 2025. _
4. Renovação da frota: Emissões diretas abaixo 30g CO2e/km. _
5. Renovação e desintegração: Emissões diretas abaixo 40gCO2e/km.  _
6. O projeto inclui a desintegração física do veículo recuperado.  _
7. Critérios baseados na ocupação real.  _</t>
  </si>
  <si>
    <t>Cumpre UM critério aplicável
1. Transporte urbano ou suburbano de passageiros com zero emissões de CO2.
2. Até 31 de dezembro de 2025. Os autocarros ou vaivéns têm um tipo de carroçaria classificado como UM: 
a. CA (andar único) 
b. CB (dois andares)
c. CC (andar único, articulado)
d. CD (Dois andares, articulado)
e. Se esta norma não estiver disponível, o CO2 direto é zero. _</t>
  </si>
  <si>
    <t xml:space="preserve">Dispositivos de mobilidade pessoal, logística de ciclo </t>
  </si>
  <si>
    <t xml:space="preserve">A.2.4. Dispositivos de mobilidade pessoal, logística de ciclo </t>
  </si>
  <si>
    <t xml:space="preserve">A.2.4. Operação de dispositivos de mobilidade pessoal, logística de ciclo </t>
  </si>
  <si>
    <t xml:space="preserve">Operação de dispositivos de mobilidade pessoal, logística de ciclo </t>
  </si>
  <si>
    <t>Dispositivos de transporte em que a propulsão provém da atividade física do utilizador, de um motor de emissões zero ou de uma mistura deste motor com atividade física.</t>
  </si>
  <si>
    <t>O que é isso? Dispositivos de transporte em que a propulsão provém da atividade física do utilizador, de um motor de emissões zero ou de uma mistura deste motor com atividade física.</t>
  </si>
  <si>
    <t>Cumpre TODOS os critérios aplicáveis  _
3. Qualquer veículo ou equipamento adquirido numa oficina de bicicletas especializada.  _</t>
  </si>
  <si>
    <t>Cumpre UM critério aplicável  _
1. Bicicletas, bicicletas elétricas (sem necessidade de licença) ou outra forma de dispositivos de mobilidade de autopropulsão.  _
2. Os dispositivos de mobilidade pessoal autorizados a funcionar na mesma infraestrutura pública que as bicicletas ou os peões.  _</t>
  </si>
  <si>
    <t xml:space="preserve">Motas, carros de passageiros e veículos comerciais ligeiros </t>
  </si>
  <si>
    <t xml:space="preserve">A.2.5. Motas, carros de passageiros e veículos comerciais ligeiros </t>
  </si>
  <si>
    <t xml:space="preserve">A.2.5. Transporte por motas, carros de passageiros e veículos comerciais ligeiros </t>
  </si>
  <si>
    <t xml:space="preserve">Transporte por motas, carros de passageiros e veículos comerciais ligeiros </t>
  </si>
  <si>
    <t xml:space="preserve">Veículos designados como automóveis de passageiros, veículos comerciais ligeiros ou motas. </t>
  </si>
  <si>
    <r>
      <rPr>
        <b/>
        <sz val="8"/>
        <color rgb="FF000000"/>
        <rFont val="Santander Text"/>
      </rPr>
      <t>O que é isso?</t>
    </r>
    <r>
      <rPr>
        <sz val="8"/>
        <color rgb="FF000000"/>
        <rFont val="Santander Text"/>
      </rPr>
      <t xml:space="preserve"> Veículos designados como automóveis de passageiros, veículos comerciais ligeiros ou motas. </t>
    </r>
  </si>
  <si>
    <t>Cumpre UM critério aplicável  _
3. Fator de intensidade de carbono abaixo de 75g de CO2/km e até 50g em 2026.  _
4. Gruas/empilhadores: Zero emissões diretas. _</t>
  </si>
  <si>
    <t>Cumpre TODOS os critérios aplicáveis  _
1. Caso dos automóveis de passageiros e dos veículos comerciais ligeiros:
- Até ao final de 2025, as emissões estão abaixo de 50 g de CO2 por km. 
- A partir de janeiro de 2026, zero emissões de CO2.  _
2. Caso de motas com matrícula licenciada com menos de 4 rodas: Zero emissões de CO2.  _</t>
  </si>
  <si>
    <t xml:space="preserve">Transporte rodoviário de mercadorias </t>
  </si>
  <si>
    <t xml:space="preserve">A.2.6. Transporte rodoviário de mercadorias </t>
  </si>
  <si>
    <t xml:space="preserve">A.2.6. Serviços de transporte de mercadorias por estrada </t>
  </si>
  <si>
    <t xml:space="preserve">Serviços de transporte de mercadorias por estrada </t>
  </si>
  <si>
    <t xml:space="preserve">Veículos designados como veículos comerciais ligeiros e camiões comerciais, para serviços de transporte de mercadorias por estrada </t>
  </si>
  <si>
    <t xml:space="preserve">O que é isso? Veículos designados como veículos comerciais ligeiros e camiões comerciais, para serviços de transporte de mercadorias por estrada </t>
  </si>
  <si>
    <t>Cumpre TODOS os critérios aplicáveis  _
3. Veículos comerciais ligeiros abaixo de 75g de emissões de CO2/km. _
4.  Os camiões comerciais têm emissões de 50% abaixo de cada limiar de subgrupo. _</t>
  </si>
  <si>
    <t>Cumpre TODOS os critérios aplicáveis  _
1. Veículo está em conformidade com UM dos seguintes:
a. Veículos comerciais ligeiros: Zero emissões diretas de CO2. 
b. Camiões comerciais: O motor emite abaixo 1gCO2/kWh ou 1 g CO2/km.  
c. Camiões comerciais com mais de 7,5 toneladas estão em conformidade com UM:
       i. O motor emite um nível abaixo de 1gCO2/kWh ou 1 g de CO2/km.
      ii. Quando não é possível, menos emissões do que metade da referência de todos os veículos do mesmo subgrupo. _
2.Não se dedica ao transporte de combustíveis fósseis. _</t>
  </si>
  <si>
    <t>Transporte marítimo e fluvial</t>
  </si>
  <si>
    <t xml:space="preserve">Transporte de água interior de passageiros </t>
  </si>
  <si>
    <t xml:space="preserve">A.2.7. Transporte de água interior de passageiros </t>
  </si>
  <si>
    <t>A.2.7. Transporte aquático de passageiros por via fluvial</t>
  </si>
  <si>
    <t>Transporte aquático de passageiros por via fluvial</t>
  </si>
  <si>
    <t xml:space="preserve">Navios de passageiros em águas interiores, envolvendo navios que não são adequados para o transporte marítimo. </t>
  </si>
  <si>
    <r>
      <rPr>
        <b/>
        <sz val="8"/>
        <color rgb="FF000000"/>
        <rFont val="Santander Text"/>
      </rPr>
      <t>O que é isso?</t>
    </r>
    <r>
      <rPr>
        <sz val="8"/>
        <color rgb="FF000000"/>
        <rFont val="Santander Text"/>
      </rPr>
      <t xml:space="preserve"> Navios de passageiros em águas interiores, envolvendo navios que não são adequados para o transporte marítimo. </t>
    </r>
  </si>
  <si>
    <r>
      <rPr>
        <sz val="8"/>
        <color rgb="FF000000"/>
        <rFont val="Santander Text"/>
      </rPr>
      <t xml:space="preserve">Cumpre UM critério aplicável _
2. Até 2026: Os reservatórios híbridos e de combustível duplo obtêm pelo menos 50% da sua energia a partir de combustíveis com emissões zero ou de energia plug-in para o seu funcionamento normal._
4. Veículos pesados: As emissões diretas são 50% mais baixas do que a média de referência. _
5. 10% mais eficiente do que um padrão global como o EEDI. _
6. Operar abaixo </t>
    </r>
    <r>
      <rPr>
        <sz val="8"/>
        <color rgb="FFFF0000"/>
        <rFont val="Santander Text"/>
      </rPr>
      <t>75g</t>
    </r>
    <r>
      <rPr>
        <sz val="8"/>
        <color rgb="FF000000"/>
        <rFont val="Santander Text"/>
      </rPr>
      <t xml:space="preserve"> CO2/passageiro-quilómetro. _</t>
    </r>
  </si>
  <si>
    <t>Cumpre UM critério aplicável
1. As embarcações não têm emissões diretas de CO2.  _
2. Até 2026: Os reservatórios híbridos e de combustível duplo obtêm pelo menos 50% da sua energia a partir de combustíveis com emissões zero ou de energia plug-in para o seu funcionamento normal._
3. 2026 - 2030: Os navios operam abaixo uma intensidade de gases com efeito de estufa de 76,4g de CO2e/MJ. _</t>
  </si>
  <si>
    <t>Transporte de água interior de mercadorias</t>
  </si>
  <si>
    <t>A.2.8. Transporte de água interior de mercadorias</t>
  </si>
  <si>
    <t>A.2.8. Transporte aquático de mercadorias por via fluvial</t>
  </si>
  <si>
    <t>Transporte aquático de mercadorias por via fluvial</t>
  </si>
  <si>
    <t xml:space="preserve">Navios de carga em águas interiores, envolvendo navios que não são adequados para o transporte marítimo. </t>
  </si>
  <si>
    <r>
      <rPr>
        <b/>
        <sz val="8"/>
        <color rgb="FF000000"/>
        <rFont val="Santander Text"/>
      </rPr>
      <t>O que é isso?</t>
    </r>
    <r>
      <rPr>
        <sz val="8"/>
        <color rgb="FF000000"/>
        <rFont val="Santander Text"/>
      </rPr>
      <t xml:space="preserve"> </t>
    </r>
    <r>
      <rPr>
        <b/>
        <sz val="8"/>
        <color rgb="FF000000"/>
        <rFont val="Santander Text"/>
      </rPr>
      <t>Navios de carga em águas interiores</t>
    </r>
    <r>
      <rPr>
        <sz val="8"/>
        <color rgb="FF000000"/>
        <rFont val="Santander Text"/>
      </rPr>
      <t xml:space="preserve">, envolvendo navios que não são adequados para o transporte marítimo. </t>
    </r>
  </si>
  <si>
    <t>Cumpre TODOS os critérios aplicáveis  _
3. Está em conformidade com UM:
a. Barcos a energia solar, elétricos ou a Hidrogênio. 
b. Barcos à vela sem motor. 
c. Navios de transporte de água que não têm emissões diretas de CO2. _
4. Os navios de carga não transportam mais de 25% de carvão/petróleo de combustíveis fósseis.  _</t>
  </si>
  <si>
    <t>Cumpre TODOS os critérios aplicáveis  _
1. A actividade está em conformidade com as seguintes: 
a. Zero emissões diretas de CO2. 
b. Até 2026: Os navios devem ter emissões diretas de CO2 50% inferiores ao valor médio de referência para as emissões de CO2 definidas para veículos pesados de acordo com o indicador operacional de eficiência energética. 
c. 2026 - 2030: Os navios operam abaixo uma intensidade de gases com efeito de estufa de 76,4g de CO2e/MJ.  _
2. Não se dedica ao transporte de combustíveis fósseis. _</t>
  </si>
  <si>
    <t xml:space="preserve">Readaptação do transporte terrestre </t>
  </si>
  <si>
    <t xml:space="preserve">A.2.9. Readaptação do transporte terrestre </t>
  </si>
  <si>
    <t>A.2.9. Renovação do transporte aquático fluvial de passageiros e mercadorias</t>
  </si>
  <si>
    <t>Renovação do transporte aquático fluvial de passageiros e mercadorias</t>
  </si>
  <si>
    <t>Readaptação e atualização de navios para transporte de mercadorias ou passageiros em águas interiores.</t>
  </si>
  <si>
    <r>
      <rPr>
        <b/>
        <sz val="8"/>
        <color rgb="FF000000"/>
        <rFont val="Santander Text"/>
      </rPr>
      <t xml:space="preserve">O que é isso? </t>
    </r>
    <r>
      <rPr>
        <sz val="8"/>
        <color rgb="FF000000"/>
        <rFont val="Santander Text"/>
      </rPr>
      <t xml:space="preserve">Readaptação e atualização de </t>
    </r>
    <r>
      <rPr>
        <b/>
        <sz val="8"/>
        <color rgb="FF000000"/>
        <rFont val="Santander Text"/>
      </rPr>
      <t>navios para transporte de mercadorias ou passageiros em águas interiores</t>
    </r>
    <r>
      <rPr>
        <sz val="8"/>
        <color rgb="FF000000"/>
        <rFont val="Santander Text"/>
      </rPr>
      <t>.</t>
    </r>
  </si>
  <si>
    <t>Cumpre TODOS os critérios aplicáveis _
1. A atividade atinge UM dos seguintes:
a. O consumo de combustível dos navios de passageiros interiores deve ser reduzido em 15%/unidade/dia. 
b. O consumo de combustível dos navios de transporte terrestre deve ser reduzido em 15%/unidade/tonelada-km.  _
2. Não se dedica ao transporte de combustíveis fósseis. _</t>
  </si>
  <si>
    <t xml:space="preserve">Transporte marítimo e costeiro de mercadorias, navios para operações portuárias e atividades auxiliares </t>
  </si>
  <si>
    <t xml:space="preserve">A.2.10. Transporte marítimo e costeiro de mercadorias, navios para operações portuárias e atividades auxiliares </t>
  </si>
  <si>
    <t>A.2.10. Transporte marítimo e costeiro de mercadorias, embarcações para operações portuárias e atividades auxiliares</t>
  </si>
  <si>
    <t>Transporte marítimo e costeiro de mercadorias, embarcações para operações portuárias e atividades auxiliares</t>
  </si>
  <si>
    <t xml:space="preserve">Navios concebidos e equipados para o transporte de mercadorias e passageiros OU necessários para operações portuárias e atividades auxiliares. </t>
  </si>
  <si>
    <r>
      <rPr>
        <b/>
        <sz val="8"/>
        <color rgb="FF000000"/>
        <rFont val="Santander Text"/>
      </rPr>
      <t>O que é isso?</t>
    </r>
    <r>
      <rPr>
        <sz val="8"/>
        <color rgb="FF000000"/>
        <rFont val="Santander Text"/>
      </rPr>
      <t xml:space="preserve"> Navios concebidos e equipados para o </t>
    </r>
    <r>
      <rPr>
        <b/>
        <sz val="8"/>
        <color rgb="FF000000"/>
        <rFont val="Santander Text"/>
      </rPr>
      <t xml:space="preserve">transporte de mercadorias e passageiros OU necessários para operações portuárias e atividades auxiliares. </t>
    </r>
  </si>
  <si>
    <t>Cumpre TODOS os critérios aplicáveis  _
3. Está em conformidade com UM do seguinte tipos de navios:
a. Barcos a energia solar, elétricos ou a Hidrogênio. 
b. Barcos à vela sem motor. 
c. Navios de transporte de água com zero emissões diretas de CO2. _
4. Os navios de carga não transportam mais de 25% de carvão/petróleo de combustíveis fósseis. _</t>
  </si>
  <si>
    <t>Cumpre TODOS os critérios aplicáveis _.
1. Cumpre UM dos seguintes critérios:
a. Os navios não têm emissões diretas (tubo de escape)
b. Até 2026: Os navios híbridos e bicombustíveis obtêm mais de 25% da sua energia a partir de zero emissões diretas de CO2.
c. Até 2026: Quando tecnológica e economicamente inviável, navio com 50% menos do que o valor médio de referência das emissões de CO2 definido para os veículos pesados e utilizado exclusivamente para a exploração de serviços costeiros e de curta distância.
d. Até 2026: Sempre que tecnológica e economicamente inviável, atingir um EEDI 10% inferior aos requisitos EEDI aplicáveis em 1 de abril de 2022.
e. A partir de 2026: Sempre que tecnológica e economicamente inviável, se o navio for capaz de funcionar com zero emissões de combustíveis, deve reduzir 20% dos requisitos EEDI aplicáveis em 1 de abril de 2022 e:
- O navio pode ser ligado à corrente eléctrica no cais.
- Se alimentado a gás, aplicar medidas de atenuação do metano.
e. A partir de 2026: Sempre que tecnológica e economicamente não seja viável, o Índice de Eficiência Energética dos Navios Existentes (EEXI) equivalente à redução do EEDI em 10% abaixo dos requisitos EEXI até 2023 e uma média de GEE inferior a 76,4CO2e/MJ. _
2. NÃO dedicados ao transporte de combustíveis fósseis. _</t>
  </si>
  <si>
    <t xml:space="preserve">Transporte marítimo e costeiro de passageiros </t>
  </si>
  <si>
    <t xml:space="preserve">A.2.11. Transporte marítimo e costeiro de passageiros </t>
  </si>
  <si>
    <t xml:space="preserve">A.2.11. Transporte aquático marítimo e costeiro de passageiros </t>
  </si>
  <si>
    <t xml:space="preserve">Transporte aquático marítimo e costeiro de passageiros </t>
  </si>
  <si>
    <t xml:space="preserve">Compra/financiamento de navios destinados à realização do transporte de passageiros. Inclui: Operação de balsas, táxis aquáticos e excursões, cruzeiro ou barcos turísticos </t>
  </si>
  <si>
    <r>
      <rPr>
        <b/>
        <sz val="8"/>
        <color theme="1"/>
        <rFont val="Santander Text"/>
      </rPr>
      <t>O que é isso?</t>
    </r>
    <r>
      <rPr>
        <sz val="8"/>
        <color theme="1"/>
        <rFont val="Santander Text"/>
      </rPr>
      <t xml:space="preserve"> Compra/financiamento de navios destinados à realização do transporte de passageiros. Inclui: Operação de </t>
    </r>
    <r>
      <rPr>
        <b/>
        <sz val="8"/>
        <color theme="1"/>
        <rFont val="Santander Text"/>
      </rPr>
      <t xml:space="preserve">balsas, táxis aquáticos e excursões, cruzeiro ou barcos turísticos </t>
    </r>
  </si>
  <si>
    <t>Cumpre UM critério aplicável _
1. Zero emissões de CO2.  _
2. Até 2026: Os reservatórios híbridos e de combustível duplo obtêm mais de 25% da sua energia a partir de zero emissões diretas de CO2.  _
3. Até 2026: Quando tecnologicamente e economicamente não for viável, navio com 50% menor do que o valor médio de emissões de CO2 de referência definido para veículos pesados e utilizado exclusivamente para operar serviços costeiros e marítimos de curta duração. _
4. Até 2026: Quando tecnologicamente e economicamente inviável, atingiu o EEDI 10% abaixo dos requisitos de EEDI aplicáveis em 1 de Abril de 2022.  _
5. A partir de 2026: Quando tecnologicamente e economicamente não for viável, se o navio puder executar emissões zero dos combustíveis, deverá reduzir os requisitos de EEDI de 20% aplicáveis em 1 de Abril de 2022 e: 
- A embarcação é capaz de ligar-se ao cais. 
- Se alimentado a gás, implementa medidas de mitigação de metano.  _
6.  A partir de 2026: Quando tecnologicamente e economicamente não for viável, o EEXI (Energy Efficiency existing Ship Index) equivale a reduzir o EEDI a 10% abaixo dos requisitos do EEXI até 2023 e o nível médio de emissões de gases de efeito estufa 76.4CO2e/MJ. _</t>
  </si>
  <si>
    <t xml:space="preserve">Readaptação do transporte marítimo e costeiro de mercadorias e de passageiros </t>
  </si>
  <si>
    <t xml:space="preserve">A.2.12. Readaptação do transporte marítimo e costeiro de mercadorias e de passageiros </t>
  </si>
  <si>
    <t>A.2.12. Renovação do transporte aquático marítimo e costeiro de passageiros e mercadorias</t>
  </si>
  <si>
    <t>Renovação do transporte aquático marítimo e costeiro de passageiros e mercadorias</t>
  </si>
  <si>
    <t>Melhoria dos navios destinados ao transporte de mercadorias ou de passageiros e dos navios necessários às operações portuárias e às atividades auxiliares.</t>
  </si>
  <si>
    <r>
      <rPr>
        <b/>
        <sz val="8"/>
        <color rgb="FF000000"/>
        <rFont val="Santander Text"/>
      </rPr>
      <t xml:space="preserve">O que é isso? </t>
    </r>
    <r>
      <rPr>
        <sz val="8"/>
        <color rgb="FF000000"/>
        <rFont val="Santander Text"/>
      </rPr>
      <t xml:space="preserve">Melhoria dos navios destinados ao transporte </t>
    </r>
    <r>
      <rPr>
        <b/>
        <sz val="8"/>
        <color rgb="FF000000"/>
        <rFont val="Santander Text"/>
      </rPr>
      <t>de mercadorias ou de passageiros</t>
    </r>
    <r>
      <rPr>
        <sz val="8"/>
        <color rgb="FF000000"/>
        <rFont val="Santander Text"/>
      </rPr>
      <t xml:space="preserve"> e dos navios necessários </t>
    </r>
    <r>
      <rPr>
        <b/>
        <sz val="8"/>
        <color rgb="FF000000"/>
        <rFont val="Santander Text"/>
      </rPr>
      <t>às operações portuárias e às atividades auxiliares</t>
    </r>
    <r>
      <rPr>
        <sz val="8"/>
        <color rgb="FF000000"/>
        <rFont val="Santander Text"/>
      </rPr>
      <t>.</t>
    </r>
  </si>
  <si>
    <t>Cumpre UM critério aplicável  _
1. A atividade de readaptação reduz o consumo de combustível da embarcação em pelo menos 15%. _
2. Permite que os navios atinjam o valor EEXI pelo menos 10% abaixo dos requisitos aplicáveis a 1 de Janeiro de 2023 e: 
- A embarcação é capaz de ligar-se ao cais. 
- Se alimentado a gás, implementa medidas de mitigação de metano.  _</t>
  </si>
  <si>
    <t xml:space="preserve">Transporte aéreo </t>
  </si>
  <si>
    <t xml:space="preserve">Locação de aeronaves </t>
  </si>
  <si>
    <t xml:space="preserve">A.2.18. Locação de aeronaves </t>
  </si>
  <si>
    <t xml:space="preserve">Locação e locação de peças e equipamentos de aeronaves. </t>
  </si>
  <si>
    <t xml:space="preserve">O que é isso? Locação e locação de peças e equipamentos de aeronaves. </t>
  </si>
  <si>
    <t>Cumpre UM critério aplicável  _
1. Aeronaves com zero emissões diretas de CO2.  _
2. Se entregue antes de 2024: Deve cumprir o seguinte até 2028 (a partir de 2028, a aeronave está certificada para operar com 100% de mistura de combustíveis para aviação sustentáveis):
[TABLE A.2.18] _
3. Se entregue depois de 2024: Deve cumprir os critérios de "fabrico de aeronaves" e com o compromisso de que outra aeronave não conforme seja retirada permanentemente no prazo de 6 mês a contar da data de entrega da primeira. _</t>
  </si>
  <si>
    <t xml:space="preserve">Transporte aéreo de passageiros e mercadorias </t>
  </si>
  <si>
    <t xml:space="preserve">A.2.19. Transporte aéreo de passageiros e mercadorias </t>
  </si>
  <si>
    <t xml:space="preserve">A.2.19.  Transporte aéreo de passageiros e mercadorias </t>
  </si>
  <si>
    <t xml:space="preserve">Compra, financiamento e exploração de aeronaves, incluindo o transporte de passageiros e mercadorias. </t>
  </si>
  <si>
    <r>
      <rPr>
        <b/>
        <sz val="8"/>
        <color rgb="FF000000"/>
        <rFont val="Santander Text"/>
      </rPr>
      <t>O que é isso?</t>
    </r>
    <r>
      <rPr>
        <sz val="8"/>
        <color rgb="FF000000"/>
        <rFont val="Santander Text"/>
      </rPr>
      <t xml:space="preserve"> Compra, financiamento e exploração de aeronaves, </t>
    </r>
    <r>
      <rPr>
        <b/>
        <sz val="8"/>
        <color rgb="FF000000"/>
        <rFont val="Santander Text"/>
      </rPr>
      <t xml:space="preserve">incluindo o transporte de passageiros e mercadorias. </t>
    </r>
  </si>
  <si>
    <t>Cumpre TODOS os critérios aplicáveis  _
5. O SAF mínimo partilha 5% em 2022 e aumenta a taxa em 2%._
6. Aviões híbridos para transporte de mercadorias ou pequenas distâncias. _
7. O principal objetivo não é o transporte de combustíveis fósseis.  _</t>
  </si>
  <si>
    <t>Cumpre UM critério aplicável  _
1. Aeronaves com zero emissões diretas de CO2.  _
2. Se entregue antes de 2024: Deve cumprir o seguinte até 2028 (a partir de 2028, a aeronave está certificada para operar com 100% de mistura de combustíveis para aviação sustentáveis): 
[Table A.2.19] _
3. Se entregue depois de 2024: Deve cumprir os critérios de "fabrico de aeronaves" e com o compromisso de que outra aeronave não conforme seja retirada permanentemente no prazo de 6 mês a contar da data de entrega da primeira. _
4. Depois de 2030: Operou com uma quota de 15% dos combustíveis para a aviação sustentável (FAS) e aumentou a taxa apenas em 2%. _</t>
  </si>
  <si>
    <t xml:space="preserve">Operações de transporte aéreo em terra </t>
  </si>
  <si>
    <t xml:space="preserve">A.2.20. Operações de transporte aéreo em terra </t>
  </si>
  <si>
    <t xml:space="preserve">Fabricação, reparação, manutenção, readaptação de equipamentos e atividades de serviço incidentais ao transporte aéreo. </t>
  </si>
  <si>
    <r>
      <rPr>
        <b/>
        <sz val="8"/>
        <color rgb="FF000000"/>
        <rFont val="Santander Text"/>
      </rPr>
      <t xml:space="preserve">O que é isso? </t>
    </r>
    <r>
      <rPr>
        <sz val="8"/>
        <color rgb="FF000000"/>
        <rFont val="Santander Text"/>
      </rPr>
      <t xml:space="preserve">Fabricação, reparação, manutenção, readaptação de equipamentos e atividades de serviço incidentais ao transporte aéreo. </t>
    </r>
  </si>
  <si>
    <t>Cumpre TODOS os critérios aplicáveis  _
1. Os veículos de condução em solo zero direcionam as emissões de CO2.  _
2. A propulsão de todos os dispositivos e equipamentos de movimentação em terra vem de um motor de zero emissões. _</t>
  </si>
  <si>
    <t>Infra-estrutura de transporte</t>
  </si>
  <si>
    <t xml:space="preserve">Mobilidade pessoal, logística de ciclo </t>
  </si>
  <si>
    <t xml:space="preserve">A.2.13. Mobilidade pessoal, logística de ciclo </t>
  </si>
  <si>
    <t xml:space="preserve">A.2.13. Infraestrutura para mobilidade pessoal, logística de ciclo </t>
  </si>
  <si>
    <t xml:space="preserve">Infraestrutura para mobilidade pessoal, logística de ciclo </t>
  </si>
  <si>
    <t xml:space="preserve">Construção, atualização, manutenção e operação de infraestruturas para mobilidade pessoal. </t>
  </si>
  <si>
    <r>
      <rPr>
        <b/>
        <sz val="8"/>
        <color rgb="FF000000"/>
        <rFont val="Santander Text"/>
      </rPr>
      <t xml:space="preserve">O que é isso? </t>
    </r>
    <r>
      <rPr>
        <sz val="8"/>
        <color rgb="FF000000"/>
        <rFont val="Santander Text"/>
      </rPr>
      <t xml:space="preserve">Construção, atualização, manutenção e operação de </t>
    </r>
    <r>
      <rPr>
        <b/>
        <sz val="8"/>
        <color rgb="FF000000"/>
        <rFont val="Santander Text"/>
      </rPr>
      <t xml:space="preserve">infraestruturas para mobilidade pessoal. </t>
    </r>
  </si>
  <si>
    <t>Cumpre TODOS os critérios aplicáveis  _
1. A infraestrutura que é construída e operada é dedicada à mobilidade pessoal ativa, pessoal ou logística de ciclo.  _</t>
  </si>
  <si>
    <t xml:space="preserve">Transportes rodoviários de baixo carbono e transportes públicos </t>
  </si>
  <si>
    <t xml:space="preserve">A.2.15. Transportes rodoviários de baixo carbono e transportes públicos </t>
  </si>
  <si>
    <t xml:space="preserve">A.2.15. Infra-estruturas que permitem o transporte rodoviário de baixo carbono e os transportes públicos </t>
  </si>
  <si>
    <t xml:space="preserve">Infra-estruturas que permitem o transporte rodoviário de baixo carbono e os transportes públicos </t>
  </si>
  <si>
    <t>Construção, atualização, manutenção e operação de infraestruturas necessárias para a operação de emissões zero de CO2 no transporte rodoviário, transbordo ou transporte urbano.</t>
  </si>
  <si>
    <r>
      <rPr>
        <b/>
        <sz val="8"/>
        <color rgb="FF000000"/>
        <rFont val="Santander Text"/>
      </rPr>
      <t xml:space="preserve">O que é isso? </t>
    </r>
    <r>
      <rPr>
        <sz val="8"/>
        <color rgb="FF000000"/>
        <rFont val="Santander Text"/>
      </rPr>
      <t>Construção, atualização, manutenção e operação de infraestruturas necessárias para a operação de emissões zero de CO2 no transporte rodoviário, transbordo ou transporte urbano.</t>
    </r>
  </si>
  <si>
    <t>Cumpre TODOS os critérios aplicáveis _.
1. Cumpre UM ou mais dos critérios aplicáveis _
a. Dedicado ao funcionamento de veículos com emissões de CO2 de escape zero (pontos de carregamento elétrico, melhoramentos na ligação à rede eléctrica, estações de abastecimento de hidrogénio ou sistemas rodoviários eléctricos (ERS)).
b. Dedicado ao transbordo de mercadorias entre diferentes modos de transporte (infra-estruturas e superestruturas para carga, descarga e transbordo)
c. Dedicadas ao transporte público urbano e suburbano de passageiros (incluindo sistemas de sinalização associados para sistemas de metro, elétrico e comboio)
2. Não dedicados ao transporte ou armazenamento de combustíveis fósseis.</t>
  </si>
  <si>
    <t xml:space="preserve">Infra-estrutura de transporte de água </t>
  </si>
  <si>
    <t xml:space="preserve">A.2.16. Infra-estrutura de transporte de água </t>
  </si>
  <si>
    <t xml:space="preserve">A.2.16. Infraestrutura que permite o transporte aquático de baixo carbono </t>
  </si>
  <si>
    <t xml:space="preserve">Infraestrutura que permite o transporte aquático de baixo carbono </t>
  </si>
  <si>
    <t xml:space="preserve">Construção, modernização, manutenção e exploração de infraestruturas necessárias para a operação zero de CO2 das embarcações ou das operações dos portos. </t>
  </si>
  <si>
    <r>
      <rPr>
        <b/>
        <sz val="8"/>
        <color rgb="FF000000"/>
        <rFont val="Santander Text"/>
      </rPr>
      <t>O que é isso?</t>
    </r>
    <r>
      <rPr>
        <sz val="8"/>
        <color rgb="FF000000"/>
        <rFont val="Santander Text"/>
      </rPr>
      <t xml:space="preserve"> Construção, modernização, manutenção e exploração de infraestruturas necessárias para a operação zero de CO2 das embarcações ou das operações dos portos. </t>
    </r>
  </si>
  <si>
    <t>Cumpre TODOS os critérios aplicáveis  _
1. Está em conformidade com UM do seguinte:
a. Dedicada à operação de navios com zero emissões diretas de CO2. 
b. Dedicada ao fornecimento de energia elétrica no lado da costa.
c. Dedicado ao desempenho das operações do porto (zero CO2). 
d. Dedicado ao transporte de mercadorias entre os modos . _
3. O principal objetivo (mais de 25% de participação) não é o transporte de combustíveis fósseis.  _</t>
  </si>
  <si>
    <t>Cumpre UN ou mais dos critérios aplicáveis  _
1. Está em conformidade com UM do seguinte:
a. Dedicada à operação de navios com zero emissões diretas de CO2. 
b. Dedicada ao fornecimento de energia elétrica no lado da costa.
c. Dedicado ao desempenho das operações do porto (zero CO2). 
d. Dedicado ao transporte de mercadorias entre os modos . _
2. Não se dedica ao transporte/armazenamento de combustíveis fósseis. _</t>
  </si>
  <si>
    <t xml:space="preserve">Infra-estrutura aeroportuária </t>
  </si>
  <si>
    <t xml:space="preserve">A.2.17. Infra-estrutura aeroportuária </t>
  </si>
  <si>
    <t xml:space="preserve">A.2.17. Infraestrutura aeroportuária de baixo carbono </t>
  </si>
  <si>
    <t xml:space="preserve">Infraestrutura aeroportuária de baixo carbono </t>
  </si>
  <si>
    <t xml:space="preserve">Construção, atualização, manutenção e operação de infraestrutura necessária para operação de CO2 zero de aeronaves ou operações do aeroporto, bem como energia elétrica fixa ou ar pré-condicionado para aeronaves estacionárias. </t>
  </si>
  <si>
    <r>
      <rPr>
        <b/>
        <sz val="8"/>
        <color rgb="FF000000"/>
        <rFont val="Santander Text"/>
      </rPr>
      <t>O que é isso?</t>
    </r>
    <r>
      <rPr>
        <sz val="8"/>
        <color rgb="FF000000"/>
        <rFont val="Santander Text"/>
      </rPr>
      <t xml:space="preserve"> Construção, atualização, manutenção e operação de infraestrutura necessária para operação de CO2 zero de aeronaves ou operações do aeroporto, bem como energia elétrica fixa ou ar pré-condicionado para aeronaves estacionárias. </t>
    </r>
  </si>
  <si>
    <t>Cumpre UN ou mais dos critérios aplicáveis  _
1. A infraestrutura dedicada a UM deles é o seguinte: 
a. Emissões zero de CO2 nos aviões. 
b. Energia elétrica fixa à terra / ar pré-condicionado para aeronaves estacionárias. 
c. Desempenho zero das emissões de CO2 das operações do aeroporto. 
d. Dedicada ao transporte de mercadorias com transporte ferroviário e de água (infraestruturas terminais e superestruturas para carregamento, descarregamento e transbordo de mercadorias).  _
2. Não se dedica ao transporte/armazenamento de combustíveis fósseis. _</t>
  </si>
  <si>
    <t xml:space="preserve">Transporte ferroviário </t>
  </si>
  <si>
    <t xml:space="preserve">A.2.14. Transporte ferroviário </t>
  </si>
  <si>
    <t xml:space="preserve">A.2.14. Infra-estruturas para o transporte ferroviário </t>
  </si>
  <si>
    <t xml:space="preserve">Infra-estruturas para o transporte ferroviário </t>
  </si>
  <si>
    <t xml:space="preserve">Construção, atualização, manutenção e operação de ferrovias, Metrôs e infraestruturas civis e de segurança </t>
  </si>
  <si>
    <r>
      <rPr>
        <b/>
        <sz val="8"/>
        <color rgb="FF000000"/>
        <rFont val="Santander Text"/>
      </rPr>
      <t xml:space="preserve">O que é isso?  </t>
    </r>
    <r>
      <rPr>
        <sz val="8"/>
        <color rgb="FF000000"/>
        <rFont val="Santander Text"/>
      </rPr>
      <t xml:space="preserve">Construção, atualização, manutenção e operação de ferrovias, metrôs e infraestruturas civis e de segurança </t>
    </r>
  </si>
  <si>
    <t>Cumpre TODOS os critérios aplicáveis  _
5. Desenvolvimento/melhoria da infra-estrutura ferroviária. _
6. O principal objetivo (mais de 25% de participação) não é o transporte de combustíveis fósseis. _</t>
  </si>
  <si>
    <t>Cumpre TODOS os critérios aplicáveis  _
1. Infraestrutura ou subsistema de via eletrificada. _
2. Infra-estruturas e instalações dedicadas ao transporte de mercadorias ou transporte de passageiros._
3. Ferramentas digitais para permitir um aumento na eficiência, capacidade ou economia de energia. _
4. Não se dedica ao transporte de combustíveis fósseis. _</t>
  </si>
  <si>
    <t xml:space="preserve">Veículos movidos a hidrogénio </t>
  </si>
  <si>
    <t xml:space="preserve">Veículos movidos a hidrogênio </t>
  </si>
  <si>
    <t xml:space="preserve">A.2.21. Veículos movidos a hidrogênio </t>
  </si>
  <si>
    <t xml:space="preserve">A.2.21. Veículos movidos a hidrogénio </t>
  </si>
  <si>
    <t>Cumpre TODOS os critérios aplicáveis  _
1. Veículos movidos a hidrogênio (hidrogênio verde e azul)  _
2. O principal objetivo não é o transporte de combustíveis fósseis.  _</t>
  </si>
  <si>
    <t>Real Estate</t>
  </si>
  <si>
    <t xml:space="preserve">Construção de novos edifícios </t>
  </si>
  <si>
    <t xml:space="preserve">Espanha - Construção de edifícios residenciais </t>
  </si>
  <si>
    <t xml:space="preserve">3.1.1.1. Espanha - Construção de edifícios residenciais </t>
  </si>
  <si>
    <t xml:space="preserve">A.3.1.1.1. Construção de novos edifícios residenciais  em Espanha </t>
  </si>
  <si>
    <t xml:space="preserve">Construção de novos edifícios residenciais  em Espanha </t>
  </si>
  <si>
    <t xml:space="preserve">Projetos de construção para edifícios residenciais com vista a vendê-los. </t>
  </si>
  <si>
    <r>
      <rPr>
        <b/>
        <sz val="8"/>
        <color rgb="FF000000"/>
        <rFont val="Santander Text"/>
      </rPr>
      <t>O que é isso?</t>
    </r>
    <r>
      <rPr>
        <sz val="8"/>
        <color rgb="FF000000"/>
        <rFont val="Santander Text"/>
      </rPr>
      <t xml:space="preserve"> Projetos de construção para edifícios residenciais com vista a vendê-los. 
</t>
    </r>
    <r>
      <rPr>
        <b/>
        <sz val="8"/>
        <color rgb="FF000000"/>
        <rFont val="Santander Text"/>
      </rPr>
      <t xml:space="preserve">O que não é? </t>
    </r>
    <r>
      <rPr>
        <sz val="8"/>
        <color rgb="FF000000"/>
        <rFont val="Santander Text"/>
      </rPr>
      <t xml:space="preserve">Qualquer edifício maior que 5 000 m2 ou local fora de Espanha </t>
    </r>
  </si>
  <si>
    <r>
      <rPr>
        <sz val="8"/>
        <color theme="1"/>
        <rFont val="Anta"/>
      </rPr>
      <t xml:space="preserve">Cumpre UM critério aplicável _
4. Novos edifícios disponibilizam UM dos seguintes certificados:
</t>
    </r>
    <r>
      <rPr>
        <sz val="8"/>
        <color rgb="FFFF0000"/>
        <rFont val="Anta"/>
      </rPr>
      <t>a.</t>
    </r>
    <r>
      <rPr>
        <sz val="8"/>
        <color theme="1"/>
        <rFont val="Anta"/>
      </rPr>
      <t xml:space="preserve"> Top 15% de eficiência energética do parque imobiliário nacional ou regional.
- C ou superior em Andaluzia, Aragão, Baleares, Castela e Leão, Castela-La Mancha, Ceuta, Galiza, Madrid, Melilha, Navarra, La Rioja
- D ou superior nas Astúrias, Canárias, Cantábria, Catalunha, Estremadura, Múrcia, País Basco, Valência
b. LEED (Gold ou superior)
c. BREEAM (Excellent ou superior, sendo “Very Good” aceitável com uma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</si>
  <si>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atual/esperada de um dos seguintes certificados:
a. HQE SB v4. Certification
b. </t>
    </r>
    <r>
      <rPr>
        <sz val="8"/>
        <color rgb="FFFF0000"/>
        <rFont val="Santander Text"/>
      </rPr>
      <t>PED que é 10% inferior ao</t>
    </r>
    <r>
      <rPr>
        <sz val="8"/>
        <color rgb="FF000000"/>
        <rFont val="Santander Text"/>
      </rPr>
      <t xml:space="preserve"> Net Zero Energy Building Certification™ (NZEB)
c. Low-Carbon Buildings Climate Bond Initiative (CBI) Certification _
2. Cumpre com os limiares e pontuações estabelecidos de acordo com a região de construção e a zona climática dos edifícios (ver tabela abaixo):
[TABLE A.3.1.1.1.] _
</t>
    </r>
    <r>
      <rPr>
        <sz val="8"/>
        <color rgb="FFFF0000"/>
        <rFont val="Santander Text"/>
      </rPr>
      <t>2.1.  Os edifícios com mais de 5 000 m2 devem ser submetidos a controlos de estanquidade ao ar e divulgar o PAG do ciclo de vida aos investidores e clientes</t>
    </r>
    <r>
      <rPr>
        <sz val="8"/>
        <color rgb="FF000000"/>
        <rFont val="Santander Text"/>
      </rPr>
      <t>._
3. Cumpre TODOS os critérios de Economia Circular:
- Identificação, separação, processamento, gestão, recolha e reciclagem de resíduos (taxa de 90%) utilizando sistemas de triagem e auditorias de pré-demolição.
- O ciclo de vida do GWP da Building foi calculado e divulgado às partes interessadas, mediante pedido.
- Projeto comprovado de adaptabilidade do quadro de relatórios de nível 2 da UE.
- Uso de materiais secundários e medidos com ferramentas eletrónicas.
      - Betão/ Vidro/ Tijolo / Cerâmica : max. matéria-prima primária de 70%
      - Base biológica: Máx. matéria-prima primária de 80%
      - Plástico não bio-baseado: Max matéria-prima primária de 50%
      - Metais: Max matéria-prima primária de 30%
      - Gesso: Max. matéria-prima primária de 30%
- ISO 22057:2022 Declaração ambiental do produto. _</t>
    </r>
  </si>
  <si>
    <t>7) Energia acessível e limpa
9) Indústria, inovação e infraestrutura
11) Cidades e comunidades sustentáveis</t>
  </si>
  <si>
    <t xml:space="preserve">Espanha - Construção de edifícios comerciais </t>
  </si>
  <si>
    <t xml:space="preserve">3.1.1.2.  Espanha - Construção de edifícios comerciais </t>
  </si>
  <si>
    <t xml:space="preserve">A.3.1.1.2. Construção de novos edifícios comerciais em Espanha </t>
  </si>
  <si>
    <t xml:space="preserve">Construção de novos edifícios comerciais em Espanha </t>
  </si>
  <si>
    <t xml:space="preserve">Projetos de construção para edifícios não residenciais com vista a vendê-los. </t>
  </si>
  <si>
    <r>
      <rPr>
        <b/>
        <sz val="8"/>
        <color rgb="FF000000"/>
        <rFont val="Santander Text"/>
      </rPr>
      <t xml:space="preserve">O que é isso? </t>
    </r>
    <r>
      <rPr>
        <sz val="8"/>
        <color rgb="FF000000"/>
        <rFont val="Santander Text"/>
      </rPr>
      <t xml:space="preserve">Projetos de construção para edifícios não residenciais com vista a vendê-los 
</t>
    </r>
    <r>
      <rPr>
        <b/>
        <sz val="8"/>
        <color rgb="FF000000"/>
        <rFont val="Santander Text"/>
      </rPr>
      <t xml:space="preserve">O que não é? </t>
    </r>
    <r>
      <rPr>
        <sz val="8"/>
        <color rgb="FF000000"/>
        <rFont val="Santander Text"/>
      </rPr>
      <t xml:space="preserve">Qualquer edifício com menos de 5 000 m2 ou local fora de Espanha </t>
    </r>
  </si>
  <si>
    <r>
      <rPr>
        <sz val="8"/>
        <color theme="1"/>
        <rFont val="Anta"/>
      </rPr>
      <t xml:space="preserve">Cumpre UM critério aplicável _
4. Novos edifícios disponibilizam UM dos seguintes certificados:
a. Top 15% de eficiência energética do parque imobiliário nacional ou regional.
- C ou superior na Andaluzia, Aragão, Baleares, Castela e Leão, Castela-La Mancha, Ceuta, Galiza, Madrid, Melilha, Navarra, La Rioja.
- D ou superior nas Astúrias, Canárias, Cantábria, Catalunha, Estremadura, Múrcia, País Basco, Valência.
b. LEED (Gold ou superior)
c. BREEAM (Excellent ou superior, sendo “Very Good” aceitável com uma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2021_</t>
    </r>
  </si>
  <si>
    <r>
      <rPr>
        <sz val="8"/>
        <color rgb="FF000000"/>
        <rFont val="Santander Text"/>
      </rPr>
      <t xml:space="preserve">Cumpre UM critério aplicável
1. Obtenção atual/prevista de UM dos seguintes certificados:
a. Certificação HQE SB v4. 
b. </t>
    </r>
    <r>
      <rPr>
        <sz val="8"/>
        <color rgb="FFFF0000"/>
        <rFont val="Santander Text"/>
      </rPr>
      <t>PED que é 10% inferior ao</t>
    </r>
    <r>
      <rPr>
        <sz val="8"/>
        <color rgb="FF000000"/>
        <rFont val="Santander Text"/>
      </rPr>
      <t xml:space="preserve"> certificação Net Zero Energy Building Certification™ (NZEB) 
c. Certificação da Climate Bond Initiative (CBI) para edifícios de baixo carbono _
2. Cumpre os limiares e pontuações estabelecidos de acordo com a região de construção e zona climática do edifício (ver tabela abaixo). PED real não modelado: 
[TABELA A.3.1.1.2.] 
</t>
    </r>
    <r>
      <rPr>
        <sz val="8"/>
        <color rgb="FFFF0000"/>
        <rFont val="Santander Text"/>
      </rPr>
      <t xml:space="preserve">Para edifícios com mais de 5.000 m2, é necessário verificar a existência de desvios na estanquidade ao ar e na integridade térmica; os cálculos do PAG do ciclo de vida são comunicados às partes interessadas. _
</t>
    </r>
    <r>
      <rPr>
        <sz val="8"/>
        <color rgb="FF000000"/>
        <rFont val="Santander Text"/>
      </rPr>
      <t xml:space="preserve">
3. Cumpre TODOS os critérios da economia circular:
- Identificação, separação, processamento, gestão, recolha e reciclagem de resíduos (taxa de 90%) utilizando sistemas de triagem e auditorias de pré-demolição.
-Cálculo do GWP do ciclo de vida do edifício e divulgação às partes interessadas, mediante pedido.
-Adaptabilidade comprovada do quadro de comunicação de nível 2 da UE.
-Utilização e medição de materiais secundários com ferramentas electrónicas. 
 -Betão/vidro/tijolo/cerâmica: máx. 70% de matéria-prima primária.
 -Bio-base: max. 80% de matéria-prima primária.
 -Plástico não biológico: máx. 50% de matéria-prima primária.
  -Metais: máx. 30% de matéria-prima primária.
 -Gesso: máx. 65% de matéria-prima primária.
-ISO 22057:2022 Declaração ambiental do produto _</t>
    </r>
  </si>
  <si>
    <t xml:space="preserve">Portugal - Construção de edifícios residenciais </t>
  </si>
  <si>
    <t xml:space="preserve">3.1.2.1.  Portugal - Construção de edifícios residenciais </t>
  </si>
  <si>
    <t xml:space="preserve">A.3.1.2.1. Construção de novos edifícios residenciais em Portugal </t>
  </si>
  <si>
    <t xml:space="preserve">Construção de novos edifícios residenciais em Portugal </t>
  </si>
  <si>
    <r>
      <rPr>
        <b/>
        <sz val="8"/>
        <color rgb="FF000000"/>
        <rFont val="Santander Text"/>
      </rPr>
      <t xml:space="preserve">O que é isso? </t>
    </r>
    <r>
      <rPr>
        <sz val="8"/>
        <color rgb="FF000000"/>
        <rFont val="Santander Text"/>
      </rPr>
      <t xml:space="preserve">Projetos de construção para edifícios residenciais com vista a vendê-los .
</t>
    </r>
    <r>
      <rPr>
        <b/>
        <sz val="8"/>
        <color rgb="FF000000"/>
        <rFont val="Santander Text"/>
      </rPr>
      <t>O que não é?</t>
    </r>
    <r>
      <rPr>
        <sz val="8"/>
        <color rgb="FF000000"/>
        <rFont val="Santander Text"/>
      </rPr>
      <t xml:space="preserve"> Qualquer edifício com mais de 5 000 m2 ou local fora de Portugal.</t>
    </r>
  </si>
  <si>
    <r>
      <rPr>
        <sz val="8"/>
        <color theme="1"/>
        <rFont val="Anta"/>
      </rPr>
      <t xml:space="preserve">Cumpre UM critério aplicável _
4. Novos edifícios disponibilizam UM dos seguintes certificados:
a. Top 15% de eficiência energética do parque imobiliário nacional ou regional (EPC B ou superior)
b. LEED (Gold ou superior)
c. BREEAM (Excellent ou superior, sendo “Very Good” aceitável com uma pontuação mínima de 70% na categoria Energia)
d. Certificação DGNB (Gold ou superior)
e. EDGE (Advanced ou Zero Carbon)
f. Passivhaus (Classic ou superior)
g. Home Quality Mark (4 estrelas ou superior)
h. NABERS (4,5 estrelas ou superior)
i. PBE Edificia (classificação ENCE B)
j. Lider A (nível C ou superior, desde que cumpra o Top 15%)
k. Adene – Certificação de eficiência energética e qualidade do ar (SCE – classificação A ou superior, desde que represente os 15% mais eficientes)
l. Austin Energy Green Buildings
m. BEAM Plus
n. SCE
o. CCS CASA Colômbia
p. Green Building Initiative
q. WELL
</t>
    </r>
    <r>
      <rPr>
        <sz val="8"/>
        <color rgb="FFFF0000"/>
        <rFont val="Anta"/>
      </rPr>
      <t>r. Phius CORE 2021 _</t>
    </r>
  </si>
  <si>
    <r>
      <rPr>
        <sz val="8"/>
        <color rgb="FF000000"/>
        <rFont val="Santander Text"/>
      </rPr>
      <t xml:space="preserve">Cumpre UM critério aplicável  _
1. Obtenção atual/esperada de um dos seguintes certificados:
a. HQE SB v4. Certification
b. </t>
    </r>
    <r>
      <rPr>
        <sz val="8"/>
        <color rgb="FFFF0000"/>
        <rFont val="Santander Text"/>
      </rPr>
      <t>PED que é 10% inferior ao</t>
    </r>
    <r>
      <rPr>
        <sz val="8"/>
        <color rgb="FF000000"/>
        <rFont val="Santander Text"/>
      </rPr>
      <t xml:space="preserve"> Net Zero Energy Building Certification™ (NZEB)
c. Low-Carbon Buildings Climate Bond Initiative (CBI) Certification _
2. Novos edifícios com RNT abaixo </t>
    </r>
    <r>
      <rPr>
        <sz val="8"/>
        <color rgb="FFFF0000"/>
        <rFont val="Santander Text"/>
      </rPr>
      <t>0,45</t>
    </r>
    <r>
      <rPr>
        <sz val="8"/>
        <color rgb="FF000000"/>
        <rFont val="Santander Text"/>
      </rPr>
      <t xml:space="preserve"> real, não modelado. _
</t>
    </r>
    <r>
      <rPr>
        <sz val="8"/>
        <color rgb="FFFF0000"/>
        <rFont val="Santander Text"/>
      </rPr>
      <t xml:space="preserve">Para edifícios com mais de 5.000 m2, é necessário verificar a existência de desvios na estanquidade ao ar e na integridade térmica; os cálculos do PAG do ciclo de vida são comunicados às partes interessadas.
3. Cumpre TODOS os critérios da economia circular:
- Identificação, separação, processamento, gestão, recolha e reciclagem de resíduos (taxa de 90%) utilizando sistemas de triagem e auditorias pré-demolição.
-Cálculo do GWP do ciclo de vida do edifício e divulgação às partes interessadas, mediante pedido.
-Adaptabilidade comprovada do quadro de comunicação de nível 2 da UE.
-Utilização e medição de materiais secundários com ferramentas electrónicas. 
-Betão/vidro/tijolo/cerâmica: máx. 70% de matéria-prima primária.
-Bio-base: max. 80% de matéria-prima primária.
-Plástico não biológico: máx. 50% de matéria-prima primária.
-Metais: máx. 30% de matéria-prima primária.
-Gesso: máx. 65% de matéria-prima primária.
- ISO 22057:2022. Declaração ambiental do produto </t>
    </r>
    <r>
      <rPr>
        <sz val="8"/>
        <color rgb="FF000000"/>
        <rFont val="Santander Text"/>
      </rPr>
      <t>_</t>
    </r>
  </si>
  <si>
    <t xml:space="preserve">Portugal - Construção de edifícios comerciais </t>
  </si>
  <si>
    <t xml:space="preserve">3.1.2.2. Portugal - Construção de edifícios comerciais </t>
  </si>
  <si>
    <t xml:space="preserve">A.3.1.2.2. Construção de novos edifícios comerciais em Portugal </t>
  </si>
  <si>
    <t xml:space="preserve">Construção de novos edifícios comerciais em Portugal 
</t>
  </si>
  <si>
    <r>
      <rPr>
        <b/>
        <sz val="8"/>
        <color rgb="FF000000"/>
        <rFont val="Santander Text"/>
      </rPr>
      <t>O que é isso?</t>
    </r>
    <r>
      <rPr>
        <sz val="8"/>
        <color rgb="FF000000"/>
        <rFont val="Santander Text"/>
      </rPr>
      <t xml:space="preserve"> Projetos de construção para edifícios não residenciais com vista a vendê-los. 
</t>
    </r>
    <r>
      <rPr>
        <b/>
        <sz val="8"/>
        <color rgb="FF000000"/>
        <rFont val="Santander Text"/>
      </rPr>
      <t>O que não é?</t>
    </r>
    <r>
      <rPr>
        <sz val="8"/>
        <color rgb="FF000000"/>
        <rFont val="Santander Text"/>
      </rPr>
      <t xml:space="preserve"> Qualquer edifício com menos de 5 000 m2 ou local fora de Portugal. </t>
    </r>
  </si>
  <si>
    <r>
      <rPr>
        <sz val="8"/>
        <color rgb="FF000000"/>
        <rFont val="Santander Text"/>
      </rPr>
      <t xml:space="preserve">Cumpre UM critério aplicável  _
1. Obtenção atual/esperada de um dos seguintes certificados:
a. HQE SB v4. Certification
b. </t>
    </r>
    <r>
      <rPr>
        <sz val="8"/>
        <color rgb="FFFF0000"/>
        <rFont val="Santander Text"/>
      </rPr>
      <t>PED que é 10% inferior ao</t>
    </r>
    <r>
      <rPr>
        <sz val="8"/>
        <color rgb="FF000000"/>
        <rFont val="Santander Text"/>
      </rPr>
      <t xml:space="preserve"> Net Zero Energy Building Certification™ (NZEB)
c. Low-Carbon Buildings Climate Bond Initiative (CBI) Certification _
2.
- Novos edifícios com Real, não modelado, RIEE abaixo </t>
    </r>
    <r>
      <rPr>
        <sz val="8"/>
        <color rgb="FFFF0000"/>
        <rFont val="Santander Text"/>
      </rPr>
      <t>0,675</t>
    </r>
    <r>
      <rPr>
        <sz val="8"/>
        <color rgb="FF000000"/>
        <rFont val="Santander Text"/>
      </rPr>
      <t xml:space="preserve"> .
- Os desvios de impermeabilidade e integridade térmica, assim como os cálculos de GWP do ciclo de vida são comunicados às partes. _
</t>
    </r>
    <r>
      <rPr>
        <sz val="8"/>
        <color rgb="FFFF0000"/>
        <rFont val="Santander Text"/>
      </rPr>
      <t>3. Cumpre TODOS os critérios da economia circular:
- Identificação, separação, processamento, gestão, recolha e reciclagem de resíduos (taxa de 90%) utilizando sistemas de triagem e auditorias pré-demolição.
-Cálculo do GWP do ciclo de vida do edifício e divulgação às partes interessadas, mediante pedido.
-Adaptabilidade comprovada do quadro de comunicação de nível 2 da UE.
-Utilização e medição de materiais secundários com ferramentas electrónicas. 
-Betão/vidro/tijolo/cerâmica: máx. 70% de matéria-prima primária.
-Bio-base: max. 80% de matéria-prima primária.
-Plástico não biológico: máx. 50% de matéria-prima primária.
-Metais: máx. 30% de matéria-prima primária.
-Gesso: máx. 65% de matéria-prima primária.
-ISO 22057:2022.  Declaração ambiental do produto _</t>
    </r>
  </si>
  <si>
    <t xml:space="preserve">Polônia - Construção de edifícios residenciais </t>
  </si>
  <si>
    <t xml:space="preserve">3.1.3.1.  Polônia - Construção de edifícios residenciais </t>
  </si>
  <si>
    <t xml:space="preserve">A.3.1.3.1. Construção de novos edifícios residenciais em Polônia </t>
  </si>
  <si>
    <t xml:space="preserve">Construção de novos edifícios residenciais em Polônia </t>
  </si>
  <si>
    <r>
      <rPr>
        <b/>
        <sz val="8"/>
        <color rgb="FF000000"/>
        <rFont val="Santander Text"/>
      </rPr>
      <t>O que é isso?</t>
    </r>
    <r>
      <rPr>
        <sz val="8"/>
        <color rgb="FF000000"/>
        <rFont val="Santander Text"/>
      </rPr>
      <t xml:space="preserve"> Projetos de construção para edifícios residenciais com vista a vendê-los. 
</t>
    </r>
    <r>
      <rPr>
        <b/>
        <sz val="8"/>
        <color rgb="FF000000"/>
        <rFont val="Santander Text"/>
      </rPr>
      <t xml:space="preserve">O que não é? </t>
    </r>
    <r>
      <rPr>
        <sz val="8"/>
        <color rgb="FF000000"/>
        <rFont val="Santander Text"/>
      </rPr>
      <t xml:space="preserve">Qualquer edifício maior que 5 000 m2 ou local fora da Polônia. </t>
    </r>
  </si>
  <si>
    <r>
      <rPr>
        <sz val="8"/>
        <color theme="1"/>
        <rFont val="Anta"/>
      </rPr>
      <t xml:space="preserve">Cumpre UM critério aplicável _
4. Novos edifícios disponibilizam UM dos seguintes certificados:
a. Top 15% de eficiência energética do parque imobiliário nacional ou regional (PED).
b. LEED (Gold ou superior)
c. BREEAM (Excellent ou superior, sendo “Very Good” aceitável com uma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</si>
  <si>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atual/esperada de um dos seguintes certificados:
a. HQE SB v4. Certification
b. </t>
    </r>
    <r>
      <rPr>
        <sz val="8"/>
        <color rgb="FFFF0000"/>
        <rFont val="Santander Text"/>
      </rPr>
      <t>PED que é 10% inferior ao</t>
    </r>
    <r>
      <rPr>
        <sz val="8"/>
        <color rgb="FF000000"/>
        <rFont val="Santander Text"/>
      </rPr>
      <t xml:space="preserve"> Net Zero Energy Building Certification™ (NZEB)
c. Low-Carbon Buildings Climate Bond Initiative (CBI) Certification _
2. Real, não modelado Primary Energy Demand (PED) abaixo 63/kWh/m2/ano</t>
    </r>
    <r>
      <rPr>
        <sz val="8"/>
        <color rgb="FFFF0000"/>
        <rFont val="Santander Text"/>
      </rPr>
      <t xml:space="preserve"> para imóveis residenciais unifamiliares; 58,5 kWh/m2/ano para imóveis residenciais multifamiliares; 67,5 kWh/m2/ano para edifícios de habitação colectiva. _
- Para edifícios com mais de 5 000 m2, os desvios de estanquidade ao ar e de integridade térmica, bem como os cálculos do PAG do ciclo de vida, são comunicados às partes interessadas._
</t>
    </r>
    <r>
      <rPr>
        <sz val="8"/>
        <color rgb="FF000000"/>
        <rFont val="Santander Text"/>
      </rPr>
      <t>3. Cumpre TODOS os critérios de Economia Circular:
- Identificação, separação, processamento, gestão, recolha e reciclagem de resíduos (taxa de 90%) utilizando sistemas de triagem e auditorias de pré-demolição.
- O ciclo de vida do GWP da Building foi calculado e divulgado às partes interessadas, mediante pedido.
- Projeto comprovado de adaptabilidade do quadro de relatórios de nível 2 da UE.
- Uso de materiais secundários e medidos com ferramentas eletrónicas.
      - Betão/ Vidro/ Tijolo / Cerâmica : max. matéria-prima primária de 70%
      - Base biológica: Máx. matéria-prima primária de 80%
      - Plástico não bio-baseado: Max matéria-prima primária de 50%
      - Metais: Max matéria-prima primária de 30%
      - Gesso: Max. matéria-prima primária de 30%
- ISO 22057:2022 Declaração ambiental do produto. _</t>
    </r>
  </si>
  <si>
    <t xml:space="preserve">Polônia - Construção de edifícios comerciais </t>
  </si>
  <si>
    <t xml:space="preserve">3.1.3.2. Polônia - Construção de edifícios comerciais </t>
  </si>
  <si>
    <t xml:space="preserve">A.3.1.3.2. Construção de novos edifícios comerciais em Polônia </t>
  </si>
  <si>
    <t xml:space="preserve">Construção de novos edifícios comerciais em Polônia 
</t>
  </si>
  <si>
    <r>
      <rPr>
        <b/>
        <sz val="8"/>
        <color rgb="FF000000"/>
        <rFont val="Santander Text"/>
      </rPr>
      <t>O que é isso?</t>
    </r>
    <r>
      <rPr>
        <sz val="8"/>
        <color rgb="FF000000"/>
        <rFont val="Santander Text"/>
      </rPr>
      <t xml:space="preserve"> Projetos de construção para edifícios não residenciais com vista a vendê-los .
</t>
    </r>
    <r>
      <rPr>
        <b/>
        <sz val="8"/>
        <color rgb="FF000000"/>
        <rFont val="Santander Text"/>
      </rPr>
      <t>O que não é?</t>
    </r>
    <r>
      <rPr>
        <sz val="8"/>
        <color rgb="FF000000"/>
        <rFont val="Santander Text"/>
      </rPr>
      <t xml:space="preserve"> Qualquer edifício com menos de 5 000 m2 ou local fora da Polônia </t>
    </r>
  </si>
  <si>
    <r>
      <rPr>
        <sz val="8"/>
        <color theme="1"/>
        <rFont val="Anta"/>
      </rPr>
      <t xml:space="preserve">Cumpre UM critério aplicável _
4. Novos edifícios disponibilizam UM dos seguintes certificados:
a. Top 15% de eficiência energética do parque imobiliário nacional ou regional
b. LEED (Gold ou superior)
c. BREEAM (Excellent ou superior, sendo “Very Good” aceitável com uma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</si>
  <si>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atual/prevista de UM dos seguintes certificados:
a. Certificação HQE SB v4. 
b. </t>
    </r>
    <r>
      <rPr>
        <sz val="8"/>
        <color rgb="FFFF0000"/>
        <rFont val="Santander Text"/>
      </rPr>
      <t>PED que é 10% inferior ao</t>
    </r>
    <r>
      <rPr>
        <sz val="8"/>
        <color rgb="FF000000"/>
        <rFont val="Santander Text"/>
      </rPr>
      <t xml:space="preserve"> certificação Net Zero Energy Building Certification™ (NZEB) 
c. Certificação Climate Bond Initiative (CBI) para edifícios de baixo carbono. _
2. Real, não modelado Primary Energy Demand (PED) abaixo </t>
    </r>
    <r>
      <rPr>
        <sz val="8"/>
        <color rgb="FFFF0000"/>
        <rFont val="Santander Text"/>
      </rPr>
      <t xml:space="preserve">171/kWh/m2/ano para edifícios de utilidade pública (incluindo hospitais, centros comerciais, escritórios e edifícios de cuidados de saúde); 40,5/kWh/m2/ano para outros edifícios públicos ou 63/kWh/m2/ano para edifícios não públicos (edifícios de utilidade pública, armazéns e edifícios de produção). 
Para edifícios com mais de 5 000 m2, os desvios de estanquidade ao ar e de integridade térmica, bem como os cálculos do PAG do ciclo de vida, são comunicados às partes interessadas. _
</t>
    </r>
    <r>
      <rPr>
        <sz val="8"/>
        <color rgb="FF000000"/>
        <rFont val="Santander Text"/>
      </rPr>
      <t>3. Cumpre TODOS os critérios de Economia Circular:
- Identificação, separação, processamento, gestão, recolha e reciclagem de resíduos (taxa de 90%) utilizando sistemas de triagem e auditorias de pré-demolição.
- O ciclo de vida do GWP da Building foi calculado e divulgado às partes interessadas, mediante pedido.
- Projeto comprovado de adaptabilidade do quadro de relatórios de nível 2 da UE.
- Uso de materiais secundários e medidos com ferramentas eletrónicas.
      - Betão/ Vidro/ Tijolo / Cerâmica : max. matéria-prima primária de 70%
      - Base biológica: Máx. matéria-prima primária de 80%
      - Plástico não bio-baseado: Max matéria-prima primária de 50%
      - Metais: Max matéria-prima primária de 30%
      - Gesso: Max. matéria-prima primária de 30%
- ISO 22057:2022 Declaração ambiental do produto. _</t>
    </r>
  </si>
  <si>
    <t xml:space="preserve">Reino Unido - Construção de novos edifícios residenciais </t>
  </si>
  <si>
    <t xml:space="preserve">A.3.1.4.1. Reino Unido - Construção de novos edifícios residenciais </t>
  </si>
  <si>
    <t xml:space="preserve">A.3.1.4.1. Construção de novos edifícios residenciais em Reino Unido </t>
  </si>
  <si>
    <t xml:space="preserve">Construção de novos edifícios residenciais em Reino Unido </t>
  </si>
  <si>
    <t>Projetos de construção para edifícios residenciais com vista a vendê-los</t>
  </si>
  <si>
    <r>
      <rPr>
        <b/>
        <sz val="8"/>
        <color rgb="FF000000"/>
        <rFont val="Santander Text"/>
      </rPr>
      <t xml:space="preserve">O que é isso? </t>
    </r>
    <r>
      <rPr>
        <sz val="8"/>
        <color rgb="FF000000"/>
        <rFont val="Santander Text"/>
      </rPr>
      <t xml:space="preserve">Projetos de construção para edifícios residenciais em território do Reino Unido com vista a vendê-los. 
</t>
    </r>
    <r>
      <rPr>
        <b/>
        <sz val="8"/>
        <color rgb="FF000000"/>
        <rFont val="Santander Text"/>
      </rPr>
      <t>O que não é?</t>
    </r>
    <r>
      <rPr>
        <sz val="8"/>
        <color rgb="FF000000"/>
        <rFont val="Santander Text"/>
      </rPr>
      <t xml:space="preserve"> Qualquer edifício maior que 5 000 m2 ou local fora do Reino Unido </t>
    </r>
  </si>
  <si>
    <r>
      <rPr>
        <sz val="8"/>
        <color theme="1"/>
        <rFont val="Anta"/>
      </rPr>
      <t xml:space="preserve">Cumpre UM critério aplicável _
4. Novos edifícios disponibilizam UM dos seguintes certificados:
a. Top 15% de eficiência energética do parque imobiliário nacional ou regional (EPC acima de B)
b. LEED (Gold ou superior)
c. BREEAM (Excellent ou superior, sendo “Very Good” aceitável com uma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</si>
  <si>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atual/prevista de UM dos seguintes certificados
a. Certificação HQE SB v4. 
b. </t>
    </r>
    <r>
      <rPr>
        <sz val="8"/>
        <color rgb="FFFF0000"/>
        <rFont val="Santander Text"/>
      </rPr>
      <t xml:space="preserve">PED que é 10% inferior ao </t>
    </r>
    <r>
      <rPr>
        <sz val="8"/>
        <color rgb="FF000000"/>
        <rFont val="Santander Text"/>
      </rPr>
      <t xml:space="preserve">certificação Net Zero Energy Building Certification™ (NZEB) 
c. Certificação da Climate Bond Initiative (CBI) para edifícios de baixo carbono _
2. 
- Demanda de energia primária (PED) real e não modelada inferior a 40/kWh/m2/ano.
- </t>
    </r>
    <r>
      <rPr>
        <sz val="8"/>
        <color rgb="FFFF0000"/>
        <rFont val="Santander Text"/>
      </rPr>
      <t>Para edifícios com mais de 5 000 m2, os desvios de estanquidade ao ar e de integridade térmica, bem como os cálculos do PAG do ciclo de vida, são comunicados às partes interessadas. _
3. Cumpre TODOS os critérios da economia circular:
-Identificação, separação, processamento, gestão, recolha e reciclagem de resíduos (taxa de 90%) utilizando sistemas de triagem e auditorias pré-demolição.
-Cálculo do GWP do ciclo de vida do edifício e divulgação às partes interessadas mediante pedido.
-Adaptabilidade comprovada do quadro de comunicação de nível 2 da UE.
-Utilização e medição de materiais secundários com ferramentas electrónicas. 
-Betão/vidro/tijolo/cerâmica: máx. 70% de matéria-prima primária.
-Bio-base: max. 80% de matéria-prima primária.
-Plástico não biológico: máx. 50% de matéria-prima primária.
-Metais: máx. 30% de matéria-prima primária.
-Gesso: máx. 65% de matéria-prima primária.
- ISO 22057:2022. Declaração ambiental do produto _</t>
    </r>
  </si>
  <si>
    <t xml:space="preserve">Outros países  - Construção de edifícios residenciais </t>
  </si>
  <si>
    <t xml:space="preserve">A.3.1.5.1. Outros países  - Construção de edifícios residenciais </t>
  </si>
  <si>
    <t>A.3.1.5.1. Construção de novos edifícios residenciais  em todos os outros países (incluindo UE e não UE)</t>
  </si>
  <si>
    <t xml:space="preserve">Construção de novos edifícios residenciais  em todos os outros países (incluindo UE e não UE)
</t>
  </si>
  <si>
    <r>
      <rPr>
        <b/>
        <sz val="8"/>
        <color rgb="FF000000"/>
        <rFont val="Santander Text"/>
      </rPr>
      <t xml:space="preserve">O que é isso? </t>
    </r>
    <r>
      <rPr>
        <sz val="8"/>
        <color rgb="FF000000"/>
        <rFont val="Santander Text"/>
      </rPr>
      <t xml:space="preserve">Projetos de construção para edifícios residenciais com vista a vendê-los. 
</t>
    </r>
    <r>
      <rPr>
        <b/>
        <sz val="8"/>
        <color rgb="FF000000"/>
        <rFont val="Santander Text"/>
      </rPr>
      <t>O que não é?</t>
    </r>
    <r>
      <rPr>
        <sz val="8"/>
        <color rgb="FF000000"/>
        <rFont val="Santander Text"/>
      </rPr>
      <t xml:space="preserve"> Qualquer edifício com mais de 5 000 m2 ou lugar em Espanha, Portugal, Polônia ou Reino Unido </t>
    </r>
  </si>
  <si>
    <r>
      <rPr>
        <sz val="8"/>
        <color theme="1"/>
        <rFont val="Anta"/>
      </rPr>
      <t xml:space="preserve">Cumpre UM critério aplicável _
4. Obtenção atual / prevista de UM dos seguintes certificados e classificações:
a. Certificado EPC / PED no top 15% (ver tabela abaixo*).
b. LEED (Gold ou superior).
c. BREEAM (Excellent ou superior / “Very Good” com pontuação mínima de 70% na categoria Energia).
d. Certificação DGNB (Gold ou superior).
e. EDGE (Advanced ou Zero Carbon); EDGE (Certified – Nível 1) para Chile, Brasil, Uruguai, Colômbia </t>
    </r>
    <r>
      <rPr>
        <strike/>
        <sz val="8"/>
        <color rgb="FFFF0000"/>
        <rFont val="Anta"/>
      </rPr>
      <t xml:space="preserve">e </t>
    </r>
    <r>
      <rPr>
        <sz val="8"/>
        <color theme="1"/>
        <rFont val="Anta"/>
      </rPr>
      <t>Peru</t>
    </r>
    <r>
      <rPr>
        <sz val="8"/>
        <color rgb="FFFF0000"/>
        <rFont val="Anta"/>
      </rPr>
      <t>, Argentina, ou qualquer outro país onde possa ser realizada uma avaliação equivalente, demonstrando que os edifícios com esta certificação fazem parte do Top 15%.</t>
    </r>
    <r>
      <rPr>
        <sz val="8"/>
        <color theme="1"/>
        <rFont val="Anta"/>
      </rPr>
      <t xml:space="preserve">
f. Energy Star para Edifícios (85 ou superior).
g. Green Globes (três globos ou superior).
h. HQE (Excellent ou superior).
i. Living Building Challenge.
j. Minergie (Minergie-A e Minergie Standard).
k. Passivhaus (Classic ou superior).
l. Aqua-HQE (Excellent ou superior).
m. Calificación Energética de Viviendas (CEV) (classificação A e B).
n. Eco-casa (Nível 1 ou superior).
o. NGBS (Gold ou superior).
p. Home Quality Mark (4 estrelas ou superior).
q. NABERS (4,5 estrelas ou superior).
r. PBE Edificia (classificação ENCE B).
s. CCCS CASA Colômbia v3.0.
t. Austin Energy Green Buildings.
u. BEAM Plus.
v. SCE.
w. Green Building Initiative.
x. WELL.
y. Lider A.
z. Phius CORE 2021 _</t>
    </r>
  </si>
  <si>
    <r>
      <rPr>
        <sz val="8"/>
        <color rgb="FF000000"/>
        <rFont val="Santander Text"/>
      </rPr>
      <t xml:space="preserve">Cumpre UM critério aplicável  _
1. Obtenção atual/esperada de um dos seguintes certificados:
a. HQE SB v4. Certification
</t>
    </r>
    <r>
      <rPr>
        <sz val="8"/>
        <color rgb="FFFF0000"/>
        <rFont val="Santander Text"/>
      </rPr>
      <t>b. PED que é 10% inferior ao</t>
    </r>
    <r>
      <rPr>
        <sz val="8"/>
        <color rgb="FF000000"/>
        <rFont val="Santander Text"/>
      </rPr>
      <t xml:space="preserve"> Net Zero Energy Building Certification™ (NZEB)
c. Low-Carbon Buildings Climate Bond Initiative (CBI) Certification.  _
2. Cumpre com os limiares e pontuações estabelecidos de acordo com a construção dos edifícios  construction ano, region and Zona climática (por favor ver tabela abaixo*).
[TABLE A.3.1.5.1.] _
</t>
    </r>
    <r>
      <rPr>
        <sz val="8"/>
        <color rgb="FFFF0000"/>
        <rFont val="Santander Text"/>
      </rPr>
      <t xml:space="preserve">Para edifícios com mais de 5 000 m2, os desvios de estanquidade ao ar e de integridade térmica, bem como os cálculos do PAG do ciclo de vida, são comunicados às partes interessadas. _
</t>
    </r>
    <r>
      <rPr>
        <sz val="8"/>
        <color rgb="FF000000"/>
        <rFont val="Santander Text"/>
      </rPr>
      <t>3. Cumpre TODOS os critérios de Economia Circular:
- Identificação, separação, processamento, gestão, recolha e reciclagem de resíduos (taxa de 90%) utilizando sistemas de triagem e auditorias de pré-demolição.
- O ciclo de vida do GWP da Building foi calculado e divulgado às partes interessadas, mediante pedido.
- Projeto comprovado de adaptabilidade do quadro de relatórios de nível 2 da UE.
- Uso de materiais secundários e medidos com ferramentas eletrónicas.
      - Betão/ Vidro/ Tijolo / Cerâmica : max. matéria-prima primária de 70%
      - Base biológica: Máx. matéria-prima primária de 80%
      - Plástico não bio-baseado: Max matéria-prima primária de 50%
      - Metais: Max matéria-prima primária de 30%
      - Gesso: Max. matéria-prima primária de 30%
- ISO 22057:2022 Declaração ambiental do produto. _</t>
    </r>
  </si>
  <si>
    <t xml:space="preserve">Outros países e Reino Unido- Construção de edifícios comerciais </t>
  </si>
  <si>
    <t xml:space="preserve">A.3.1.5.2. Outros países e Reino Unido- Construção de edifícios comerciais </t>
  </si>
  <si>
    <t>A.3.1.5.2. Construção de novos edifícios comerciais  em todos os outros países (incluindo UE e não UE)</t>
  </si>
  <si>
    <t>Construção de novos edifícios comerciais  em todos os outros países (incluindo UE e não UE)</t>
  </si>
  <si>
    <r>
      <rPr>
        <b/>
        <sz val="8"/>
        <color rgb="FF000000"/>
        <rFont val="Santander Text"/>
      </rPr>
      <t>O que é isso?</t>
    </r>
    <r>
      <rPr>
        <sz val="8"/>
        <color rgb="FF000000"/>
        <rFont val="Santander Text"/>
      </rPr>
      <t xml:space="preserve"> Projetos de construção para edifícios não residenciais com vista a vendê-los. 
</t>
    </r>
    <r>
      <rPr>
        <b/>
        <sz val="8"/>
        <color rgb="FF000000"/>
        <rFont val="Santander Text"/>
      </rPr>
      <t>O que não é?</t>
    </r>
    <r>
      <rPr>
        <sz val="8"/>
        <color rgb="FF000000"/>
        <rFont val="Santander Text"/>
      </rPr>
      <t xml:space="preserve"> Qualquer edifício com menos de 5 000 m2 ou lugar em Espanha, Portugal, Polônia .</t>
    </r>
  </si>
  <si>
    <r>
      <rPr>
        <sz val="8"/>
        <color theme="1"/>
        <rFont val="Anta"/>
      </rPr>
      <t xml:space="preserve">Cumpre UM critério aplicável _
4. Obtenção atual / prevista de UM dos seguintes certificados e classificações:
a. Certificado EPC / PED no top 15% (ver tabela abaixo*).
b. LEED (Gold ou superior).
c. BREEAM (Excellent ou superior / “Very Good” com pontuação mínima de 70% na categoria Energia).
d. Certificação DGNB (Gold ou superior).
e. EDGE (Advanced ou Zero Carbon); EDGE (Certified – Nível 1) para Chile, Brasil, Uruguai, Colômbia </t>
    </r>
    <r>
      <rPr>
        <strike/>
        <sz val="8"/>
        <color rgb="FF8EA9DB"/>
        <rFont val="Anta"/>
      </rPr>
      <t xml:space="preserve">e </t>
    </r>
    <r>
      <rPr>
        <sz val="8"/>
        <color theme="1"/>
        <rFont val="Anta"/>
      </rPr>
      <t>Peru,</t>
    </r>
    <r>
      <rPr>
        <sz val="8"/>
        <color rgb="FFFF0000"/>
        <rFont val="Anta"/>
      </rPr>
      <t xml:space="preserve"> Argentina, ou qualquer outro país onde possa ser realizada uma avaliação equivalente, demonstrando que os edifícios com esta certificação fazem parte do Top 15%.</t>
    </r>
    <r>
      <rPr>
        <sz val="8"/>
        <color theme="1"/>
        <rFont val="Anta"/>
      </rPr>
      <t xml:space="preserve">
f. Passivhaus (Classic ou superior).
g. Energy Star para Edifícios (85 ou superior).
h. Green Globes (três globos ou superior).
i. HQE (Excellent ou superior).
j. Living Building Challenges.
k. Minergie (Minergie-A e Minergie Standard).
l. Calificación Energética de Viviendas (CEV) (classificação A e B).
m. Eco-casa (Nível 1 ou superior).
n. NGBS (Gold ou superior).
o. Home Quality Mark (4 estrelas ou superior).
p. NABERS (4,5 estrelas ou superior).
q. PBE Edificia (classificação ENCE B).
r. CCCS CASA Colômbia v3.0.
s. Austin Energy Green Buildings.
t. BEAM Plus.
u. SCE.
v. Green Building Initiative.
w. WELL.
x. Lider A.
</t>
    </r>
    <r>
      <rPr>
        <sz val="8"/>
        <color rgb="FFFF0000"/>
        <rFont val="Anta"/>
      </rPr>
      <t>y. Phius CORE 2021 _</t>
    </r>
  </si>
  <si>
    <r>
      <rPr>
        <sz val="8"/>
        <color rgb="FF000000"/>
        <rFont val="Santander Text"/>
      </rPr>
      <t xml:space="preserve">Cumpre UM critério aplicável  _
1. Obtenção atual/esperada de um dos seguintes certificados:
a. HQE SB v4. Certification
</t>
    </r>
    <r>
      <rPr>
        <sz val="8"/>
        <color rgb="FFFF0000"/>
        <rFont val="Santander Text"/>
      </rPr>
      <t xml:space="preserve">b. PED que é 10% inferior ao </t>
    </r>
    <r>
      <rPr>
        <sz val="8"/>
        <color rgb="FF000000"/>
        <rFont val="Santander Text"/>
      </rPr>
      <t xml:space="preserve">Net Zero Energy Building Certification™ (NZEB)
c. Low-Carbon Buildings Climate Bond Initiative (CBI) Certification.  _
2.
- Cumpre com os limiares e pontuações estabelecidos de acordo com a construção dos edifícios  construction ano, region and Zona climática (por favor ver tabela abaixo*).
[TABLE A.3.1.5.2.]
</t>
    </r>
    <r>
      <rPr>
        <sz val="8"/>
        <color rgb="FFFF0000"/>
        <rFont val="Santander Text"/>
      </rPr>
      <t xml:space="preserve">- Para edifícios com mais de 5 000 m2, os desvios de estanquidade ao ar e de integridade térmica, bem como os cálculos do PAG do ciclo de vida, são comunicados às partes interessadas. _
</t>
    </r>
    <r>
      <rPr>
        <sz val="8"/>
        <color rgb="FF000000"/>
        <rFont val="Santander Text"/>
      </rPr>
      <t>3. Cumpre TODOS os critérios de Economia Circular:
- Identificação, separação, processamento, gestão, recolha e reciclagem de resíduos (taxa de 90%) utilizando sistemas de triagem e auditorias de pré-demolição.
- O ciclo de vida do GWP da Building foi calculado e divulgado às partes interessadas, mediante pedido.
- Projeto comprovado de adaptabilidade do quadro de relatórios de nível 2 da UE.
- Uso de materiais secundários e medidos com ferramentas eletrónicas.
      - Betão/ Vidro/ Tijolo / Cerâmica : max. matéria-prima primária de 70%
      - Base biológica: Máx. matéria-prima primária de 80%
      - Plástico não bio-baseado: Max matéria-prima primária de 50%
      - Metais: Max matéria-prima primária de 30%
      - Gesso: Max. matéria-prima primária de 30%
- ISO 22057:2022 Declaração ambiental do produto. _</t>
    </r>
  </si>
  <si>
    <t xml:space="preserve">A.3.2. Renovação dos edifícios existentes </t>
  </si>
  <si>
    <t xml:space="preserve">Renovação dos edifícios existentes </t>
  </si>
  <si>
    <t xml:space="preserve">Construção e engenharia civil ou sua preparação. </t>
  </si>
  <si>
    <r>
      <rPr>
        <b/>
        <sz val="8"/>
        <color rgb="FF000000"/>
        <rFont val="Santander Text"/>
      </rPr>
      <t>O que é isso?</t>
    </r>
    <r>
      <rPr>
        <sz val="8"/>
        <color rgb="FF000000"/>
        <rFont val="Santander Text"/>
      </rPr>
      <t xml:space="preserve"> Obras de construção e engenharia civil ou sua preparação. </t>
    </r>
  </si>
  <si>
    <r>
      <rPr>
        <sz val="8"/>
        <color theme="1"/>
        <rFont val="Anta"/>
      </rPr>
      <t xml:space="preserve">Cumpre UM critério aplicável _
4. Obtenção atual / prevista de um dos seguintes certificados e classificações </t>
    </r>
    <r>
      <rPr>
        <sz val="8"/>
        <color rgb="FFFF0000"/>
        <rFont val="Anta"/>
      </rPr>
      <t>(como resultado do financiamento recebido ou a receber):</t>
    </r>
    <r>
      <rPr>
        <sz val="8"/>
        <color theme="1"/>
        <rFont val="Anta"/>
      </rPr>
      <t xml:space="preserve">
a. EPC dentro do top 15% do parque imobiliário nacional/regional, tais como:
- Espanha:
   - C ou superior na Andaluzia, Aragão, Baleares, Castela e Leão, Castela-La Mancha, Ceuta, Galiza, Madrid, Melilha, Navarra, La Rioja
   - D ou superior nas Astúrias, Canárias, Cantábria, Catalunha, Estremadura, Múrcia, País Basco, Valência
- Portugal: classificação EPC B
- Polónia: EPC com PED &lt; 76,59 se residencial / 118,2 se comercial
- Reino Unido: classificação EPC B para Inglaterra, Escócia, País de Gales e Irlanda do Norte (SAP &gt; 79)
- Outros países: a determinar localmente
b. LEED (Gold ou superior)
c. BREEAM (Excellent ou superior / “Very Good” com pontuação mínima de 70% na categoria Energia)
d. EDGE (Advanced (L2) ou Zero Carbon (L3) para UE / países desenvolvidos)
e. EDGE certificado (L1) para mercados emergentes
f. Passivhaus (Classic ou superior)
g. Energy Star para Edifícios (85 ou superior)
h. Green Globes (três globos ou superior)
i. Minergie (Minergie A e Minergie Standard)
j. Calificación Energética de Viviendas (CEV) (classificação A e A+)
k. NGBS (Gold ou superior)
l. Aqua-HQE (Excellent ou superior)
m. BCA Green Mark (Gold Plus ou superior)
n. Adene – Certificação de eficiência energética e qualidade do ar (SCE)
o. Home Quality Mark (4 estrelas ou superior)
p. NABERS (4,5 estrelas ou superior)
q. Austin Energy Green Buildings
r. BEAM Plus
s. Lider A
</t>
    </r>
    <r>
      <rPr>
        <sz val="8"/>
        <color rgb="FFFF0000"/>
        <rFont val="Anta"/>
      </rPr>
      <t>t. Phius CORE 2021</t>
    </r>
    <r>
      <rPr>
        <sz val="8"/>
        <color theme="1"/>
        <rFont val="Anta"/>
      </rPr>
      <t xml:space="preserve">
</t>
    </r>
    <r>
      <rPr>
        <strike/>
        <sz val="8"/>
        <color rgb="FFFF0000"/>
        <rFont val="Anta"/>
      </rPr>
      <t>t.</t>
    </r>
    <r>
      <rPr>
        <sz val="8"/>
        <color theme="1"/>
        <rFont val="Anta"/>
      </rPr>
      <t>u. Classificações equivalentes de eficiência energética. O referencial para equivalências é que as classificações energéticas consequentes estejam amplamente alinhadas com o conceito de integrar o top 15% de eficiência energética do imobiliário na região/país _</t>
    </r>
  </si>
  <si>
    <r>
      <t>Cumpre UM critério aplicável _
1. Obtenção atual / prevista de UM dos seguintes certificados (</t>
    </r>
    <r>
      <rPr>
        <sz val="8"/>
        <color rgb="FFFF0000"/>
        <rFont val="Anta"/>
      </rPr>
      <t>como resultado do financiamento recebido ou a receber):</t>
    </r>
    <r>
      <rPr>
        <sz val="8"/>
        <color theme="1"/>
        <rFont val="Anta"/>
      </rPr>
      <t xml:space="preserve">
a. Certificação HQE SB v4
b. DGNB System for Renovation of Buildings
c. </t>
    </r>
    <r>
      <rPr>
        <strike/>
        <sz val="8"/>
        <color rgb="FFFF0000"/>
        <rFont val="Anta"/>
      </rPr>
      <t xml:space="preserve">Net Zero Energy Building Certification™ (NZEB) </t>
    </r>
    <r>
      <rPr>
        <sz val="8"/>
        <color rgb="FFFF0000"/>
        <rFont val="Anta"/>
      </rPr>
      <t xml:space="preserve"> PED 10% inferior ao limiar da certificação NZEB</t>
    </r>
    <r>
      <rPr>
        <sz val="8"/>
        <color theme="1"/>
        <rFont val="Anta"/>
      </rPr>
      <t xml:space="preserve">
d. Low-Carbon Buildings Climate Bond Initiative (CBI) Certification _
2. Reabilitação de edifícios existentes que atinja uma redução mínima de 30% na Demanda de Energia Primária (PED). _
3. Cumpre TODOS os critérios de Economia Circular:
- Identificação, separação, processamento, gestão, recolha e reciclagem de resíduos (taxa 70%) utilizando sistemas de triagem e auditorias pré-demolição.
- GWP do ciclo de vida do edifício calculado e divulgado às partes interessadas mediante pedido.
- Design com adaptabilidade comprovada ao quadro de reporte de nível 2 da UE.
-Utilização de materiais secundários medida com ferramentas eletrónicas.
- Betão / Vidro / Tijolo / Cerâmica: máx. 85% de matéria-prima primária.
     - Bio-based: máx. 80% de matéria-prima primária
     - Plásticos não bio-based: máx. 75% de matéria-prima primária
     - Metais: máx. 65% de matéria-prima primária
     - Gesso: máx. 83% de matéria-prima primária
ISO 22057:2022 – Declaração Ambiental de Produto _</t>
    </r>
  </si>
  <si>
    <t>Aquisição de edifícios</t>
  </si>
  <si>
    <t>Espanha - Aquisição de edifícios residenciais</t>
  </si>
  <si>
    <t>A.3.7.1.1. Espanha - Aquisição de edifícios residenciais</t>
  </si>
  <si>
    <t xml:space="preserve">A.3.7.1.1. Aquisição e propriedade de novos edifícios residenciais em Espanha </t>
  </si>
  <si>
    <t xml:space="preserve">Aquisição e propriedade de novos edifícios residenciais em Espanha </t>
  </si>
  <si>
    <t xml:space="preserve">Aquisição de edifícios residenciais </t>
  </si>
  <si>
    <r>
      <rPr>
        <b/>
        <sz val="8"/>
        <color rgb="FF000000"/>
        <rFont val="Santander Text"/>
      </rPr>
      <t xml:space="preserve">O que é isso? </t>
    </r>
    <r>
      <rPr>
        <sz val="8"/>
        <color rgb="FF000000"/>
        <rFont val="Santander Text"/>
      </rPr>
      <t xml:space="preserve">Aquisição de edifícios residenciais em território espanhol e fornece um dos seguintes certificados: </t>
    </r>
  </si>
  <si>
    <r>
      <rPr>
        <sz val="8"/>
        <color theme="1"/>
        <rFont val="Anta"/>
      </rPr>
      <t xml:space="preserve">Cumpre UM critério aplicável _
2. Cumpre os limiares e classificações estabelecidos de acordo com o ano de construção do edifício, a região e a zona climática (ver tabela abaixo*).
[TABELA A.3.7.1.1.]
No caso do critério do Santander, considerar o EPC mínimo se construído APÓS 2021. _
3. Obtenção atual / prevista de UM dos seguintes certificados e classificações:
a. Critério nº 2 aplicado a edifícios construídos antes de 2021
b. LEED (Gold ou superior)
c. BREEAM (Excellent ou superior / “Very Good” com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</si>
  <si>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atual/esperada de um dos seguintes certificados:
a. HQE SB v4. Certification
b. </t>
    </r>
    <r>
      <rPr>
        <sz val="8"/>
        <color rgb="FFFF0000"/>
        <rFont val="Santander Text"/>
      </rPr>
      <t>PED que é 10% inferior a</t>
    </r>
    <r>
      <rPr>
        <sz val="8"/>
        <color rgb="FF000000"/>
        <rFont val="Santander Text"/>
      </rPr>
      <t xml:space="preserve"> Net Zero Energy Building Certification™ (NZEB)
c. Low-Carbon Buildings Climate Bond Initiative (CBI) Certification _
2. Cumpre com os limiares e pontuações estabelecidos de acordo com a construção dos edifícios  construction ano, region and Zona climática (ver tabela abaixo).
[TABLE A.3.7.1.1.]
No caso do critério de Santander, considere o EPC mínimo se construído DEPOIS de 2021._</t>
    </r>
  </si>
  <si>
    <t xml:space="preserve">Espanha - Aquisição de edifícios comerciais </t>
  </si>
  <si>
    <t xml:space="preserve">A.3.7.1.2. Espanha - Aquisição de edifícios comerciais </t>
  </si>
  <si>
    <t xml:space="preserve">A.3.7.1.2. Aquisição e propriedade de novos edifícios comerciais em Espanha </t>
  </si>
  <si>
    <t xml:space="preserve">Aquisição e propriedade de novos edifícios comerciais em Espanha </t>
  </si>
  <si>
    <t xml:space="preserve">Aquisição de edifícios comerciais </t>
  </si>
  <si>
    <r>
      <rPr>
        <b/>
        <sz val="8"/>
        <color rgb="FF000000"/>
        <rFont val="Santander Text"/>
      </rPr>
      <t xml:space="preserve">O que é isso? </t>
    </r>
    <r>
      <rPr>
        <sz val="8"/>
        <color rgb="FF000000"/>
        <rFont val="Santander Text"/>
      </rPr>
      <t xml:space="preserve">Aquisição de edifícios comerciais em território espanhol e fornece um dos seguintes certificados: </t>
    </r>
  </si>
  <si>
    <r>
      <rPr>
        <sz val="8"/>
        <color theme="1"/>
        <rFont val="Anta"/>
      </rPr>
      <t xml:space="preserve">Cumpre UM critério aplicável _
2. Cumpre os limiares e classificações estabelecidos de acordo com o ano de construção do edifício, a região e a zona climática (ver tabela abaixo*).
[TABELA A.3.7.1.2.]
No caso do critério do Santander, considerar o EPC mínimo se construído APÓS 2021. _
3. Obtenção atual / prevista de UM dos seguintes certificados e classificações:
a. Critério nº 2 aplicado a edifícios construídos antes de 2021
b. LEED (Gold ou superior)
c. BREEAM (Excellent ou superior / “Very Good” com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</si>
  <si>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atual/esperada de um dos seguintes certificados:
a. HQE SB v4. Certification
b. </t>
    </r>
    <r>
      <rPr>
        <sz val="8"/>
        <color rgb="FFFF0000"/>
        <rFont val="Santander Text"/>
      </rPr>
      <t>PED que é 10% inferior a</t>
    </r>
    <r>
      <rPr>
        <sz val="8"/>
        <color rgb="FF000000"/>
        <rFont val="Santander Text"/>
      </rPr>
      <t xml:space="preserve"> Net Zero Energy Building Certification™ (NZEB)
c. Low-Carbon Buildings Climate Bond Initiative (CBI) Certification _
2. Cumpre com os limiares e pontuações estabelecidos de acordo com a construção dos edifícios, ano, region e Zona climática (ver tabela abaixo).
[TABLE A.3.7.1.2.]
No caso do critério de Santander, considere o EPC mínimo se construído DEPOIS de 2021. _</t>
    </r>
  </si>
  <si>
    <t xml:space="preserve">Portugal - Aquisição de edifícios residenciais </t>
  </si>
  <si>
    <t xml:space="preserve">A.3.7.2.1.  Portugal - Aquisição de edifícios residenciais </t>
  </si>
  <si>
    <t xml:space="preserve">A.3.7.2.1. Aquisição e propriedade de novos edifícios residenciais em Portugal </t>
  </si>
  <si>
    <t xml:space="preserve">Aquisição e propriedade de novos edifícios residenciais em Portugal </t>
  </si>
  <si>
    <r>
      <rPr>
        <b/>
        <sz val="8"/>
        <color rgb="FF000000"/>
        <rFont val="Santander Text"/>
      </rPr>
      <t xml:space="preserve">O que é isso? </t>
    </r>
    <r>
      <rPr>
        <sz val="8"/>
        <color rgb="FF000000"/>
        <rFont val="Santander Text"/>
      </rPr>
      <t xml:space="preserve">Aquisição de edifícios residenciais em território português e entrega um dos seguintes certificados: </t>
    </r>
  </si>
  <si>
    <r>
      <rPr>
        <sz val="8"/>
        <color theme="1"/>
        <rFont val="Anta"/>
      </rPr>
      <t xml:space="preserve">Cumpre UM critério aplicável _
2. Cumpre os limiares e classificações estabelecidos de acordo com o ano de construção do edifício (ver tabela abaixo).
[Tabela A.3.7.2.1.]
No caso do critério do Santander, considerar o EPC mínimo se construído APÓS 2021. _
3. Obtenção atual / prevista de UM dos seguintes certificados e classificações:
a. Critério nº 2 aplicado a edifícios construídos antes de 2021
b. LEED (Gold ou superior)
c. BREEAM (Excellent ou superior / “Very Good” com pontuação mínima de 70% na categoria Energia)
d. Certificação DGNB (Gold ou superior)
e. EDGE (Advanced ou Zero Carbon)
f. Passivhaus (Classic ou superior)
g. Home Quality Mark (4 estrelas ou superior)
h. NABERS (4,5 estrelas ou superior)
i. PBE Edificia (classificação ENCE B)
j. Lider A (nível C ou superior, desde que cumpra o Top 15% mais eficiente se construído antes de 31 de dezembro de 2020)
k. Adene – Certificação de eficiência energética e qualidade do ar (SCE – classificação A ou superior, desde que represente o Top 15% mais eficiente se construído antes de 31 de dezembro de 2020)
l. Austin Energy Green Buildings
m. BEAM Plus
n. SCE
o. CCS CASA Colômbia
p. Green Building Initiative
q. WELL
</t>
    </r>
    <r>
      <rPr>
        <sz val="8"/>
        <color rgb="FFFF0000"/>
        <rFont val="Anta"/>
      </rPr>
      <t>r. Phius CORE 2021 _</t>
    </r>
  </si>
  <si>
    <r>
      <rPr>
        <sz val="8"/>
        <color rgb="FF000000"/>
        <rFont val="Santander Text"/>
      </rPr>
      <t xml:space="preserve">Cumpre UM critério aplicável  _
1. Obtenção atual/esperada de um dos seguintes certificados:
a. HQE SB v4. Certification
</t>
    </r>
    <r>
      <rPr>
        <sz val="8"/>
        <color rgb="FFFF0000"/>
        <rFont val="Santander Text"/>
      </rPr>
      <t>b. PED que é 10% inferior a</t>
    </r>
    <r>
      <rPr>
        <sz val="8"/>
        <color rgb="FF000000"/>
        <rFont val="Santander Text"/>
      </rPr>
      <t xml:space="preserve"> Net Zero Energy Building Certification™ (NZEB)
c. Low-Carbon Buildings Climate Bond Initiative (CBI) Certification _
2. Cumpre os limiares e pontuações estabelecidos de acordo com o ano de construção dos edifícios (ver quadro abaixo).
[Tabela A.3.7.2.1.]
No caso do critério Santander, considerar o EPC mínimo se construído APÓS 2021. _</t>
    </r>
  </si>
  <si>
    <t xml:space="preserve">Portugal - Aquisição de edifícios comerciais </t>
  </si>
  <si>
    <t xml:space="preserve">A.3.7.2.2. Portugal - Aquisição de edifícios comerciais </t>
  </si>
  <si>
    <t xml:space="preserve">A.3.7.2.2. Aquisição e propriedade de novos edifícios comerciais em Portugal </t>
  </si>
  <si>
    <t xml:space="preserve">Aquisição e propriedade de novos edifícios comerciais em Portugal </t>
  </si>
  <si>
    <r>
      <rPr>
        <b/>
        <sz val="8"/>
        <color rgb="FF000000"/>
        <rFont val="Santander Text"/>
      </rPr>
      <t>O que é isso?</t>
    </r>
    <r>
      <rPr>
        <sz val="8"/>
        <color rgb="FF000000"/>
        <rFont val="Santander Text"/>
      </rPr>
      <t xml:space="preserve"> Aquisição de edifícios comerciais em território português e entrega um dos seguintes certificados: </t>
    </r>
  </si>
  <si>
    <r>
      <rPr>
        <sz val="8"/>
        <color theme="1"/>
        <rFont val="Anta"/>
      </rPr>
      <t xml:space="preserve">Cumpre UM critério aplicável _
2. Cumpre os limiares e classificações estabelecidos de acordo com o ano de construção do edifício (ver tabela abaixo).
[TABELA A.3.7.2.2.]
Considerar o EPC mínimo se construído APÓS 2021. _
3. Obtenção atual / prevista de UM dos seguintes certificados e classificações:
a. Critério nº 2 aplicado a edifícios construídos antes de 2021
b. LEED (Gold ou superior)
c. BREEAM (Excellent ou superior / “Very Good” com pontuação mínima de 70% na categoria Energia)
d. Certificação DGNB (Gold ou superior)
e. EDGE (Advanced ou Zero Carbon)
f. Passivhaus (Classic ou superior)
g. Home Quality Mark (4 estrelas ou superior)
h. NABERS (4,5 estrelas ou superior)
i. PBE Edificia (classificação ENCE B)
j. Lider A (nível C ou superior, desde que cumpra o Top 15% mais eficiente se construído antes de 31 de dezembro de 2020)
k. Adene – Certificação de eficiência energética e qualidade do ar (SCE – classificação A ou superior, desde que represente o Top 15% mais eficiente se construído antes de 31 de dezembro de 2020)
l. Austin Energy Green Buildings
m. BEAM Plus
n. SCE
o. CCS CASA Colômbia
p. Green Building Initiative
q. WELL
</t>
    </r>
    <r>
      <rPr>
        <sz val="8"/>
        <color rgb="FFFF0000"/>
        <rFont val="Anta"/>
      </rPr>
      <t>r. Phius CORE 2021 _</t>
    </r>
  </si>
  <si>
    <r>
      <rPr>
        <sz val="8"/>
        <color rgb="FF000000"/>
        <rFont val="Santander Text"/>
      </rPr>
      <t xml:space="preserve">Cumpre UM critério aplicável _
1. Obtenção atual/esperada de um dos seguintes certificados:
a. HQE SB v4. Certification
b. </t>
    </r>
    <r>
      <rPr>
        <sz val="8"/>
        <color rgb="FFFF0000"/>
        <rFont val="Santander Text"/>
      </rPr>
      <t xml:space="preserve">PED que é 10% inferior a </t>
    </r>
    <r>
      <rPr>
        <sz val="8"/>
        <color rgb="FF000000"/>
        <rFont val="Santander Text"/>
      </rPr>
      <t>Net Zero Energy Building Certification™ (NZEB)
c. Low-Carbon Buildings Climate Bond Initiative (CBI) Certification _
2.  Cumpre com os limiares e pontuações estabelecidos de acordo com a construção dos edifícios  construction ano (por favor ver tabela abaixo).
[TABLE A.3.7.2.2.]
Considere o EPC mínimo se construído DEPOIS de 2021. _</t>
    </r>
  </si>
  <si>
    <t xml:space="preserve">Polônia – Aquisição de edifícios residenciais </t>
  </si>
  <si>
    <t xml:space="preserve"> A.3.7.3.1. Polônia – Aquisição de edifícios residenciais </t>
  </si>
  <si>
    <t xml:space="preserve">A.3.7.3.1. Aquisição e propriedade de novos edifícios residenciais em Polônia </t>
  </si>
  <si>
    <t xml:space="preserve">Aquisição e propriedade de novos edifícios residenciais em Polônia </t>
  </si>
  <si>
    <r>
      <rPr>
        <b/>
        <sz val="8"/>
        <color rgb="FF000000"/>
        <rFont val="Santander Text"/>
      </rPr>
      <t>O que é isso?</t>
    </r>
    <r>
      <rPr>
        <sz val="8"/>
        <color rgb="FF000000"/>
        <rFont val="Santander Text"/>
      </rPr>
      <t xml:space="preserve"> Aquisição de edifícios da Residentil em território polaco e fornece um dos seguintes certificados: </t>
    </r>
  </si>
  <si>
    <r>
      <rPr>
        <sz val="8"/>
        <color theme="1"/>
        <rFont val="Anta"/>
      </rPr>
      <t xml:space="preserve">Cumpre UM critério aplicável _
2. Cumpre os limiares e classificações estabelecidos de acordo com o ano de construção do edifício (ver tabela abaixo).
[TABELA A.3.7.3.1.]
No caso do critério do Santander, considerar o EPC mínimo se construído APÓS 2021. _
3. Novos edifícios disponibilizam UM dos seguintes certificados:
a. Top 15% de eficiência energética do parque imobiliário nacional ou regional (PED) inferior a 76,59 kWh/m²/ano (em novembro de 2023).
b. LEED (Gold ou superior)
c. BREEAM (Excellent ou superior, sendo “Very Good” aceitável com uma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</si>
  <si>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atual/esperada de um dos seguintes certificados:
a. HQE SB v4. Certification
</t>
    </r>
    <r>
      <rPr>
        <sz val="8"/>
        <color rgb="FFFF0000"/>
        <rFont val="Santander Text"/>
      </rPr>
      <t>b.PED que é 10% inferior a</t>
    </r>
    <r>
      <rPr>
        <sz val="8"/>
        <color rgb="FF000000"/>
        <rFont val="Santander Text"/>
      </rPr>
      <t xml:space="preserve"> Net Zero Energy Building Certification™ (NZEB)
c. Low-Carbon Buildings Climate Bond Initiative (CBI) Certification_
2. Cumpre com os limiares e pontuações estabelecidos de acordo com a construção dos edifícios  construcción ano (por favor ver tabela abaixo).
[TABLE A.3.7.3.1.]
Para o caso do critério do Santander: Considerar o EPC mínimo se construído DEPOIS de 2021. _</t>
    </r>
  </si>
  <si>
    <t xml:space="preserve">Polônia – Aquisição de edifícios comerciais </t>
  </si>
  <si>
    <t xml:space="preserve"> A.3.7.3.2. Polônia – Aquisição de edifícios comerciais </t>
  </si>
  <si>
    <t xml:space="preserve">A.3.7.3.2. Aquisição e propriedade de novos edifícios comerciais em Polônia </t>
  </si>
  <si>
    <t xml:space="preserve">Aquisição e propriedade de novos edifícios comerciais em Polônia </t>
  </si>
  <si>
    <t xml:space="preserve">Aquisição de edifícios comerciais 
</t>
  </si>
  <si>
    <r>
      <rPr>
        <b/>
        <sz val="8"/>
        <color rgb="FF000000"/>
        <rFont val="Santander Text"/>
      </rPr>
      <t xml:space="preserve">O que é isso? </t>
    </r>
    <r>
      <rPr>
        <sz val="8"/>
        <color rgb="FF000000"/>
        <rFont val="Santander Text"/>
      </rPr>
      <t xml:space="preserve">Aquisição de edifícios comerciais em território polaco e fornece um dos seguintes certificados: </t>
    </r>
  </si>
  <si>
    <r>
      <rPr>
        <sz val="8"/>
        <color theme="1"/>
        <rFont val="Anta"/>
      </rPr>
      <t xml:space="preserve">Cumpre UM critério aplicável _
2. Cumpre os limiares e classificações definidos de acordo com o ano de construção dos edifícios (ver tabela abaixo).
[TABELA A.3.7.3.2.]
No caso do critério do Santander, considerar o EPC mínimo se construído APÓS 2021. _
3. Obtenção atual/prevista de UM dos seguintes certificados e classificações:
a. Edifícios construídos após 31 de dezembro de 2020 que se encontrem no top 15% de eficiência energética (PED &lt; 118,26 kWh/m²/ano na Polónia).
b. LEED (Gold ou superior)
c. BREEAM (Excellent ou superior / “Very Good” com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</si>
  <si>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1. Obtenção atual/anterior de um dos seguintes certificados
a. Certificação HQE SB v4. 
b. </t>
    </r>
    <r>
      <rPr>
        <sz val="8"/>
        <color rgb="FFFF0000"/>
        <rFont val="Santander Text"/>
      </rPr>
      <t>PED que está 10% abaixo</t>
    </r>
    <r>
      <rPr>
        <sz val="8"/>
        <color rgb="FF000000"/>
        <rFont val="Santander Text"/>
      </rPr>
      <t xml:space="preserve"> do Net Zero Energy Building Certification™ (NZEB). 
c. Certificação Climate Bonds Initiative (CBI) para edifícios de baixo carbono _.
2. Atende aos limiares e pontuações estabelecidos de acordo com o ano de construção dos edifícios (ver tabela abaixo).
[TABELA A.3.7.3.2.]
Para o critério Santander, considerar o EPC mínimo se construído APÓS 2021. _</t>
    </r>
  </si>
  <si>
    <t xml:space="preserve">Reino Unido – Aquisição de edifícios residenciais </t>
  </si>
  <si>
    <t xml:space="preserve">A.3.7.4.1. Reino Unido – Aquisição de edifícios residenciais </t>
  </si>
  <si>
    <t>A.3.7.4.1. Aquisição e propriedade de novos edifícios residenciais em Reino Unido</t>
  </si>
  <si>
    <t>Aquisição e propriedade de novos edifícios residenciais em Reino Unido</t>
  </si>
  <si>
    <t xml:space="preserve">Aquisição de edifícios residenciais 
</t>
  </si>
  <si>
    <r>
      <rPr>
        <b/>
        <sz val="8"/>
        <color rgb="FF000000"/>
        <rFont val="Santander Text"/>
      </rPr>
      <t xml:space="preserve">O que é isso? </t>
    </r>
    <r>
      <rPr>
        <sz val="8"/>
        <color rgb="FF000000"/>
        <rFont val="Santander Text"/>
      </rPr>
      <t xml:space="preserve">Aquisição de edifícios residenciais em território do Reino Unido e fornece um dos seguintes certificados: </t>
    </r>
  </si>
  <si>
    <r>
      <rPr>
        <sz val="8"/>
        <color theme="1"/>
        <rFont val="Anta"/>
      </rPr>
      <t xml:space="preserve">Cumpre UM critério aplicável _
2. Cumpre os limiares e classificações estabelecidos de acordo com o ano de construção dos edifícios (ver tabela abaixo).
[TABELA A.3.7.4.1.]
No caso do critério do Santander: considerar o EPC mínimo se construído APÓS 2021. _
3. Obtenção atual/prevista de UM dos seguintes certificados e classificações:
a. Edifícios construídos após 31 de dezembro de 2020 que se encontrem no top 15% do desempenho energético do parque imobiliário (EPC B ou superior para Inglaterra, País de Gales, Escócia e Irlanda do Norte — SAP superior a 79).
b. LEED (Gold ou superior)
c. BREEAM (Excellent ou superior / “Very Good” com pontuação mínima de 70% na categoria Energia).
d. Certificação DGNB (Gold ou superior)
e. EDGE (Advanced ou Zero Carbon)
f. Passivhaus (Classic ou superior)
g. Home Quality Mark (4 estrelas ou superior)
h. NABERS (4,5 estrelas ou superior)
i. PBE Edificia (classificação ENCE B)
j. Austin Energy Green Buildings
k. BEAM Plus
l. SCE
m. CCS CASA Colômbia
n. Green Building Initiative
o. WELL
p. Lider A
</t>
    </r>
    <r>
      <rPr>
        <sz val="8"/>
        <color rgb="FFFF0000"/>
        <rFont val="Anta"/>
      </rPr>
      <t>q. Phius CORE 2021 _</t>
    </r>
  </si>
  <si>
    <r>
      <rPr>
        <sz val="8"/>
        <color rgb="FF000000"/>
        <rFont val="Santander Text"/>
      </rPr>
      <t xml:space="preserve">Cumpre UM critério aplicável  _
1. Obtenção atual/esperada de um dos seguintes certificados:
a. HQE SB v4. Certification
</t>
    </r>
    <r>
      <rPr>
        <sz val="8"/>
        <color rgb="FFFF0000"/>
        <rFont val="Santander Text"/>
      </rPr>
      <t xml:space="preserve">b. PED que é 10% inferior a </t>
    </r>
    <r>
      <rPr>
        <sz val="8"/>
        <color rgb="FF000000"/>
        <rFont val="Santander Text"/>
      </rPr>
      <t>Net Zero Energy Building Certification™ (NZEB)
c. Low-Carbon Buildings Climate Bond Initiative (CBI) Certification _
2. Cumpre com os limiares e pontuações estabelecidos de acordo com a construção dos edifícios  construction ano (por favor ver tabela abaixo).
[TABLE A.3.7.4.1.]
Para o caso do critério do Santander: Considerar o EPC mínimo se construído DEPOIS de 2021. _</t>
    </r>
  </si>
  <si>
    <t xml:space="preserve">Outros países - aquisição de edifícios residenciais </t>
  </si>
  <si>
    <t xml:space="preserve">A.3.7.5.1. Outros países - aquisição de edifícios residenciais </t>
  </si>
  <si>
    <t>A.3.7.5.1. Aquisição e propriedade de novos edifícios residenciais em todos os outros países (incluindo UE e não UE)</t>
  </si>
  <si>
    <t>Aquisição e propriedade de novos edifícios residenciais em todos os outros países (incluindo UE e não UE)</t>
  </si>
  <si>
    <r>
      <rPr>
        <b/>
        <sz val="8"/>
        <color rgb="FF000000"/>
        <rFont val="Santander Text"/>
      </rPr>
      <t xml:space="preserve">O que é isso? </t>
    </r>
    <r>
      <rPr>
        <sz val="8"/>
        <color rgb="FF000000"/>
        <rFont val="Santander Text"/>
      </rPr>
      <t xml:space="preserve">Aquisição de edifícios residenciais em qualquer território (exceto Espanha, Portugal, Polônia e Reino Unido) e entrega um dos seguintes certificados: </t>
    </r>
  </si>
  <si>
    <r>
      <rPr>
        <sz val="8"/>
        <color rgb="FF000000"/>
        <rFont val="Anta"/>
      </rPr>
      <t xml:space="preserve">Cumpre UM critério aplicável _
3. Obtenção atual / prevista de UM dos seguintes certificados e classificações:
a. Certificado EPC (B em Itália) / PED no top 15% (ver tabela no critério nº 2)
b. LEED (Gold ou superior)
c. BREEAM (Excellent ou superior / “Very Good” com pontuação mínima de 70% na categoria Energia)
d. Certificação DGNB (Gold ou superior)
e. EDGE (Advanced ou Zero Carbon); EDGE (Certified – Nível 1) para Chile, Brasil, Argentina, Uruguai, Colômbia </t>
    </r>
    <r>
      <rPr>
        <strike/>
        <sz val="8"/>
        <color rgb="FFFF0000"/>
        <rFont val="Anta"/>
      </rPr>
      <t xml:space="preserve">e </t>
    </r>
    <r>
      <rPr>
        <sz val="8"/>
        <color rgb="FF000000"/>
        <rFont val="Anta"/>
      </rPr>
      <t>Peru,</t>
    </r>
    <r>
      <rPr>
        <sz val="8"/>
        <color rgb="FFFF0000"/>
        <rFont val="Anta"/>
      </rPr>
      <t xml:space="preserve"> ou qualquer outro país onde possa ser realizada uma avaliação equivalente, demonstrando que os edifícios com esta certificação fazem parte do Top 15%</t>
    </r>
    <r>
      <rPr>
        <sz val="8"/>
        <color rgb="FF000000"/>
        <rFont val="Anta"/>
      </rPr>
      <t xml:space="preserve">
f. Passivhaus (Classic ou superior)
g. Energy Star para Edifícios (85 ou superior)
h. Green Globes (três globos ou superior)
i. HQE (Excellent ou superior)
j. Living Buildings Challenges
k. Minergie (Minergie A e Minergie Standard)
l. Aqua-HQE (Excellent ou superior)
m. Calificación Energética de Viviendas (CEV) (classificação A e B)
n. Eco-casa (Nível 1 ou superior)
o. NGBS (Gold ou superior)
p. Home Quality Mark (4 estrelas ou superior)
q. NABERS (4,5 estrelas ou superior)
r. PBE Edificia (classificação ENCE B)
s. CCCS CASA Colômbia v3.0
t. Austin Energy Green Buildings
u. BEAM Plus
v. SCE
w. Green Building Initiative
x. WELL
y. Lider A
</t>
    </r>
    <r>
      <rPr>
        <sz val="8"/>
        <color rgb="FFFF0000"/>
        <rFont val="Anta"/>
      </rPr>
      <t>z. Phius CORE 2021 _</t>
    </r>
  </si>
  <si>
    <r>
      <rPr>
        <sz val="8"/>
        <color rgb="FF000000"/>
        <rFont val="Santander Text"/>
      </rPr>
      <t xml:space="preserve">Cumpre UM critério aplicável  _
1. Obtenção atual/esperada de um dos seguintes certificados:
a. HQE SB v4. Certification
</t>
    </r>
    <r>
      <rPr>
        <sz val="8"/>
        <color rgb="FFFF0000"/>
        <rFont val="Santander Text"/>
      </rPr>
      <t xml:space="preserve">b. PED que é 10% inferior a </t>
    </r>
    <r>
      <rPr>
        <sz val="8"/>
        <color rgb="FF000000"/>
        <rFont val="Santander Text"/>
      </rPr>
      <t>Net Zero Energy Building Certification™ (NZEB)
c. Low-Carbon Buildings Climate Bond Initiative (CBI) Certification _
2. Cumpre com os limiares e pontuações estabelecidos de acordo com a construção dos edifícios  construction ano (por favor ver tabela abaixo).
[TABLE A.3.7.5.1.] _</t>
    </r>
  </si>
  <si>
    <t xml:space="preserve">Outros países e Reino Unido - Aquisição de edifícios comerciais </t>
  </si>
  <si>
    <t xml:space="preserve"> A.3.7.5.2. Outros países e Reino Unido - Aquisição de edifícios comerciais </t>
  </si>
  <si>
    <t>A.3.7.5.2. Aquisição e propriedade de novos edifícios comerciais  em todos os outros países (incluindo UE e não UE)</t>
  </si>
  <si>
    <t>Aquisição e propriedade de novos edifícios comerciais  em todos os outros países (incluindo UE e não UE)</t>
  </si>
  <si>
    <t xml:space="preserve">Aquisição de edifícios não residenciais </t>
  </si>
  <si>
    <r>
      <rPr>
        <b/>
        <sz val="8"/>
        <color rgb="FF000000"/>
        <rFont val="Santander Text"/>
      </rPr>
      <t xml:space="preserve">O que é isso? </t>
    </r>
    <r>
      <rPr>
        <sz val="8"/>
        <color rgb="FF000000"/>
        <rFont val="Santander Text"/>
      </rPr>
      <t xml:space="preserve">Aquisição de edifícios comerciais em qualquer território (exceto Espanha, Portugal, Polônia e Reino Unido) e entrega um dos seguintes certificados: </t>
    </r>
  </si>
  <si>
    <r>
      <rPr>
        <sz val="8"/>
        <color rgb="FF000000"/>
        <rFont val="Anta"/>
      </rPr>
      <t xml:space="preserve">Cumpre UM critério aplicável _
3. Obtenção atual / prevista de UM dos seguintes certificados e classificações:
a. Certificado EPC (B em Itália) / PED no top 15% (ver tabela no critério nº 2)
b. LEED (Gold ou superior)
c. BREEAM (Excellent ou superior / “Very Good” com pontuação mínima de 70% na categoria Energia)
d. Certificação DGNB (Gold ou superior)
e. EDGE (Advanced ou Zero Carbon); EDGE (Certified – Nível 1) para Chile, Brasil, Argentina, Uruguai, Colômbia e Peru, </t>
    </r>
    <r>
      <rPr>
        <sz val="8"/>
        <color rgb="FFFF0000"/>
        <rFont val="Anta"/>
      </rPr>
      <t>ou qualquer outro país onde possa ser realizada uma avaliação equivalente, demonstrando que os edifícios com esta certificação fazem parte do Top 15%</t>
    </r>
    <r>
      <rPr>
        <sz val="8"/>
        <color rgb="FF000000"/>
        <rFont val="Anta"/>
      </rPr>
      <t xml:space="preserve">
f. Passivhaus (Classic ou superior)
g. Energy Star para Edifícios (85 ou superior)
h. Green Globes (três globos ou superior)
i. HQE (Excellent ou superior)
j. Living Buildings Challenges
k. Minergie (Minergie A e Minergie Standard)
l. Aqua-HQE (Excellent ou superior)
m. Calificación Energética de Viviendas (CEV) (classificação A e B)
n. Eco-casa (Nível 1 ou superior)
o. NGBS (Gold ou superior)
p. Austin Energy Green Buildings
q. Home Quality Mark (4 estrelas ou superior)
r. NABERS (4,5 estrelas ou superior)
s. PBE Edificia (classificação ENCE B)
t. CCCS CASA Colômbia v3.0
u. BEAM Plus
v. SCE
w. Green Building Initiative
x. WELL
y. Lider A
</t>
    </r>
    <r>
      <rPr>
        <sz val="8"/>
        <color rgb="FFFF0000"/>
        <rFont val="Anta"/>
      </rPr>
      <t>z. Phius CORE 2021 _</t>
    </r>
  </si>
  <si>
    <r>
      <rPr>
        <sz val="8"/>
        <color rgb="FF000000"/>
        <rFont val="Santander Text"/>
      </rPr>
      <t xml:space="preserve">Cumpre UM critério aplicável  _
1. Obtenção atual/esperada de um dos seguintes certificados:
a. HQE SB v4. Certification 
</t>
    </r>
    <r>
      <rPr>
        <sz val="8"/>
        <color rgb="FFFF0000"/>
        <rFont val="Santander Text"/>
      </rPr>
      <t>b. PED que é 10% inferior a</t>
    </r>
    <r>
      <rPr>
        <sz val="8"/>
        <color rgb="FF000000"/>
        <rFont val="Santander Text"/>
      </rPr>
      <t xml:space="preserve"> Net Zero Energy Building Certification™ (NZEB) 
c. Low-Carbon Buildings Climate Bond Initiative (CBI) Certification _
2.
- Cumpre com os limiares e pontuações estabelecidos de acordo com a construção dos edifícios  construction ano, region and Zona climática (por favor ver tabela abaixo*).
[TABLE A.3.7.5.2] _</t>
    </r>
  </si>
  <si>
    <t xml:space="preserve">Engenharia civil </t>
  </si>
  <si>
    <t xml:space="preserve">Manutenção de estradas e autoestradas </t>
  </si>
  <si>
    <t xml:space="preserve">A.3.9. Manutenção de estradas e autoestradas </t>
  </si>
  <si>
    <t xml:space="preserve">Manutenção e restauração da facilidade de manutenção dos elementos das estradas. </t>
  </si>
  <si>
    <r>
      <rPr>
        <b/>
        <sz val="8"/>
        <color rgb="FF000000"/>
        <rFont val="Santander Text"/>
      </rPr>
      <t xml:space="preserve">O que é isso? </t>
    </r>
    <r>
      <rPr>
        <sz val="8"/>
        <color rgb="FF000000"/>
        <rFont val="Santander Text"/>
      </rPr>
      <t xml:space="preserve">Manutenção e restauração da facilidade de manutenção dos elementos das estradas. </t>
    </r>
  </si>
  <si>
    <t>Cumpre TODOS os critérios aplicáveis  _
1. Está em conformidade com UM do seguinte limites relativos à reciclagem não perigosa:
a. Preparação de 100% de resíduos gerados demolidos/removidos (massa em kg), excluindo o enchimento e os materiais que ocorrem naturalmente. 
b. No mínimo 50% (massa em kg) dos elementos recém-instalados são reutilizados, reciclados ou não perigosos subproduto  _
2. Os materiais reciclados não são movidos a uma distância de 2,5 vezes entre a construção e a instalação de produção mais próxima para matérias-primas primárias equivalentes. _
3.
- Uso limitado de matérias-primas primárias através do uso de matérias-primas secundárias. 
- No caso dos metais, o máximo de 30% vem do material primário do matéria prima. _</t>
  </si>
  <si>
    <t xml:space="preserve">Uso de concreto na engenharia civil </t>
  </si>
  <si>
    <t xml:space="preserve">A.3.10. Uso de concreto na engenharia civil </t>
  </si>
  <si>
    <t xml:space="preserve">Utilização de betão para novas construções ou manutenção de infra-estruturas civis que não estejam relacionadas com elementos de superfícies rodoviárias e autoestradas. </t>
  </si>
  <si>
    <r>
      <rPr>
        <b/>
        <sz val="8"/>
        <color rgb="FF000000"/>
        <rFont val="Santander Text"/>
      </rPr>
      <t xml:space="preserve">O que é isso? </t>
    </r>
    <r>
      <rPr>
        <sz val="8"/>
        <color rgb="FF000000"/>
        <rFont val="Santander Text"/>
      </rPr>
      <t xml:space="preserve">Utilização de betão para novas construções ou manutenção de infra-estruturas civis que não estejam relacionadas com elementos de superfícies rodoviárias e autoestradas. </t>
    </r>
  </si>
  <si>
    <t>Cumpre TODOS os critérios aplicáveis _.
1.
- A identificação, a separação, a recolha, a recolha, o processamento e a logística dos resíduos têm de ser melhorados.
- Gestão da qualidade em vigor para atingir 90% de reciclagem de resíduos não perigosos (massa em kg), excluindo aterros e materiais naturais.
- Sistemas de triagem e auditorias pré-demolição. _
2. A conceção da construção apoia a circularidade: quadro de relatórios de nível 2 da UE. _
3.
- Utilização limitada de materiais rodoviários primários através da utilização de matérias-primas secundárias. 
- No caso do betão, um máximo de 70% provém de materiais primários de pedreira. _
4. Os materiais reciclados não são transportados a uma distância superior a 2,5 vezes a distância entre o local de construção e a instalação de produção mais próxima para matérias-primas primárias equivalentes. _
5. A norma ISO 22057:2022 é utilizada para a declaração ambiental dos produtos através de ferramentas electrónicas. O armazenamento a longo prazo desta informação é assegurado através de sistemas nacionais (cadastro). _
6. As pontes, os túneis, as barragens e as eclusas são inspeccionados regularmente pela entidade reguladora nacional. Os dados são utilizados para prever as necessidades de manutenção. _</t>
  </si>
  <si>
    <t xml:space="preserve">Instalação, manutenção e reparação </t>
  </si>
  <si>
    <t xml:space="preserve">Equipamento de eficiência energética </t>
  </si>
  <si>
    <t xml:space="preserve">A.3.3. Equipamento de eficiência energética </t>
  </si>
  <si>
    <t xml:space="preserve">A.3.3. Instalação, manutenção e reparação de equipamentos de eficiência energética </t>
  </si>
  <si>
    <t xml:space="preserve">Instalação, manutenção e reparação de equipamentos de eficiência energética </t>
  </si>
  <si>
    <t xml:space="preserve">Medidas individuais de renovação que consistem na instalação, manutenção ou reparação de equipamentos de eficiência energética. </t>
  </si>
  <si>
    <r>
      <rPr>
        <b/>
        <sz val="8"/>
        <color rgb="FF000000"/>
        <rFont val="Santander Text"/>
      </rPr>
      <t>O que é isso?</t>
    </r>
    <r>
      <rPr>
        <sz val="8"/>
        <color rgb="FF000000"/>
        <rFont val="Santander Text"/>
      </rPr>
      <t xml:space="preserve"> Medidas individuais de renovação que consistem na instalação, manutenção ou reparação de equipamentos de eficiência energética .</t>
    </r>
  </si>
  <si>
    <t>Cumpre UM critério aplicável  _
2.Está em conformidade com UM do seguinte:
a. Substituição de janelas para aumento de eficiência. 
b. Substituição de portas externas para aumento de eficiência.
c. Substituição/instalação de eletrodomésticos (paredes, telhados, lofts, porões, pisos térreos...) para fins de isolamento e aumento de eficiência.
d. Instalação, substituição, manutenção e reparação de sistemas de aquecimento, ventilação e ar condicionado (AVAC) e aquecimento de água para efeitos de aumento de eficiência.
e. Instalação e substituição de fontes de luz energeticamente eficientes.
f. Instalação de baixa água e energia usando cozinha e acessórios de água sanitária: The flow rate is recorded at the standard reference pressure 3 -0/+ 0,2 bar or 0,1 - 0/+0,02 for products limited to low pressure:
     - A taxa de fluxo à pressão mais baixa de 1,5 -0/ mais de 0,2 bar é de ≥ 60% da taxa de fluxo máxima disponível 
     - Para chuveiros misturadores, a temperatura de referência é de 38 ± 1 ̊C
     - Onde o fluxo tem de ser inferior a 6 L/min, está em conformidade com a regra da temperatura de referência de 38 ± 1 ̊C. _
3. Se o instrumento / produtos / serviços não puder ser isolado de atividades complementares:
- Ativos elegíveis acima de 50% do total da fatura.
- Serviços elegíveis e associados (instalação, entrega, etc.) mais de 90% do total da fatura. _</t>
  </si>
  <si>
    <t>Cumpre TODOS os critérios aplicáveis _
1.Quando aplicável, a saída da atividade foi classificada como:
- Antes 2021: A+++ / A++
- Depois 2021: A / B
- Opcionalmente, EPA Energy Star Certificate _
2.Está em conformidade com UM do seguinte:
a. Substituição de janelas para aumento de eficiência. 
b. Substituição de portas externas para aumento de eficiência.
c. Substituição/instalação de eletrodomésticos (paredes, telhados, lofts, porões, pisos térreos...) para fins de isolamento e aumento de eficiência.
d. Instalação, substituição, manutenção e reparação de sistemas de aquecimento, ventilação e ar condicionado (AVAC) e aquecimento de água para efeitos de aumento de eficiência.
e. Instalação e substituição de fontes de luz energeticamente eficientes.
f. Instalação de baixa água e energia usando cozinha e acessórios de água sanitária: 
     - O caudal é registado à pressão de referência normalizada 3 -0/+ 0,2 bar ou 0,1 - 0/+0,02 para produtos limitados a baixa pressão
     - A taxa de fluxo à pressão mais baixa de 1,5 -0/ mais de 0,2 bar é de ≥ 60% da taxa de fluxo máxima disponível 
     - Para chuveiros misturadores, a temperatura de referência é de 38 ± 1 ̊C
     - Onde o fluxo tem de ser inferior a 6 L/min, está em conformidade com a regra da temperatura de referência de 38 ± 1 ̊C. _</t>
  </si>
  <si>
    <t xml:space="preserve">Estações de carregamento de veículos elétricos (edifícios e estacionamento) </t>
  </si>
  <si>
    <t xml:space="preserve">A.3.4. Estações de carregamento de veículos elétricos (edifícios e estacionamento) </t>
  </si>
  <si>
    <t xml:space="preserve">A.3.4. Instalação, manutenção e reparação de estações de carregamento de veículos elétricos em edifícios (e parques de estacionamento ligados a edifícios) </t>
  </si>
  <si>
    <t xml:space="preserve">Instalação, manutenção e reparação de estações de carregamento de veículos elétricos em edifícios (e parques de estacionamento ligados a edifícios) </t>
  </si>
  <si>
    <t xml:space="preserve">Instalação, manutenção ou reparação da estação de carregamento de veículos elétricos (EV) </t>
  </si>
  <si>
    <r>
      <rPr>
        <b/>
        <sz val="8"/>
        <color rgb="FF000000"/>
        <rFont val="Santander Text"/>
      </rPr>
      <t xml:space="preserve">O que é isso? </t>
    </r>
    <r>
      <rPr>
        <sz val="8"/>
        <color rgb="FF000000"/>
        <rFont val="Santander Text"/>
      </rPr>
      <t xml:space="preserve">Instalação, manutenção ou reparação da estação de carregamento de veículos elétricos (EV) </t>
    </r>
  </si>
  <si>
    <t>Cumpre UM critério aplicável
A atividade cumpre a definição. _</t>
  </si>
  <si>
    <t xml:space="preserve">Instrumentos e dispositivos para o desempenho energético dos edifícios </t>
  </si>
  <si>
    <t xml:space="preserve">A.3.5. Instrumentos e dispositivos para o desempenho energético dos edifícios </t>
  </si>
  <si>
    <t xml:space="preserve">A.3.5. Instalação, manutenção e reparação de instrumentos e dispositivos para medição, regulação e controlo do desempenho energético dos edifícios </t>
  </si>
  <si>
    <t xml:space="preserve">Instalação, manutenção e reparação de instrumentos e dispositivos para medição, regulação e controlo do desempenho energético dos edifícios </t>
  </si>
  <si>
    <t xml:space="preserve">Instalação ou manutenção de instrumentos para monitorização do desempenho energético. </t>
  </si>
  <si>
    <r>
      <rPr>
        <b/>
        <sz val="8"/>
        <color rgb="FF000000"/>
        <rFont val="Santander Text"/>
      </rPr>
      <t xml:space="preserve">O que é isso? </t>
    </r>
    <r>
      <rPr>
        <sz val="8"/>
        <color rgb="FF000000"/>
        <rFont val="Santander Text"/>
      </rPr>
      <t xml:space="preserve">Instalação ou manutenção de instrumentos para monitorização do desempenho energético. </t>
    </r>
  </si>
  <si>
    <t>Cumpre UM critério aplicável  _
1. Sistemas solares fotovoltaicos. _
2. Painéis solares de água quente.  _
3. Bombas de calor. _
4. Turbinas eólicas. _
5. Coletores solares transpirados . _
6. Unidades de armazenamento de energia térmica/elétrica. _
7. Fábrica de micro CHP de alta eficiência . _
8. Permutador de calor/sistemas de recuperação. _
9. EPA Energy Star Certificate _</t>
  </si>
  <si>
    <t xml:space="preserve">Tecnologias de energia renovável </t>
  </si>
  <si>
    <t xml:space="preserve">A.3.6. Tecnologias de energia renovável </t>
  </si>
  <si>
    <t xml:space="preserve">A.3.6. Instalação, manutenção e reparação de tecnologias de energias renováveis </t>
  </si>
  <si>
    <t xml:space="preserve">Instalação, manutenção e reparação de tecnologias de energias renováveis </t>
  </si>
  <si>
    <t xml:space="preserve">Instalação ou manutenção de tecnologias de energias renováveis relacionadas com um dos critérios de elegibilidade estabelecidos abaixo. </t>
  </si>
  <si>
    <r>
      <rPr>
        <b/>
        <sz val="8"/>
        <color rgb="FF000000"/>
        <rFont val="Santander Text"/>
      </rPr>
      <t>O que é isso?</t>
    </r>
    <r>
      <rPr>
        <sz val="8"/>
        <color rgb="FF000000"/>
        <rFont val="Santander Text"/>
      </rPr>
      <t xml:space="preserve"> Instalação ou manutenção de tecnologias de energias renováveis relacionadas com um dos critérios de elegibilidade estabelecidos abaixo. </t>
    </r>
  </si>
  <si>
    <t>Cumpre UM critério aplicável  _
1. Sistemas solares fotovoltaicos. _
2. Painéis solares de água quente.  _
3. Bombas de calor. _
4. Turbinas eólicas. _
5. Coletores solares transpirados . _
6. Unidades de armazenamento de energia térmica/elétrica. _
7. Fábrica de micro CHP de alta eficiência . _
8. Permutador de calor/sistemas de recuperação. _
9. EPA Energy Star Certificate. _</t>
  </si>
  <si>
    <t xml:space="preserve">A.3.8. Demolição de edifícios e outras estruturas </t>
  </si>
  <si>
    <t xml:space="preserve">Demolição de edifícios e outras estruturas </t>
  </si>
  <si>
    <t>Demolição de edifícios ou qualquer infraestrutura civil.</t>
  </si>
  <si>
    <r>
      <rPr>
        <b/>
        <sz val="8"/>
        <color rgb="FF000000"/>
        <rFont val="Santander Text"/>
      </rPr>
      <t xml:space="preserve">O que é isso? </t>
    </r>
    <r>
      <rPr>
        <sz val="8"/>
        <color rgb="FF000000"/>
        <rFont val="Santander Text"/>
      </rPr>
      <t>Demolição de edifícios ou qualquer infraestrutura civil.</t>
    </r>
  </si>
  <si>
    <t>Cumpre TODOS os critérios aplicáveis _
3. Para os países não pertencentes à UE, os mesmos critérios coerentes com a taxonomia da UE, com exceção da conformidade com a LTO</t>
  </si>
  <si>
    <t>Cumpre TODOS os critérios aplicáveis  _
1. Antes do início da atividade, deve ser acordado:
- Definição de KPI e alvo. 
- Identificação de riscos e planos de ação. 
- Detalhes de auditoria pré-demolição (especialmente para identificação de resíduos, entificação, separação, recolha e gestão de qualidade). 
- Delinear o plano de gestão de resíduos considerando a descontaminação e a separação como prioridade.  _
2. Está em conformidade com UM do seguinte limites relativos à reciclagem não perigosa:
- Massa mínima de 90% em kg, excluindo o enchimento e os materiais que ocorrem naturalmente. 
- Frações mínimas de resíduos de demolição não perigosos reciclados: :
    - 95% mineral.
    - 70% não-mineral. _</t>
  </si>
  <si>
    <t>Água e Resíduos</t>
  </si>
  <si>
    <t>Águas residuais</t>
  </si>
  <si>
    <t>Recolha e tratamento de águas residuais</t>
  </si>
  <si>
    <t>A.6.3. Recolha e tratamento de águas residuais</t>
  </si>
  <si>
    <t xml:space="preserve">A.6.3. Recolha e tratamento de águas residuais </t>
  </si>
  <si>
    <t xml:space="preserve">Recolha e tratamento de águas residuais </t>
  </si>
  <si>
    <t xml:space="preserve">Construção, renovação e operação de um sistema centralizado de águas residuais incluindo recolha e tratamento sem alteração de material relacionada com a sua capacidade. </t>
  </si>
  <si>
    <r>
      <rPr>
        <b/>
        <sz val="8"/>
        <color rgb="FF000000"/>
        <rFont val="Santander Text"/>
      </rPr>
      <t>O que é isso?</t>
    </r>
    <r>
      <rPr>
        <sz val="8"/>
        <color rgb="FF000000"/>
        <rFont val="Santander Text"/>
      </rPr>
      <t xml:space="preserve"> Construção, renovação e operação de um sistema centralizado de águas residuais incluindo recolha e tratamento sem alteração de material relacionada com a sua capacidade.</t>
    </r>
  </si>
  <si>
    <t>Cumpre UM critério aplicável  _
1. Cumpre TODOS OS seguintes requisitos:
- Infra-estrutura de tratamento de água e rede de esgotos em conformidade com UM:
a. Alimentado por energia renovável. 
b. Consumo de energia líquido igual ou abaixo dos seguintes valores: 
[TABLE A.6.3]
- Caso de construção/extensão de uma estação de tratamento de águas residuais substituindo mais sistemas de tratamento intensivo de gases com efeito de estufa: Avaliação de gases com efeito de estufa e divulgação de resultados às partes interessadas, sob demanda. _
2. Cumpre TODOS OS seguintes requisitos:
- A renovação de um sistema de recolha de uma estação de tratamento de águas residuais melhora o consumo de energia em 20% em comparação com a linha de base.
- O operador demonstra que não existem alterações materiais relacionadas com as condições externas. _</t>
  </si>
  <si>
    <t>6) Água limpa e saneamento
11) Cidades e comunidades sustentáveis
12) Consumo e produção responsáveis</t>
  </si>
  <si>
    <t xml:space="preserve">Tratamento de águas residuais urbanas </t>
  </si>
  <si>
    <t xml:space="preserve">A.6.14. Tratamento de águas residuais urbanas </t>
  </si>
  <si>
    <t>Construção, ampliação, modernização, exploração e renovação das infra-estruturas de águas residuais urbanas, incluindo estações de tratamento, redes de esgotos, estruturas de gestão das águas pluviais, ligações às infra-estruturas de águas residuais, instalações descentralizadas de tratamento de águas residuais, incluindo sistemas individuais e outros sistemas adequados, e estruturas de descarga dos efluentes tratados.</t>
  </si>
  <si>
    <r>
      <rPr>
        <b/>
        <sz val="8"/>
        <color rgb="FF000000"/>
        <rFont val="Santander Text"/>
      </rPr>
      <t xml:space="preserve">O que é isso? </t>
    </r>
    <r>
      <rPr>
        <sz val="8"/>
        <color rgb="FF000000"/>
        <rFont val="Santander Text"/>
      </rPr>
      <t>Construção, extensão, atualização e operação de infraestruturas de águas residuais urbanas.</t>
    </r>
  </si>
  <si>
    <r>
      <rPr>
        <sz val="8"/>
        <color rgb="FF000000"/>
        <rFont val="Santander Text"/>
      </rPr>
      <t xml:space="preserve">Cumpre TODOS os critérios aplicáveis  _
6. As operações alimentadas por fontes de baixo carbono que são usadas para </t>
    </r>
    <r>
      <rPr>
        <sz val="8"/>
        <color rgb="FFFF0000"/>
        <rFont val="Santander Text"/>
      </rPr>
      <t>tratamento de águas residuais</t>
    </r>
    <r>
      <rPr>
        <sz val="8"/>
        <color rgb="FF000000"/>
        <rFont val="Santander Text"/>
      </rPr>
      <t xml:space="preserve"> são iguais ou inferiores a 100 g de CO2e/kWh. _
7. Qualidade da água (pós-tratamento) em conformidade com o limiar definido pela regulamentação local.  _
8.Planos de gestão de resíduos para a eliminação de lamas. _</t>
    </r>
  </si>
  <si>
    <t>Cumpre TODOS os critérios aplicáveis  _
1. O tratamento do sistema de águas residuais não resulta na deterioração dos corpos de água afetados e contribui para melhorar o seu estado. _
2. As informações relacionadas com o estado das massas de água e atividades que afetam o estatuto estão incluídas num plano de conta de gestão ou num plano de gestão equivalente. _
3. Os requisitos de aprovação estabelecidos pelas autoridades locais devem ser cumpridos.  _
4. Foram estabelecidos sistemas para a recolha e fornecimento de tratamentos secundários._
5. Se a capacidade da planta for superior a 100,000 habitantes (ou entrada diária de uma carga bioquímica de procura de oxigénio de cinco dias superior a 6 000 kg), utiliza um tratamento de lamas para a estabilizar. _</t>
  </si>
  <si>
    <t>Sistemas de drenagem urbana sustentável (SUDS)</t>
  </si>
  <si>
    <t>A.6.15. Sistemas de drenagem urbana sustentável (SUDS)</t>
  </si>
  <si>
    <t xml:space="preserve">Instalações de sistemas de drenagem que mitigam a poluição e os riscos de inundação devido a descargas de escoamento urbano e melhoram a qualidade e quantidade da água urbana, através do aproveitamento de processos naturais. </t>
  </si>
  <si>
    <r>
      <rPr>
        <b/>
        <sz val="8"/>
        <color rgb="FF000000"/>
        <rFont val="Santander Text"/>
      </rPr>
      <t xml:space="preserve">O que é isso? </t>
    </r>
    <r>
      <rPr>
        <sz val="8"/>
        <color rgb="FF000000"/>
        <rFont val="Santander Text"/>
      </rPr>
      <t xml:space="preserve">Instalações de </t>
    </r>
    <r>
      <rPr>
        <b/>
        <sz val="8"/>
        <color rgb="FF000000"/>
        <rFont val="Santander Text"/>
      </rPr>
      <t>sistemas de drenagem que mitigam a poluição e os riscos de inundação</t>
    </r>
    <r>
      <rPr>
        <sz val="8"/>
        <color rgb="FF000000"/>
        <rFont val="Santander Text"/>
      </rPr>
      <t xml:space="preserve"> devido a descargas de escoamento urbano e melhoram a qualidade e quantidade da água urbana, através do aproveitamento de processos naturais</t>
    </r>
  </si>
  <si>
    <t>Cumpre TODOS os critérios aplicáveis _
5. Para os países não pertencentes à UE, os mesmos critérios coerentes com a taxonomia da UE, com exceção da conformidade com a LTO</t>
  </si>
  <si>
    <t>Cumpre TODOS os critérios aplicáveis  _
1. Retenção de mais de 90% de água de escoamento ou de água da chuva na área urbanizada. _
2. Funcionamento do sistema de drenagem urbana sustentável integrado no sistema de drenagem urbana e tratamento de águas residuais. _
3. A informação é fornecida sobre a percentagem de uma área específica onde a água da chuva é retida em vez de ser diretamente drenada. _
4. A conceção do sistema de drenagem urbana sustentável permite obter pelo menos um dos seguintes efeitos: 
Atinge UM dos seguintes:
a. Uma percentagem da água da chuva na área de captação é retida e descarregada com um atraso escalonado. 
b. Uma percentagem de poluentes são removidos antes de serem descarregados para as massas de água recetoras. 
c. O fluxo de pico de escoamento é reduzido por uma percentagem quantificada. . _</t>
  </si>
  <si>
    <t xml:space="preserve">Recuperação de fósforo das águas residuais </t>
  </si>
  <si>
    <t xml:space="preserve">A.6.16. Recuperação de fósforo das águas residuais </t>
  </si>
  <si>
    <t>A.6.16 Recuperação de fósforo a partir de águas residuais</t>
  </si>
  <si>
    <t>Recuperação de fósforo a partir de águas residuais</t>
  </si>
  <si>
    <t>Recuperação de fósforo de estações de tratamento de águas residuais urbanas e de materiais após oxidação térmica de lodo de esgoto.</t>
  </si>
  <si>
    <r>
      <rPr>
        <b/>
        <sz val="8"/>
        <color rgb="FF000000"/>
        <rFont val="Santander Text"/>
      </rPr>
      <t>O que é isso?</t>
    </r>
    <r>
      <rPr>
        <sz val="8"/>
        <color rgb="FF000000"/>
        <rFont val="Santander Text"/>
      </rPr>
      <t xml:space="preserve"> Recuperação de fósforo de estações de tratamento de águas residuais urbanas e de materiais após oxidação térmica de lodo de esgoto.</t>
    </r>
  </si>
  <si>
    <t>Cumpre TODOS os critérios aplicáveis _
4. Para os países não pertencentes à UE, os mesmos critérios coerentes com a taxonomia da UE, com exceção da conformidade com a LTO</t>
  </si>
  <si>
    <t>Cumpre TODOS os critérios aplicáveis  _
1. O processo de recuperação do fósforo (material colhido) recupera pelo menos 15% da carga de fósforo recebida.  _
2. Para a recuperação do fluxo descendente após a oxidação térmica do lodo de esgoto, o processo recupera pelo menos 80% da carga de fósforo recebida do respetivo material de entrada. _
3. O fósforo extraído do sistema é usado como um material componente num produto fertilizador ou noutro campo de aplicação. _</t>
  </si>
  <si>
    <t xml:space="preserve">Produção de recursos hídricos alternativos (sem consumo humano) </t>
  </si>
  <si>
    <t xml:space="preserve">A.6.17. Produção de recursos hídricos alternativos (sem consumo humano) </t>
  </si>
  <si>
    <t>Construção, ampliação, exploração e renovação de instalações para a produção de água recuperada, instalações para a recolha de águas pluviais e de águas pluviais e instalações para a recolha e tratamento de águas cinzentas. Estes recursos hídricos alternativos são utilizados para substituir a água proveniente de captações ou dos sistemas de abastecimento de água potável e podem ser utilizados para recarga de aquíferos, irrigação, reutilização industrial, recreio e qualquer outra utilização municipal.</t>
  </si>
  <si>
    <r>
      <rPr>
        <b/>
        <sz val="8"/>
        <color rgb="FFFF0000"/>
        <rFont val="Santander Text"/>
      </rPr>
      <t>O que é isso?</t>
    </r>
    <r>
      <rPr>
        <sz val="8"/>
        <color rgb="FFFF0000"/>
        <rFont val="Santander Text"/>
      </rPr>
      <t xml:space="preserve"> Construção, ampliação, exploração e renovação de instalações para a produção de água recuperada, instalações para a recolha de águas pluviais e de águas pluviais e instalações para a recolha e tratamento de águas cinzentas. Estes recursos hídricos alternativos são utilizados para substituir a água proveniente de captações ou dos sistemas de abastecimento de água potável e podem ser utilizados para recarga de aquíferos, irrigação, reutilização industrial, recreio e qualquer outra utilização municipal.</t>
    </r>
  </si>
  <si>
    <t>Cumpre UM critério aplicável _.
1. produção ou água recuperada: 
Cumpre TODOS:
- A água recuperada é adequada para reutilização.
- O projeto de reutilização da água foi autorizado pela autoridade competente e incluído num plano de gestão da água. 
- Para a reutilização na agricultura, as avaliações dos riscos ambientais são plenamente tidas em conta nos planos de gestão dos riscos. _
2. Instalações de recolha de águas pluviais e de chuva. 
Cumpre TODO:
- O recurso é separado na fonte e não inclui águas residuais.
- A água é adequada para reutilização após tratamento adequado. _
3. Instalações para a recolha e tratamento de águas cinzentas. 
 Cumpre TODO:
- O recurso é separado na fonte. 
- A água é adequada para reutilização após tratamento adequado.
- O desempenho é certificado pela certificação do edifício. _</t>
  </si>
  <si>
    <t>Cumpre UM critério aplicável  _
1.Produção ou água recuperada 
Cumpre com TODOS:
- A água recuperada é adequada para fins de reutilização. 
- O projeto de reutilização da água foi autorizado pela autoridade competente e incluído num plano de gestão da água. 
- Para a reutilização na agricultura, as avaliações dos riscos ambientais são plenamente tidas em conta nos planos de gestão de riscos.  _
2.  Instalações para a colheita de água da chuva e da tempestade. _
Cumpre com TODOS:
- O recurso é segregado na fonte e não inclui águas residuais. 
- A água é adequada para ser reutilizada após um tratamento adequado. 
- A instalação está incluída num instrumento de planeamento urbano ou autorização (não aplicável aos Critérios de Santander).  _
3. Instalações para recolha e tratamento de águas cinzentas_
Cumpre com TODOS
- O recurso é segregado na fonte. 
- A água é adequada para ser reutilizada após um tratamento adequado. 
- O desempenho é atestado por uma certificação de construção. _</t>
  </si>
  <si>
    <t>Gestão de resíduos</t>
  </si>
  <si>
    <t xml:space="preserve">Resíduos não perigosos - Recolha/transporte (frações segregadas da fonte) </t>
  </si>
  <si>
    <t xml:space="preserve">A.6.4. Resíduos não perigosos - Recolha/transporte (frações segregadas da fonte) </t>
  </si>
  <si>
    <t xml:space="preserve">A.6.4. Recolha e transporte de resíduos não perigosos em frações segregadas de fontes </t>
  </si>
  <si>
    <t xml:space="preserve">Recolha e transporte de resíduos não perigosos em frações segregadas de fontes </t>
  </si>
  <si>
    <t xml:space="preserve">Transporte de resíduos não perigosos com fins de reciclagem. </t>
  </si>
  <si>
    <r>
      <rPr>
        <b/>
        <sz val="8"/>
        <color rgb="FF000000"/>
        <rFont val="Santander Text"/>
      </rPr>
      <t xml:space="preserve">O que é isso? </t>
    </r>
    <r>
      <rPr>
        <sz val="8"/>
        <color rgb="FF000000"/>
        <rFont val="Santander Text"/>
      </rPr>
      <t xml:space="preserve">Transporte de resíduos não perigosos com fins de reciclagem. </t>
    </r>
  </si>
  <si>
    <r>
      <rPr>
        <strike/>
        <sz val="8"/>
        <color rgb="FFFF0000"/>
        <rFont val="Anta"/>
      </rPr>
      <t>Não aplicáv</t>
    </r>
    <r>
      <rPr>
        <sz val="8"/>
        <color rgb="FFFF0000"/>
        <rFont val="Anta"/>
      </rPr>
      <t>el Cumpre TODOS os critérios aplicáveis _
2. Sistemas de depósito e devolução e infraestruturas, desde que estejam alinhados com a regulamentação nacional ou regional (por exemplo, Regulamentação de Embalagens e Resíduos na UE) _</t>
    </r>
  </si>
  <si>
    <t>Cumpre TODOS os critérios aplicáveis  _
1. Recolha e transporte separadamente de resíduos não perigosos para reciclagem. _</t>
  </si>
  <si>
    <t xml:space="preserve">Resíduos não perigosos - recuperação de materiais </t>
  </si>
  <si>
    <t xml:space="preserve">A.6.8. Resíduos não perigosos - recuperação de materiais </t>
  </si>
  <si>
    <t xml:space="preserve">A.6.8. Recuperação de materiais a partir de resíduos não perigosos </t>
  </si>
  <si>
    <t xml:space="preserve">Recuperação de materiais a partir de resíduos não perigosos </t>
  </si>
  <si>
    <t>Construção e operação de instalações para triagem e processamento de fluxos separados de resíduos não perigosos em matérias-primas secundárias com reprocessamento mecânico e sem fins de enchimento.</t>
  </si>
  <si>
    <r>
      <rPr>
        <b/>
        <sz val="8"/>
        <color rgb="FF000000"/>
        <rFont val="Santander Text"/>
      </rPr>
      <t xml:space="preserve">O que é isso? </t>
    </r>
    <r>
      <rPr>
        <sz val="8"/>
        <color rgb="FF000000"/>
        <rFont val="Santander Text"/>
      </rPr>
      <t xml:space="preserve">Construção e operação de instalações para triagem e processamento de fluxos separados de resíduos não perigosos em matérias-primas secundárias com </t>
    </r>
    <r>
      <rPr>
        <b/>
        <sz val="8"/>
        <color rgb="FF000000"/>
        <rFont val="Santander Text"/>
      </rPr>
      <t>reprocessamento mecânico e sem fins de enchimento</t>
    </r>
    <r>
      <rPr>
        <sz val="8"/>
        <color rgb="FF000000"/>
        <rFont val="Santander Text"/>
      </rPr>
      <t xml:space="preserve">.
</t>
    </r>
    <r>
      <rPr>
        <b/>
        <sz val="8"/>
        <color rgb="FF000000"/>
        <rFont val="Santander Text"/>
      </rPr>
      <t>Provas recomendadas: A4WS, GRS.</t>
    </r>
  </si>
  <si>
    <t>Cumpre TODOS os critérios aplicáveis  _
2. Gestão da água, reciclagem de resíduos ou reutilização de resíduos (excluindo a reciclagem de plástico) onde os rácios de conversão excedem 50%.  _</t>
  </si>
  <si>
    <t>Cumpre TODOS os critérios aplicáveis  _
1. A atividade converte pelo menos 50% dos resíduos não perigosos (excluindo a reciclagem de plástico) em matérias-primas secundárias adequadas à substituição de matérias-primas virgens nos processos de produção. _</t>
  </si>
  <si>
    <t xml:space="preserve">Resíduos não perigosos e perigosos - recolha/transporte </t>
  </si>
  <si>
    <t xml:space="preserve">A.6.18. Resíduos não perigosos e perigosos - recolha/transporte </t>
  </si>
  <si>
    <t xml:space="preserve">A.6.18. Recolha e transporte de resíduos não perigosos e perigosos </t>
  </si>
  <si>
    <t xml:space="preserve">Recolha e transporte de resíduos não perigosos e perigosos </t>
  </si>
  <si>
    <t xml:space="preserve">Recolha e transporte separados de resíduos não perigosos e perigosos destinados a preparar-se para reutilização ou reciclagem. </t>
  </si>
  <si>
    <r>
      <rPr>
        <b/>
        <sz val="8"/>
        <color rgb="FF000000"/>
        <rFont val="Santander Text"/>
      </rPr>
      <t>O que é isso?</t>
    </r>
    <r>
      <rPr>
        <sz val="8"/>
        <color rgb="FF000000"/>
        <rFont val="Santander Text"/>
      </rPr>
      <t xml:space="preserve"> Recolha e transporte separados de resíduos não perigosos e perigosos destinados a preparar-se para reutilização ou reciclagem. </t>
    </r>
  </si>
  <si>
    <t xml:space="preserve">Cumpre TODOS os critérios aplicáveis  _
1. Todos os resíduos segregados na fonte e destinados à preparação para operações de reutilização.  _
2. Fonte de resíduos: 
a.  Papel e cartão 
b. Têxteis 
c. Bio-resíduos 
d. Madeira 
e. Vidro 
f. Resíduos de equipamentos elétricos 
g. Qualquer tipo de resíduos perigosos recolhidos separadamente. _
3. Resíduos perigosos provenientes de outras fontes que não as do ponto 2 - Está em conformidade com UM:
a. A recolha dos respetivos tipos de resíduos em conjunto não afeta o seu potencial de reciclagem. 
b. A recolha separada não proporciona os melhores resultados ambientais. 
c. A recolha separada não é tecnicamente viável tendo em conta as boas práticas. . _
4. Podem ser colocados juntos diferentes tipos de resíduos perigosos se estiverem devidamente embalados numa caixa de resíduos perigosos.  _
5.Fluxos de resíduos municipais -  Está em conformidade com UM:
a. A atividade realiza a recolha de resíduos sólidos urbanos, principalmente através de recolha porta-a-porta. 
b. A atividade realiza a recolha de resíduos no âmbito da gestão de resíduos organizada publicamente com base num mecanismo de pagamento à medida que atira (PAYT). 
c. A atividade realiza uma recolha separada de resíduos fora dos sistemas de gestão de resíduos organizados publicamente.  _
7. A atividade monitoriza a quantidade e a qualidade dos resíduos recolhidos com base em KPI de acordo com as normas nacionais. _
</t>
  </si>
  <si>
    <t>Cumpre TODOS os critérios aplicáveis  _
1. Todos os resíduos segregados na fonte e destinados à preparação para operações de reutilização.  _
2. Fonte de resíduos: 
a.  Papel e cartão 
b. Têxteis 
c. Bio-resíduos 
d. Madeira 
e. Vidro 
f. Resíduos de equipamentos elétricos 
g. Qualquer tipo de resíduos perigosos recolhidos separadamente. _
3. Resíduos perigosos provenientes de outras fontes que não as do ponto 2 - Está em conformidade com UM:
a. A recolha dos respetivos tipos de resíduos em conjunto não afeta o seu potencial de reciclagem. 
b. A recolha separada não proporciona os melhores resultados ambientais. 
c. A recolha separada não é tecnicamente viável tendo em conta as boas práticas. . _
4. Podem ser colocados juntos diferentes tipos de resíduos perigosos se estiverem devidamente embalados numa caixa de resíduos perigosos.  _
5.Fluxos de resíduos municipais -  Está em conformidade com UM:
a. A atividade realiza a recolha de resíduos sólidos urbanos, principalmente através de recolha porta-a-porta. 
b. A atividade realiza a recolha de resíduos no âmbito da gestão de resíduos organizada publicamente com base num mecanismo de pagamento à medida que atira (PAYT). 
c. A atividade realiza uma recolha separada de resíduos fora dos sistemas de gestão de resíduos organizados publicamente.  _
6. Monitorizar a quantidade e a qualidade dos resíduos recolhidos com base em KPI - cumpre com TODOS:
a. Cumprimento das obrigações de prestação de informação perante as partes interessadas relevantes. 
b. Comunicar periodicamente informações relevantes aos produtores de resíduos e ao público. 
c. Realizar ações correctivas em que os KPI se desviem. _</t>
  </si>
  <si>
    <t xml:space="preserve">Resíduos perigosos - tratamento </t>
  </si>
  <si>
    <t xml:space="preserve">A.6.19. Resíduos perigosos - tratamento </t>
  </si>
  <si>
    <t xml:space="preserve">A.6.19. Tratamento de resíduos perigosos </t>
  </si>
  <si>
    <t xml:space="preserve">Tratamento de resíduos perigosos </t>
  </si>
  <si>
    <t>Instalações para o tratamento de resíduos perigosos.</t>
  </si>
  <si>
    <r>
      <rPr>
        <b/>
        <sz val="8"/>
        <color rgb="FF000000"/>
        <rFont val="Santander Text"/>
      </rPr>
      <t xml:space="preserve">O que é isso? </t>
    </r>
    <r>
      <rPr>
        <sz val="8"/>
        <color rgb="FF000000"/>
        <rFont val="Santander Text"/>
      </rPr>
      <t>Instalações para o tratamento de resíduos perigosos.</t>
    </r>
  </si>
  <si>
    <r>
      <rPr>
        <sz val="8"/>
        <color rgb="FF000000"/>
        <rFont val="Anta"/>
      </rPr>
      <t xml:space="preserve">Cumpre o #1 ou TODOS os restantes critérios aplicáveis  _
1. Está em conformidade com TODOS:
a. Recuperação de material de matérias-primas secundárias a partir de fontes segregadas de resíduos perigosos. 
b. Os materiais recuperados são matérias-primas primárias substitutos. 
c. Os materiais recuperados estão em conformidade com as especificações da indústria aplicáveis._
</t>
    </r>
    <r>
      <rPr>
        <sz val="8"/>
        <color rgb="FFFF0000"/>
        <rFont val="Santander Text"/>
      </rPr>
      <t xml:space="preserve">2. As actividades de poluição relacionadas com o tratamento de resíduos perigosos cumprem TODOS os requisitos:
</t>
    </r>
    <r>
      <rPr>
        <sz val="8"/>
        <color rgb="FF000000"/>
        <rFont val="Santander Text"/>
      </rPr>
      <t>Os processos de tratamento de resíduos cumprem TODOS os requisitos:
  -Cumprir os requisitos estabelecidos nas melhores técnicas disponíveis.
  -Recolha de informações pormenorizadas relacionadas com.
  -Elementos em vigor durante os procedimentos de aceitação:
     -Instalação de receção e laboratório.
     -Processo de amostragem documentado e análises de parâmetros físico-químicos.
     -Área dedicada à armazenagem de resíduos de quarentena.
  -Via de tratamento adequada disponível e via de eliminação ou valorização determinada.
  -No caso de “actividades de mistura” - antes de serem submetidas a essas actividades, a diluição não é utilizada para reduzir a concentração de substâncias perigosas. _
3. O tratamento físico-químico dos resíduos sólidos ou pastosos está em conformidade com TODOS:
- Limitar a 6% a concentração máxima de carbono orgânico total.
- Limitar a 1.000 mg/kg de matéria seca o teor de carbono orgânico dissolvido após um ensaio de lixiviação._
4. Tratamento físico-químico de resíduos com valor calorífico, medidas para evitar a diluição e dispersão de substâncias perigosas e quaisquer cargas elevadas libertadas para a atmosfera. _
5. Tratamento de resíduos líquidos aquosos: 
- Eliminação do carbono orgânico dissolvido superior a 70% em 7 dias (ISO 988852). 
- Todos os resíduos contendo substâncias POP são controlados e rastreados como resíduos perigosos._
6. O sistema de rastreio permite o acompanhamento da separação efectiva e da destruição dos resíduos POP. _
7. As instalações susceptíveis de tratar resíduos constituídos por mercúrio aplicam um sistema de rastreabilidade. _
8. Tratamento de resíduos de cuidados de saúde: aplica as melhores práticas, não aceitando como tratamento resíduos citotóxicos, resíduos farmacêuticos, resíduos químicos e resíduos radioactivos. _</t>
    </r>
  </si>
  <si>
    <t xml:space="preserve">Despoluição/desmantelamento de produtos em fim de vida </t>
  </si>
  <si>
    <t xml:space="preserve">A.6.22. Despoluição/desmantelamento de produtos em fim de vida </t>
  </si>
  <si>
    <t xml:space="preserve">A.6.22. Despoluição e desmantelamento de produtos em fim de vida </t>
  </si>
  <si>
    <t xml:space="preserve">Despoluição e desmantelamento de produtos em fim de vida </t>
  </si>
  <si>
    <t xml:space="preserve">Instalações desmantelando e despoluindo produtos complexos de fim de vida. </t>
  </si>
  <si>
    <r>
      <rPr>
        <b/>
        <sz val="8"/>
        <color rgb="FF000000"/>
        <rFont val="Santander Text"/>
      </rPr>
      <t>O que é isso?</t>
    </r>
    <r>
      <rPr>
        <sz val="8"/>
        <color rgb="FF000000"/>
        <rFont val="Santander Text"/>
      </rPr>
      <t xml:space="preserve"> Instalações desmantelando e despoluindo produtos complexos de fim de vida. </t>
    </r>
  </si>
  <si>
    <t>Cumpre TODOS os critérios aplicáveis  _
1. Desmonta e despolui os resíduos recolhidos separadamente para: 
a. Colheita de peças e componentes adequados para reutilização. 
b. Separar resíduos não perigosos e perigosos. 
c. Remover substâncias, misturas e componentes perigosos. 
d. Encerre a documentação dos materiais que são enviados para tratamento posterior.  _
2. Desmantelamento e despoluição de navios de sucata: Instalação incluída na Lista Europeia de instalações de reciclagem de navios.  _
3. Desmantelamento e despoluição de resíduos de equipamentos elétricos e eletrónicos e veículos em fim de vida: Resíduos originados em pontos de recolha.  _</t>
  </si>
  <si>
    <t xml:space="preserve">Resíduos não perigosos - separação </t>
  </si>
  <si>
    <t xml:space="preserve">A.6.21. Resíduos não perigosos - separação </t>
  </si>
  <si>
    <t xml:space="preserve">A.6.21. Triagem de resíduos não perigosos </t>
  </si>
  <si>
    <t xml:space="preserve">Triagem de resíduos não perigosos </t>
  </si>
  <si>
    <t>Instalações para a triagem ou recuperação de fluxos de resíduos não perigosos.</t>
  </si>
  <si>
    <r>
      <rPr>
        <b/>
        <sz val="8"/>
        <color rgb="FF000000"/>
        <rFont val="Santander Text"/>
      </rPr>
      <t>O que é isso?</t>
    </r>
    <r>
      <rPr>
        <sz val="8"/>
        <color rgb="FF000000"/>
        <rFont val="Santander Text"/>
      </rPr>
      <t xml:space="preserve"> Instalações para a triagem ou recuperação de fluxos de resíduos não perigosos.</t>
    </r>
  </si>
  <si>
    <t>Cumpre TODOS os critérios aplicáveis  _
1. A matéria-prima de resíduos não perigosos tem origem NUM dos seguintes:
a. Recolha e transporte de resíduos separadamente. 
b. Frações de resíduos não perigosos originadas de atividades de desmantelamento e de despoluição provenientes de produtos em fim de vida. 
c. Resíduos de construção e demolição. 
d. Resíduos não perigosos da separação de resíduos mistos (papel, metal, plástico ou vidro).  _
2. As melhores técnicas disponíveis implementadas para melhorar o desempenho ambiental da planta. Em conformidade COM TODOS:
- Procedimento estrito de aceitação de resíduos. 
- Sistema de rastreamento para rastrear a localização e quantidade de resíduos. 
- Sistema de gestão da qualidade de saída. 
- As medidas ou procedimentos relevantes de segregação de resíduos para garantir que os resíduos são mantidos separados. 
- Medidas para garantir a compatibilidade dos resíduos antes da mistura ou mistura de resíduos. 
- Classificando e usando tecnologias de ponta. _</t>
  </si>
  <si>
    <t xml:space="preserve">Resíduos perigosos - Recolha/transporte </t>
  </si>
  <si>
    <t xml:space="preserve">A.6.23. Resíduos perigosos - Recolha/transporte </t>
  </si>
  <si>
    <t xml:space="preserve">A.6.23. Recolha e transporte de resíduos perigosos </t>
  </si>
  <si>
    <t xml:space="preserve">Recolha e transporte de resíduos perigosos </t>
  </si>
  <si>
    <r>
      <rPr>
        <b/>
        <sz val="8"/>
        <color rgb="FF000000"/>
        <rFont val="Santander Text"/>
      </rPr>
      <t xml:space="preserve">O que é isso? </t>
    </r>
    <r>
      <rPr>
        <sz val="8"/>
        <color rgb="FF000000"/>
        <rFont val="Santander Text"/>
      </rPr>
      <t xml:space="preserve"> Separate collection and transport of hazardous waste prior to treatment.</t>
    </r>
  </si>
  <si>
    <t>Cumpre TODOS os critérios aplicáveis  _
1. Os resíduos perigosos são fontes segregadas e recolhidas separadamente dos resíduos não perigosos.  _
2. A recolha e o tratamento adequados evitam fugas de resíduos perigosos. _
3. Quando um dado resíduo classificado como perigoso tiver também um estado de transporte de mercadorias perigosas, cumpre o ADR. _
5. Os resíduos perigosos são embalados e rotulados de acordo com as normas internacionais e da UE. _
6. Resíduos de Material Eléctrico e Electrónico:
- As categorias principais são recolhidas separadamente. 
- A recolha e o transporte preservam a integridade durante a semana. 
- Sistema de gestão. _
7. Cumpre com os requisitos das melhores técnicas disponíveis para tratamento de resíduos. _
8. Os veículos de recolha de resíduos estão em conformidade com, pelo menos, as diretrizes do Santander sobre redução de emissões._</t>
  </si>
  <si>
    <t>Cumpre TODOS os critérios aplicáveis  _
1. Os resíduos perigosos são fontes segregadas e recolhidas separadamente dos resíduos não perigosos.  _
2. A recolha e o tratamento adequados evitam fugas de resíduos perigosos. _
3. Quando um dado resíduo classificado como perigoso tiver também um estado de transporte de mercadorias perigosas, cumpre o ADR. _
4. A atividade utiliza veículos de recolha de resíduos que estão em conformidade com, pelo menos, as NORMAS Euro V. _
5. Os resíduos perigosos são embalados e rotulados de acordo com as normas internacionais e da UE. _
6. Resíduos de Material Eléctrico e Electrónico:
- As categorias principais são recolhidas separadamente. 
- A recolha e o transporte preservam a integridade durante a semana. 
- Sistema de gestão. _
7. Cumpre com os requisitos das melhores técnicas disponíveis para tratamento de resíduos. _</t>
  </si>
  <si>
    <t xml:space="preserve">Gestão de bio-resíduos </t>
  </si>
  <si>
    <t xml:space="preserve">Lodo de esgoto - digestão anaeróbica </t>
  </si>
  <si>
    <t xml:space="preserve">A.6.5. Lodo de esgoto - digestão anaeróbica </t>
  </si>
  <si>
    <t xml:space="preserve">A.6.5. Digestão anaeróbia de lodo de esgoto </t>
  </si>
  <si>
    <t xml:space="preserve">Digestão anaeróbia de lodo de esgoto </t>
  </si>
  <si>
    <t xml:space="preserve">Construção e operação de instalações para o tratamento de lodo de esgoto por digestão anaeróbia. </t>
  </si>
  <si>
    <r>
      <rPr>
        <b/>
        <sz val="8"/>
        <color rgb="FF000000"/>
        <rFont val="Santander Text"/>
      </rPr>
      <t xml:space="preserve">O que é isso? </t>
    </r>
    <r>
      <rPr>
        <sz val="8"/>
        <color rgb="FF000000"/>
        <rFont val="Santander Text"/>
      </rPr>
      <t>Construção e operação de instalações para o tratamento de lodo de esgoto por digestão anaeróbia.</t>
    </r>
  </si>
  <si>
    <t>Cumpre TODOS os critérios aplicáveis _
1. Plano de contingência para minimizar as fugas de metano das instalações. _
2. Os usos do biogás produzido devem ser eletricidade, calor, injeção na rede de gás, combustível para veículos de matéria-prima na indústria química. _</t>
  </si>
  <si>
    <t xml:space="preserve">Bio-resíduos - digestão anaeróbica </t>
  </si>
  <si>
    <t xml:space="preserve">A.6.6. Bio-resíduos - digestão anaeróbica </t>
  </si>
  <si>
    <t xml:space="preserve">A.6.6. Digestão anaeróbia de bio-resíduos </t>
  </si>
  <si>
    <t xml:space="preserve">Digestão anaeróbia de bio-resíduos </t>
  </si>
  <si>
    <t xml:space="preserve">Construção e operação de instalações para o tratamento de bio-resíduos recolhidos separadamente através da digestão anaeróbia. </t>
  </si>
  <si>
    <r>
      <rPr>
        <b/>
        <sz val="8"/>
        <color rgb="FF000000"/>
        <rFont val="Santander Text"/>
      </rPr>
      <t xml:space="preserve">O que é isso? </t>
    </r>
    <r>
      <rPr>
        <sz val="8"/>
        <color rgb="FF000000"/>
        <rFont val="Santander Text"/>
      </rPr>
      <t>Construção e operação de instalações para o tratamento de bio-resíduos recolhidos separadamente através da digestão anaeróbia.</t>
    </r>
  </si>
  <si>
    <t>Cumpre TODOS os critérios aplicáveis  _
1. Plano de contingência para minimizar as fugas de metano das instalações. _
2. Os usos do biogás produzido devem ser eletricidade, calor, injeção na rede de gás, combustível para veículos de matéria-prima na indústria química.  _
3. Os bio-resíduos são segregados na fonte e recolhidos separadamente. _
4. O diestado produzido é usado como fertilizante ou melhorador do solo. _
6. A estação de tratamento de bio-resíduos limita a quantidade de alimentos e rações usadas como matéria-prima de acordo com os padrões de gestão de resíduos do CBI (emissões de metano abaixo 1285CH4/tonelada ou são auditadas por terceiros para garantir um risco mínimo).  _</t>
  </si>
  <si>
    <t>Cumpre TODOS os critérios aplicáveis  _
1. Plano de contingência para minimizar as fugas de metano das instalações. _
2. Os usos do biogás produzido devem ser eletricidade, calor, injeção na rede de gás, combustível para veículos de matéria-prima na indústria química.  _
3. Os bio-resíduos são segregados na fonte e recolhidos separadamente. _
4. O diestado produzido é usado como fertilizante ou melhorador do solo. _
5. A quota média anual das culturas alimentares e alimentares utilizadas como matéria-prima está limitada a 10% de peso. _</t>
  </si>
  <si>
    <t xml:space="preserve">Bio-resíduos - compostagem </t>
  </si>
  <si>
    <t xml:space="preserve">A.6.7. Bio-resíduos - compostagem </t>
  </si>
  <si>
    <t xml:space="preserve">A.6.7. Compostagem de bio-resíduos </t>
  </si>
  <si>
    <t xml:space="preserve">Compostagem de bio-resíduos </t>
  </si>
  <si>
    <t>Construção e operação de instalações para o tratamento de bio-resíduos recolhidos separadamente através da compostagem.</t>
  </si>
  <si>
    <r>
      <rPr>
        <b/>
        <sz val="8"/>
        <color rgb="FF000000"/>
        <rFont val="Santander Text"/>
      </rPr>
      <t xml:space="preserve">O que é isso? </t>
    </r>
    <r>
      <rPr>
        <sz val="8"/>
        <color rgb="FF000000"/>
        <rFont val="Santander Text"/>
      </rPr>
      <t>Construção e operação de instalações para o tratamento de bio-resíduos recolhidos separadamente através da compostagem.</t>
    </r>
  </si>
  <si>
    <t>Cumpre TODOS os critérios aplicáveis  _
1. A atividade cumpre a definição. _
2. O composto produzido é usado como fertilizante ou melhorador do solo. _</t>
  </si>
  <si>
    <t>Cumpre TODOS os critérios aplicáveis  _
1. A atividade cumpre a definição _</t>
  </si>
  <si>
    <t xml:space="preserve">Captação e utilização de bio-gás </t>
  </si>
  <si>
    <t xml:space="preserve">A.6.9. Captação e utilização de bio-gás </t>
  </si>
  <si>
    <t xml:space="preserve">A.6.9. Captação e utilização de gás em aterros </t>
  </si>
  <si>
    <t xml:space="preserve">Captação e utilização de gás em aterros </t>
  </si>
  <si>
    <t>Instalação e operação de infraestruturas para captação e utilização de gás em aterros ou células permanentemente fechadas.</t>
  </si>
  <si>
    <r>
      <rPr>
        <b/>
        <sz val="8"/>
        <color rgb="FF000000"/>
        <rFont val="Santander Text"/>
      </rPr>
      <t>O que é isso?</t>
    </r>
    <r>
      <rPr>
        <sz val="8"/>
        <color rgb="FF000000"/>
        <rFont val="Santander Text"/>
      </rPr>
      <t xml:space="preserve"> Instalação e operação de infraestruturas para captação e utilização de gás em aterros ou células permanentemente fechadas.</t>
    </r>
  </si>
  <si>
    <t>Cumpre UM critério aplicável  _
5. Os aterros permanentemente fechados com novas instalações e equipamentos técnicos complementares devem ter uma eficiência de, pelo menos, 75%.  _
6. Operar aterros somente se forem projetados com uma eficiência de pelo menos 75% (não são aceites aterros abertos ou controlados).  _</t>
  </si>
  <si>
    <t xml:space="preserve">Cumpre TODOS os critérios aplicáveis  _
1. Gás de aterro não foi aberto depois de 8 de julho de 2020.  _
2. O aterro onde o sistema de captação de gás é instalado é fechado permanentemente.  _
3. Os usos do biogás produzido devem ser eletricidade, calor, injeção na rede de gás, combustível para veículos de matéria-prima na indústria química. _
4.  As emissões de metano do aterro e as fugas estão sujeitas a diferentes procedimentos de controlo: 
- Lixiviado: Medição de amostragem mensal e separada e verificação trimestral/bianual da composição. 
- Água de superfície: Verificação a montante e a jusante; verificação trimestral do volume e da composição. 
- Gás: Verificação mensal das emissões potenciais de gás. 
- Amostragem de águas subterrâneas: Monitorização da descarga de resíduos realizada em 3 locais. 
- Monitorização das águas subterrâneas: Bianualmente e realizada a uma frequência local-específica.  _
</t>
  </si>
  <si>
    <t xml:space="preserve">Bio-resíduos - recuperação </t>
  </si>
  <si>
    <t xml:space="preserve">A.6.20. Bio-resíduos - recuperação </t>
  </si>
  <si>
    <t xml:space="preserve">A.6.20. Recuperação de bio-resíduos por digestão anaeróbia ou compostagem </t>
  </si>
  <si>
    <t xml:space="preserve">Recuperação de bio-resíduos por digestão anaeróbia ou compostagem </t>
  </si>
  <si>
    <t>Instalações para o tratamento de bio-resíduos recolhidos separadamente através da digestão anaeróbia.</t>
  </si>
  <si>
    <r>
      <rPr>
        <b/>
        <sz val="8"/>
        <color rgb="FF000000"/>
        <rFont val="Santander Text"/>
      </rPr>
      <t xml:space="preserve">O que é isso? </t>
    </r>
    <r>
      <rPr>
        <sz val="8"/>
        <color rgb="FF000000"/>
        <rFont val="Santander Text"/>
      </rPr>
      <t>Instalações para o tratamento de bio-resíduos recolhidos separadamente através da digestão anaeróbia.</t>
    </r>
  </si>
  <si>
    <t xml:space="preserve">Cumpre TODOS os critérios aplicáveis  _
1.  
     - Bio-resíduos usados para digestão anaeróbia ou compostagem. 
     - Quando são recolhidos em sacos, são certificados pela norma EN 13432:2000.  _
3. A atividade produz composto ou produtos químicos através da conversão de resíduos orgânicos em carboxilatos. _
4. O composto resultante e o digestado não estão cheios de terra.  _
5. O biogás produzido é usado diretamente para a geração de eletricidade ou calor através da substituição de gás natural.  _
6. Os bio-resíduos segregados provenientes de recolha separada estão em conformidade com as normas de gestão de resíduos CBI. </t>
  </si>
  <si>
    <t>Cumpre TODOS os critérios aplicáveis  _
1.  
     - Bio-resíduos usados para digestão anaeróbia ou compostagem. 
     - Quando são recolhidos em sacos, são certificados pela norma EN 13432:2000.  _
2.  
     - Os bio-resíduos segregados provenientes de recolha separada constituem, pelo menos, 70% da matéria-prima de entrada. 
     - A co-digestão pode cobrir até 30% da matéria-prima de entrada. _
3. A atividade produz composto ou produtos químicos através da conversão de resíduos orgânicos em carboxilatos. _
4. O composto resultante e o digestado não estão cheios de terra.  _
5. O biogás produzido é usado diretamente para a geração de eletricidade ou calor através da substituição de gás natural.  _</t>
  </si>
  <si>
    <t xml:space="preserve">Abastecimento de água </t>
  </si>
  <si>
    <t xml:space="preserve">Sistemas de recolha, tratamento e abastecimento de água </t>
  </si>
  <si>
    <t xml:space="preserve">A.6.1. Sistemas de recolha, tratamento e abastecimento de água </t>
  </si>
  <si>
    <t xml:space="preserve">Construção, extensão e operação de sistemas de recolha, tratamento e abastecimento de água. </t>
  </si>
  <si>
    <r>
      <rPr>
        <b/>
        <sz val="8"/>
        <color rgb="FF000000"/>
        <rFont val="Santander Text"/>
      </rPr>
      <t xml:space="preserve">O que é isso? </t>
    </r>
    <r>
      <rPr>
        <sz val="8"/>
        <color rgb="FF000000"/>
        <rFont val="Santander Text"/>
      </rPr>
      <t xml:space="preserve">Construção, extensão e </t>
    </r>
    <r>
      <rPr>
        <b/>
        <sz val="8"/>
        <color rgb="FF000000"/>
        <rFont val="Santander Text"/>
      </rPr>
      <t xml:space="preserve">operação de sistemas de recolha, tratamento e abastecimento de água. </t>
    </r>
  </si>
  <si>
    <t>Cumpre UM critério aplicável _
1. Sistema de abastecimento de água de ponta a ponta max. Consumo médio de energia líquido de 0,5 kWh/m3. _
6. A infraestrutura hídrica documenta pelo menos 20% de poupança de água por unidade de serviço em comparação com a linha de base. _</t>
  </si>
  <si>
    <t>Cumpre UM critério aplicável  _
1. Sistema de abastecimento de água de ponta a ponta max. Consumo médio de energia líquido de 0,5 kWh/m3. _
2. Nível de fuga do sistema de abastecimento de água calculado utilizando o método de classificação ILI e limitado a 1,5.  _
3. Cálculo a aplicar em toda a extensão da rede de abastecimento de água onde são realizadas obras. _
4. Renovação do sistema de abastecimento de água, diminuindo o consumo médio líquido de energia do sistema em 20% para 3 anos. _
5. A renovação do sistema de abastecimento de água restringe a lacuna entre a fuga real da rede de abastecimento (média acima de 3 anos). _</t>
  </si>
  <si>
    <t xml:space="preserve">Dessalinização </t>
  </si>
  <si>
    <t xml:space="preserve">A.6.12. Dessalinização </t>
  </si>
  <si>
    <r>
      <rPr>
        <sz val="8"/>
        <color rgb="FF000000"/>
        <rFont val="Anta"/>
      </rPr>
      <t xml:space="preserve">Instalações de dessalinização destinadas a produzir água para distribuição em sistemas de abastecimento de água potável, </t>
    </r>
    <r>
      <rPr>
        <sz val="8"/>
        <color rgb="FFFF0000"/>
        <rFont val="Santander Text"/>
      </rPr>
      <t>sistemas operacionais de água de processo e para outros fins que não o consumo humano</t>
    </r>
    <r>
      <rPr>
        <sz val="8"/>
        <color rgb="FF000000"/>
        <rFont val="Santander Text"/>
      </rPr>
      <t>.</t>
    </r>
  </si>
  <si>
    <r>
      <rPr>
        <b/>
        <sz val="8"/>
        <color rgb="FF000000"/>
        <rFont val="Santander Text"/>
      </rPr>
      <t>O que é isso?</t>
    </r>
    <r>
      <rPr>
        <sz val="8"/>
        <color rgb="FF000000"/>
        <rFont val="Santander Text"/>
      </rPr>
      <t xml:space="preserve"> Instalações de dessalinização para produzir água para ser distribuída em sistemas de abastecimento de água potável, sistemas </t>
    </r>
    <r>
      <rPr>
        <sz val="8"/>
        <color rgb="FFFF0000"/>
        <rFont val="Santander Text"/>
      </rPr>
      <t>operacionais de água de processo e para outros fins que não o consumo humano</t>
    </r>
    <r>
      <rPr>
        <sz val="8"/>
        <color rgb="FF000000"/>
        <rFont val="Santander Text"/>
      </rPr>
      <t>.</t>
    </r>
  </si>
  <si>
    <t>Cumpre TODOS os critérios aplicáveis _
2. As unidades de dessalinização devem ser alimentadas por fontes de baixo carbono, com uma intensidade média de carbono ≤ 100 g CO2e/kWh, e dispor de um plano de gestão da descarga de salmoura. _</t>
  </si>
  <si>
    <r>
      <t>Cumpre TODOS os critérios aplicáveis _
1. Unidades de dessalinização alimentadas por fontes de baixo carbono</t>
    </r>
    <r>
      <rPr>
        <strike/>
        <sz val="8"/>
        <color rgb="FFFF0000"/>
        <rFont val="Anta"/>
      </rPr>
      <t>, com uma intensidade média de carbono ≤ 100 g CO2e/kWh</t>
    </r>
    <r>
      <rPr>
        <sz val="8"/>
        <color rgb="FFFF0000"/>
        <rFont val="Anta"/>
      </rPr>
      <t xml:space="preserve"> com uma intensidade média de carbono ≤ 1 080 g CO2e/m³ de água doce produzida, e que disponham de planos de gestão de resíduos para a descarga de salmoura. _</t>
    </r>
  </si>
  <si>
    <t xml:space="preserve">A.6.13. Abastecimento de água </t>
  </si>
  <si>
    <t>Sistemas de tratamento e fornecimento para consumo humano baseados na captação de recursos naturais de água da superfície ou da água subterrânea.</t>
  </si>
  <si>
    <r>
      <rPr>
        <b/>
        <sz val="8"/>
        <color rgb="FF000000"/>
        <rFont val="Santander Text"/>
      </rPr>
      <t>O que é isso?</t>
    </r>
    <r>
      <rPr>
        <sz val="8"/>
        <color rgb="FF000000"/>
        <rFont val="Santander Text"/>
      </rPr>
      <t xml:space="preserve"> Sistemas de tratamento e fornecimento para consumo humano baseados na captação de recursos naturais de água da superfície ou da água subterrânea.</t>
    </r>
  </si>
  <si>
    <t>Cumpre TODOS os critérios aplicáveis  _
1. 
- O nível de fuga do sistema é calculado usando o ILII e limitado a 2,0. 
- Os sistemas de abastecimento de água incluem a medição ao nível do consumidor.  _
2.
- O sistema de abastecimento de água recebeu as autorizações necessárias e está registado no registo de abstrações de água. 
- A operação não leva à deterioração do estado dos corpos de água afetados.  _
3. Informações sobre abstrações, o estado das massas de água e pressões-impactos nelas incluídas no plano de contas de gestão ou equivalente. _</t>
  </si>
  <si>
    <t xml:space="preserve">Gestão Sustentável da Água </t>
  </si>
  <si>
    <t xml:space="preserve">A.6.2. Gestão Sustentável da Água </t>
  </si>
  <si>
    <t>Resolver problemas de escassez de água e qualidade da água através da gestão sustentável da água. Ç</t>
  </si>
  <si>
    <r>
      <rPr>
        <b/>
        <sz val="8"/>
        <color rgb="FF000000"/>
        <rFont val="Santander Text"/>
      </rPr>
      <t>O que é isso?</t>
    </r>
    <r>
      <rPr>
        <sz val="8"/>
        <color rgb="FF000000"/>
        <rFont val="Santander Text"/>
      </rPr>
      <t xml:space="preserve"> Resolver problemas de escassez de água e qualidade da água através da </t>
    </r>
    <r>
      <rPr>
        <b/>
        <sz val="8"/>
        <color rgb="FF000000"/>
        <rFont val="Santander Text"/>
      </rPr>
      <t>gestão sustentável</t>
    </r>
    <r>
      <rPr>
        <sz val="8"/>
        <color rgb="FF000000"/>
        <rFont val="Santander Text"/>
      </rPr>
      <t xml:space="preserve"> da água.
</t>
    </r>
    <r>
      <rPr>
        <b/>
        <sz val="8"/>
        <color rgb="FF000000"/>
        <rFont val="Santander Text"/>
      </rPr>
      <t>O que não é?</t>
    </r>
    <r>
      <rPr>
        <sz val="8"/>
        <color rgb="FF000000"/>
        <rFont val="Santander Text"/>
      </rPr>
      <t xml:space="preserve"> Infra-estruturas que fornecem água diretamente para a </t>
    </r>
    <r>
      <rPr>
        <b/>
        <sz val="8"/>
        <color rgb="FF000000"/>
        <rFont val="Santander Text"/>
      </rPr>
      <t>produção de combustíveis fósseis</t>
    </r>
    <r>
      <rPr>
        <sz val="8"/>
        <color rgb="FF000000"/>
        <rFont val="Santander Text"/>
      </rPr>
      <t>.</t>
    </r>
  </si>
  <si>
    <t>Cumpre TODOS os critérios aplicáveis  _
1. Atividades que resolvem a escassez de água e problemas de qualidade da água, aumentam a eficiência da água ou reduzem o uso em mais de 20%.  _</t>
  </si>
  <si>
    <t>Remediação</t>
  </si>
  <si>
    <t xml:space="preserve">Remediação - aterros legalmente não conformes, lixeiras abandonadas/ilegais de resíduos </t>
  </si>
  <si>
    <t xml:space="preserve">A.6.24. Remediação - aterros legalmente não conformes, lixeiras abandonadas/ilegais de resíduos </t>
  </si>
  <si>
    <t xml:space="preserve">A.6.24. Remediação de aterros legalmente não conformes e despejos de resíduos abandonados ou ilegais </t>
  </si>
  <si>
    <t xml:space="preserve">Remediação de aterros legalmente não conformes e despejos de resíduos abandonados ou ilegais </t>
  </si>
  <si>
    <t>Remediação de aterros legalmente não conformes e de lixeiras abandonadas ou ilegais.</t>
  </si>
  <si>
    <r>
      <rPr>
        <b/>
        <sz val="8"/>
        <color rgb="FF000000"/>
        <rFont val="Santander Text"/>
      </rPr>
      <t>O que é isso?</t>
    </r>
    <r>
      <rPr>
        <sz val="8"/>
        <color rgb="FF000000"/>
        <rFont val="Santander Text"/>
      </rPr>
      <t xml:space="preserve"> Remediação de aterros legalmente não conformes e de lixeiras abandonadas ou ilegais.</t>
    </r>
  </si>
  <si>
    <t xml:space="preserve">Cumpre TODOS os critérios aplicáveis  _
1. Atividade de remediação não realizada pelo poluidor. _
2. Os contaminantes relevantes são removidos de acordo com as normas nacionais. _
3. A atividade é conduzida de acordo com as melhores práticas da indústria, incluindo:
- O local de reparação foi fechado. 
- Investigação preparatória realizada. 
- Resultados de investigação utilizados para estudos de viabilidade. 
- Opções de reparação analisadas de acordo com as normas da UE. 
- O projeto de remediação de aterros é aprovado pela autoridade competente. 
- Todos os materiais e combustíveis recuperados não representam um risco para o ambiente ou para a saúde humana. 
- São excluídos os métodos baseados exclusivamente na redução das concentrações de poluentes através da diluição ou da rega. 
- Está implementado um plano de controlo e monitorização de 10 anos. _
</t>
  </si>
  <si>
    <t xml:space="preserve">Remediação - locais e áreas contaminadas </t>
  </si>
  <si>
    <t xml:space="preserve">A.6.25. Remediação - locais e áreas contaminadas </t>
  </si>
  <si>
    <t xml:space="preserve">A.6.25. Remediação de locais e áreas contaminadas </t>
  </si>
  <si>
    <t xml:space="preserve">Remediação de locais e áreas contaminadas </t>
  </si>
  <si>
    <t>Descontaminação ou remediação de solos e águas subterrâneas em áreas poluídas .</t>
  </si>
  <si>
    <r>
      <rPr>
        <b/>
        <sz val="8"/>
        <color rgb="FF000000"/>
        <rFont val="Santander Text"/>
      </rPr>
      <t>O que é isso?</t>
    </r>
    <r>
      <rPr>
        <sz val="8"/>
        <color rgb="FF000000"/>
        <rFont val="Santander Text"/>
      </rPr>
      <t xml:space="preserve"> Descontaminação ou remediação de solos e águas subterrâneas em áreas poluídas .</t>
    </r>
  </si>
  <si>
    <t>Cumpre TODOS os critérios aplicáveis  _
1. Atividade de remediação não realizada pelo poluidor.  _
2. Os contaminantes relevantes são removidos de acordo com as normas nacionais. _
3. A atividade é conduzida de acordo com as melhores práticas da indústria, incluindo:
- A atividade operacional original foi interrompida antes de qualquer avaliação. 
- São realizadas investigações preparatórias. 
- Opções de reparação analisadas de acordo com as normas da UE. 
- Qualquer resíduo perigoso ou não perigoso está sujeito a tratamento adequado. 
- Métodos baseados apenas na redução das concentrações de poluentes através da diluição/rega excluídos. 
- Está implementado um plano de controlo e monitorização de 10 anos.. _
4. O plano específico de remediação e monitorização é aprovado pela autoridade competente. _</t>
  </si>
  <si>
    <t xml:space="preserve">Transporte e armazenamento de carbono </t>
  </si>
  <si>
    <t>Transporte de CO2 capturado através de todos os modos.</t>
  </si>
  <si>
    <r>
      <rPr>
        <b/>
        <sz val="8"/>
        <color rgb="FF000000"/>
        <rFont val="Santander Text"/>
      </rPr>
      <t xml:space="preserve">O que é isso? </t>
    </r>
    <r>
      <rPr>
        <sz val="8"/>
        <color rgb="FF000000"/>
        <rFont val="Santander Text"/>
      </rPr>
      <t>Transporte de CO2 capturado através de todos os modos.</t>
    </r>
  </si>
  <si>
    <t>Cumpre TODOS os critérios aplicáveis
1. o CO2 transportado pela rede não dá origem a fugas superiores a 0,5% da massa transportada. _
2. São implementados sistemas de deteção de fugas e é estabelecido um plano de acompanhamento (verificado por terceiros). _
5.A taxa mínima de captura para toda a instalação deve ser de 90%. _</t>
  </si>
  <si>
    <t xml:space="preserve">Cumpre TODOS os critérios aplicáveis  _
1. O CO2 transportado pela rede não resulta em fugas de mais de 0,5% da massa transportada.  _
2. Sistemas de deteção de fugas são implementados e é estabelecido um plano de acompanhamento (verificado por terceiros). _
3. O CO2 é entregue num local de armazenagem. Estes locais estão em conformidade com a norma ISO 27914:2017.  _
4. Instalação de ativos que melhoram a gestão de uma rede existente._
5. A taxa mínima de captura para toda a instalação deve ser de 90%.  _
</t>
  </si>
  <si>
    <t xml:space="preserve">Armazenamento subterrâneo de CO2 </t>
  </si>
  <si>
    <t xml:space="preserve">A.6.11. Armazenamento subterrâneo de CO2 </t>
  </si>
  <si>
    <t xml:space="preserve">A.6.11. Armazenamento geológico permanente subterrâneo de CO2 </t>
  </si>
  <si>
    <t xml:space="preserve">Armazenamento geológico permanente subterrâneo de CO2 </t>
  </si>
  <si>
    <t xml:space="preserve">Armazenamento permanente de CO2 capturado em formações geológicas subterrâneas apropriadas. </t>
  </si>
  <si>
    <r>
      <rPr>
        <b/>
        <sz val="8"/>
        <color rgb="FF000000"/>
        <rFont val="Santander Text"/>
      </rPr>
      <t>O que é isso?</t>
    </r>
    <r>
      <rPr>
        <sz val="8"/>
        <color rgb="FF000000"/>
        <rFont val="Santander Text"/>
      </rPr>
      <t xml:space="preserve"> Armazenamento permanente de CO2 capturado em formações geológicas subterrâneas apropriadas. </t>
    </r>
  </si>
  <si>
    <t xml:space="preserve">Cumpre TODOS os critérios aplicáveis  _
1. Avaliação do potencial complexo de armazenamento de CO2 se a formação geológica é adequada para uso. _
2. Está em conformidade COM TODOS os seguintes: 
- Devem ser aplicados sistemas adequados para deteção de fugas. 
- Deve ser estabelecido um plano de monitorização para as instalações de injeção e para o ambiente circundante. 
- Os relatórios periódicos são verificados pela Autoridade Nacional competente. _
3. Para a exploração e operação de locais de armazenamento em países terceiros, a atividade está em conformidade com a norma ISO 27914:2017 para armazenamento geológico de CO2.  _
</t>
  </si>
  <si>
    <t>Utilização de materiais reciclados</t>
  </si>
  <si>
    <t>A.6.26. Utilização de materiais reciclados</t>
  </si>
  <si>
    <t>Utilização de materiais reciclados na produção de artigos.</t>
  </si>
  <si>
    <r>
      <rPr>
        <b/>
        <sz val="8"/>
        <color rgb="FFFF0000"/>
        <rFont val="Santander Text"/>
      </rPr>
      <t>O que é isso?</t>
    </r>
    <r>
      <rPr>
        <sz val="8"/>
        <color rgb="FFFF0000"/>
        <rFont val="Santander Text"/>
      </rPr>
      <t xml:space="preserve"> Utilização de materiais reciclados na produção de artigos.</t>
    </r>
  </si>
  <si>
    <t>Cumpre TODOS os critérios aplicáveis: 
1. Produto que contenha pelo menos 50% de material reciclado e em que o produto final possa ser reciclado após a sua utilização.
Estão excluídos os produtos que contenham ou produzam materiais difíceis de reciclar ou altamente poluentes (por exemplo, microplásticos)
2. Os certificados aceites para esta atividade em que se comprove a existência de pelo menos 50% de material reciclado incluem (mas não se limitam a) 
i.Global Recycled Standard (GRS).
ii.	Recycled Claim Standard (RCS)
iii.	Ocean Bound Plastic (OBP)
iv.	Certificado segundo a norma EN 15343</t>
  </si>
  <si>
    <t>Agricultura, silvicultura e pescas</t>
  </si>
  <si>
    <t xml:space="preserve">Agricultura sustentável </t>
  </si>
  <si>
    <t xml:space="preserve">Cultivo sustentável de culturas </t>
  </si>
  <si>
    <t xml:space="preserve">A.7.7. Cultivo sustentável de culturas </t>
  </si>
  <si>
    <t xml:space="preserve">Respeitando o ciclo natural, baixa produção de carbono ou culturas certificadas. </t>
  </si>
  <si>
    <r>
      <rPr>
        <b/>
        <sz val="8"/>
        <color rgb="FF000000"/>
        <rFont val="Santander Text"/>
      </rPr>
      <t>O que é isso?</t>
    </r>
    <r>
      <rPr>
        <sz val="8"/>
        <color rgb="FF000000"/>
        <rFont val="Santander Text"/>
      </rPr>
      <t xml:space="preserve"> Respeitando o ciclo natural, baixa produção de carbono ou culturas certificadas. </t>
    </r>
  </si>
  <si>
    <r>
      <rPr>
        <sz val="8"/>
        <color rgb="FF000000"/>
        <rFont val="Anta"/>
      </rPr>
      <t xml:space="preserve">Cumpre UM critério aplicável _
1. As culturas são cultivadas dentro do seu ciclo natural ou utilizam energia de baixo carbono para aquecimento e energia elétrica. _
2. UMA certificação de agricultura biológica:
a. EU Organic
b. USDA
c. Canada Organic
d. Nespresso AAA Sustainable Quality Program for Organic Farming
e. BioSuisse para agricultura de culturas
f. Orgánico SAGARPA México para agricultura de culturas
g. Orgânico Brasil para agricultura de culturas
h. Certificação SAG de Produtos Orgânicos Agrícolas
i. Regenerative Organic Certified
j. DAKKS – Mayacert
k. Union for Ethical Bio Trade (UEBT)
l. ZERYA – Produção Agro sem Resíduos _
3. UMA certificação de agricultura sustentável:
a. Naturland
b. Linking Environment and Farming (LEAF) Standard
c. Sustainable Rice Platform (SRP)
d. Bord Bia Quality Assurance Scheme
e. Fairtrade International
f. ProTerra Standard para agricultura de culturas
g. Rainforest Alliance
h. Bonsucro
i. UTZ Certification para agricultura de culturas
j. 4C Code of Conduct
k. C.A.F.E Practices Verification
l. Global Good Agricultural Practice (GlobalG.A.P.), incluindo Integrated Farm Assurance – Crops Base
m. Fairtrade International
n. Planet Proof
</t>
    </r>
    <r>
      <rPr>
        <strike/>
        <sz val="8"/>
        <color rgb="FFFF0000"/>
        <rFont val="Anta"/>
      </rPr>
      <t>o. Wineries for Climate Protection (WfCP)
p</t>
    </r>
    <r>
      <rPr>
        <sz val="8"/>
        <color rgb="FFFF0000"/>
        <rFont val="Anta"/>
      </rPr>
      <t xml:space="preserve">.o. </t>
    </r>
    <r>
      <rPr>
        <sz val="8"/>
        <color rgb="FF000000"/>
        <rFont val="Anta"/>
      </rPr>
      <t xml:space="preserve">RSPO – Roundtable on Sustainable Palm Oil
</t>
    </r>
    <r>
      <rPr>
        <sz val="8"/>
        <color rgb="FFFF0000"/>
        <rFont val="Anta"/>
      </rPr>
      <t>p. Aapresid Certificaciones (Cert. Agricultura Sustentable Certificada – ASC, Argentina)
q. Buenas Prácticas Agrícolas Certificadas (BPA, Argentina) a nível nacional
r. Certificación OIA (Organización Internacional Agropecuaria, Argentina)
s. SAI Platform
t. Certificados de produção integrada (apenas de Espanha e Portugal)
u. Certificado de cultivo sustentável _</t>
    </r>
    <r>
      <rPr>
        <sz val="8"/>
        <color rgb="FF000000"/>
        <rFont val="Anta"/>
      </rPr>
      <t xml:space="preserve">
4. UMA certificação de soja:
a. Roundtable for Responsible Soy (RTRS)
b. Programa 3S da Cargill (Triple S Soy)
5. UMA certificação de algodão:
a. Better Cotton Initiative (BCI)
b. ECOCERT COMOS Organic
c. OEKO-TEX Organic Cotton
d. ABR Algodão Brasileiro Responsável / Brazilian Responsible Cotton (ABR) _
</t>
    </r>
    <r>
      <rPr>
        <sz val="8"/>
        <color rgb="FFFF0000"/>
        <rFont val="Anta"/>
      </rPr>
      <t>6. UMA certificação de vinho:
a. Wineries for Climate Protection (WfCP)
b. Bodegas de Argentina (Argentina)
c. Código Nacional de Sustentabilidade da Indústria Vinícola (Chile) – Sustainability Code for Wineries of Chile
d. Referencial Nacional de Certificação de Sustentabilidade no Setor do Vinho (Portugal)
e. Wines of Alentejo Sustainability Programme (Portugal) _</t>
    </r>
  </si>
  <si>
    <t>12) Consumo responsável e produção
14) Vida abaixo da água
15) A vida em terra</t>
  </si>
  <si>
    <t xml:space="preserve">Remediação do solo </t>
  </si>
  <si>
    <t xml:space="preserve">A.7.8. Remediação do solo </t>
  </si>
  <si>
    <t xml:space="preserve">Recuperação e restauração de solos degradados </t>
  </si>
  <si>
    <r>
      <rPr>
        <b/>
        <sz val="8"/>
        <color rgb="FF000000"/>
        <rFont val="Santander Text"/>
      </rPr>
      <t>O que é isso?</t>
    </r>
    <r>
      <rPr>
        <sz val="8"/>
        <color rgb="FF000000"/>
        <rFont val="Santander Text"/>
      </rPr>
      <t xml:space="preserve"> Recuperação e restauração de solos degradados </t>
    </r>
  </si>
  <si>
    <t>Cumpre UM critério aplicável  _
1. Normas da UE relativas às boas condições agrícolas e ambientais da terra (GAEC, Certificación Ecológica), relativas à gestão do solo. _
2. Medidas para evitar a salinização e manter a sua fertilidade  _
3. UMA das seguintes melhores práticas: 
- Pastagens biodiversas semeadas (não pastoreio industrial de gado) 
- Fixação biológica de azoto 
- Baixo uso de fertilizantes sintéticos, como o uso de fertilizantes orgânicos 
- Uso mínimo de pesticidas 
- Tratamento do solo para produção de biogás 
- Agricultura seca 
- Rotação da cultura 
- Sementeira de diversas culturas de cobertura  _</t>
  </si>
  <si>
    <t xml:space="preserve">Tecnologias agrícolas de baixo carbono </t>
  </si>
  <si>
    <t xml:space="preserve">A.7.9. Tecnologias agrícolas de baixo carbono </t>
  </si>
  <si>
    <t xml:space="preserve">A.7.9. Tecnologias agrícolas de baixo carbono para melhorar a eficiência (por exemplo, técnicas utilizadas na agricultura de precisão, na agricultura hidropónica, na agricultura de aeroponia) </t>
  </si>
  <si>
    <t xml:space="preserve">Tecnologias agrícolas de baixo carbono para melhorar a eficiência (por exemplo, técnicas utilizadas na agricultura de precisão, na agricultura hidropónica, na agricultura de aeroponia) </t>
  </si>
  <si>
    <t xml:space="preserve">Tecnologias agrícolas de baixo carbono que melhoram a produtividade e a eficiência, reduzindo o impactos ambiental </t>
  </si>
  <si>
    <r>
      <rPr>
        <b/>
        <sz val="8"/>
        <color rgb="FF000000"/>
        <rFont val="Santander Text"/>
      </rPr>
      <t>O que é isso?</t>
    </r>
    <r>
      <rPr>
        <sz val="8"/>
        <color rgb="FF000000"/>
        <rFont val="Santander Text"/>
      </rPr>
      <t xml:space="preserve"> Tecnologias agrícolas de baixo carbono que melhoram a produtividade e a eficiência, reduzindo o impactos ambiental </t>
    </r>
  </si>
  <si>
    <t>Cumpre UM critério aplicável  _
1. Melhorar a produtividade e a eficiência reduzindo o impactos ambiental.  _
2. Fontes de energia renováveis no processo agrícola.  _
3. Actividade que contribui para os objetivos ambientais de 6 
- Mitigação das alterações climáticas 
- Adaptação às alterações climáticas 
- Uso sustentável e proteção da água e dos recursos marinhos 
- Transição para uma economia circular 
- Prevenção e controlo da poluição 
- Proteção / restauração da biodiversidade _</t>
  </si>
  <si>
    <t xml:space="preserve">Máquinas elétricas eficientes (Expt. tecnologia para produção pecuária) </t>
  </si>
  <si>
    <t xml:space="preserve">A.7.10. Máquinas elétricas eficientes (Expt. tecnologia para produção pecuária) </t>
  </si>
  <si>
    <t xml:space="preserve">A.7.10. Máquinas elétricas eficientes, excluindo a tecnologia para a produção de gado </t>
  </si>
  <si>
    <t xml:space="preserve">Máquinas elétricas eficientes, excluindo a tecnologia para a produção de gado </t>
  </si>
  <si>
    <t xml:space="preserve">Máquinas elétricas não utilizadas para unidades de produção de gado, aumentando a eficiência e reduzindo as emissões </t>
  </si>
  <si>
    <r>
      <rPr>
        <b/>
        <sz val="8"/>
        <color rgb="FF000000"/>
        <rFont val="Santander Text"/>
      </rPr>
      <t xml:space="preserve">O que é isso? </t>
    </r>
    <r>
      <rPr>
        <sz val="8"/>
        <color rgb="FF000000"/>
        <rFont val="Santander Text"/>
      </rPr>
      <t xml:space="preserve">Máquinas elétricas não utilizadas para unidades de produção de gado, aumentando a eficiência e reduzindo as emissões </t>
    </r>
  </si>
  <si>
    <t>Cumpre UM critério aplicável  _
1. Veículos com zero emissões. _
2- Veículos pesados de baixas emissões com emissões específicas de CO2 diretas inferiores a 50% da referência do seu grupo.  _
3. Melhorar a eficiência do uso de fertilizantes . _
4. Aquisição de máquinas elétricas de baixa emissão ou I&amp;D. _</t>
  </si>
  <si>
    <t>Práticas agrícolas regenerativas</t>
  </si>
  <si>
    <r>
      <rPr>
        <b/>
        <sz val="8"/>
        <color rgb="FF000000"/>
        <rFont val="Santander Text"/>
      </rPr>
      <t xml:space="preserve">O que é isso? </t>
    </r>
    <r>
      <rPr>
        <sz val="8"/>
        <color rgb="FF000000"/>
        <rFont val="Santander Text"/>
      </rPr>
      <t xml:space="preserve">Práticas agrícolas regenerativas </t>
    </r>
  </si>
  <si>
    <r>
      <rPr>
        <sz val="8"/>
        <color theme="1"/>
        <rFont val="Anta"/>
      </rPr>
      <t xml:space="preserve">Cumpre UM critério aplicável _
1. Agricultura sem mobilização do solo (no-till) OU recebe financiamento do Eco-regime P4. _
2. Práticas de culturas de cobertura que preservam a estrutura biológica OU recebe financiamento do Eco-regime P3. _
3. Rotação de culturas OU recebe financiamento do Eco-regime P3. _
4. Reduzir a dependência de insumos sintéticos. _
5. Desenvolver sistemas silvopastoris que combinem pastoreio gerido e técnicas de agroflorestação. _
6. Regenerative Organic Certified / Certificação Ecológica / Programa Farm Sustainability Assessment (FSA) / ISCC Non-GMO Food &amp; Feed. _
</t>
    </r>
    <r>
      <rPr>
        <sz val="8"/>
        <color rgb="FFFF0000"/>
        <rFont val="Anta"/>
      </rPr>
      <t>7. Certificações Aapresid (Cert. Agricultura Sustentável Certificada – ASC) _</t>
    </r>
  </si>
  <si>
    <t xml:space="preserve">Estruturas agrícolas </t>
  </si>
  <si>
    <t xml:space="preserve">A.7.12. Estruturas agrícolas </t>
  </si>
  <si>
    <t xml:space="preserve">Estruturas para economia de água e energia </t>
  </si>
  <si>
    <r>
      <rPr>
        <b/>
        <sz val="8"/>
        <color rgb="FF000000"/>
        <rFont val="Santander Text"/>
      </rPr>
      <t>O que é isso?</t>
    </r>
    <r>
      <rPr>
        <sz val="8"/>
        <color rgb="FF000000"/>
        <rFont val="Santander Text"/>
      </rPr>
      <t xml:space="preserve"> Estruturas para economia de água e energia </t>
    </r>
  </si>
  <si>
    <t>Cumpre UM critério aplicável  _
1. Estruturas agrícolas aquecidas: 30 % de redução do consumo de energia ou 100% de energia renovável (novas estruturas).  _
2. Outras estruturas agrícolas: Assegurar a poupança de água e de energia. _
3. Agricultura interior: Garantir a redução do uso de água, energia e fertilizantes e a estrutura é adequada às condições climáticas do local. _</t>
  </si>
  <si>
    <t xml:space="preserve">A.7.13. Sistemas integrados de agricultura-pecuária-silvicultura (ICLFS) </t>
  </si>
  <si>
    <t xml:space="preserve">Sistemas integrados de agricultura-pecuária-silvicultura (ICLFS) </t>
  </si>
  <si>
    <t xml:space="preserve">Operações que utilizam o ICLFS, onde as operações têm processos sustentáveis de gestão florestal. </t>
  </si>
  <si>
    <r>
      <rPr>
        <b/>
        <sz val="8"/>
        <color rgb="FF000000"/>
        <rFont val="Santander Text"/>
      </rPr>
      <t>O que é isso?</t>
    </r>
    <r>
      <rPr>
        <sz val="8"/>
        <color rgb="FF000000"/>
        <rFont val="Santander Text"/>
      </rPr>
      <t xml:space="preserve"> Operações que utilizam o ICLFS, onde as operações têm processos sustentáveis de gestão florestal. </t>
    </r>
  </si>
  <si>
    <t>Cumpre UM critério aplicável  _
1. Cumpre a definição EXCLUINDO projetos de gestão de gado para processadores/produtores de carne à escala industrial, e projetos para gado à escala industrial. _</t>
  </si>
  <si>
    <t xml:space="preserve">Produção sustentável de alimentos </t>
  </si>
  <si>
    <t xml:space="preserve">A.7.14. Produção sustentável de alimentos </t>
  </si>
  <si>
    <t xml:space="preserve">A.7.14. Produção de Alimentos sustentáveis </t>
  </si>
  <si>
    <t xml:space="preserve">Produção de Alimentos sustentáveis </t>
  </si>
  <si>
    <t xml:space="preserve">Alimentos com baixos aditivos para reduzir a formação de gás ou garantir a certificação da soja (excluindo projetos à escala industrial) </t>
  </si>
  <si>
    <r>
      <rPr>
        <b/>
        <sz val="8"/>
        <color rgb="FF000000"/>
        <rFont val="Santander Text"/>
      </rPr>
      <t>O que é isso?</t>
    </r>
    <r>
      <rPr>
        <sz val="8"/>
        <color rgb="FF000000"/>
        <rFont val="Santander Text"/>
      </rPr>
      <t xml:space="preserve"> Alimentos com baixos aditivos para reduzir a formação de gás ou garantir a certificação da soja (excluindo projetos à escala industrial) </t>
    </r>
  </si>
  <si>
    <t>Cumpre UM critério aplicável  _
1. Processo de produção alinhado com os Critérios de Santander (TODOS) para:
- Cultivo sustentável de culturas 
- Gestão de gado 
- Estruturas agrícolas  _
2. Aditivos para reduzir a formação de metano ou outros gases no intestino.  _
3. Produção certificada de soja certificada (UMA): 
-The Roundtable on Responsible Soy Association (RTRS) 
- The ProTerra Standard for Sustainable Soy Production 
- Cargill Triple S™ (Sustainably Sourced &amp; Supplied) 
- Certificación Ecológica
- Farm Sustainability Assessment (FSA) Program.
- Basel Criteria for Responsible Soy Production
- European Compound Feed Manufacturers’ Federation (FEFAC) Soy Sourcing Guidelines
- US Soy Sustainability Assurance Protocol (SSAP)
- ISCC Non-GMO Food &amp; Feed _</t>
  </si>
  <si>
    <t xml:space="preserve">Produção agrícola sustentável </t>
  </si>
  <si>
    <t xml:space="preserve">A.7.18. Produção agrícola sustentável </t>
  </si>
  <si>
    <t>A produção em conformidade com as normas agrícolas</t>
  </si>
  <si>
    <r>
      <rPr>
        <b/>
        <sz val="8"/>
        <color rgb="FF000000"/>
        <rFont val="Santander Text"/>
      </rPr>
      <t>O que é isso?</t>
    </r>
    <r>
      <rPr>
        <sz val="8"/>
        <color rgb="FF000000"/>
        <rFont val="Santander Text"/>
      </rPr>
      <t xml:space="preserve"> A produção em conformidade com as normas agrícolas </t>
    </r>
  </si>
  <si>
    <r>
      <rPr>
        <sz val="8"/>
        <color rgb="FF000000"/>
        <rFont val="Anta"/>
      </rPr>
      <t xml:space="preserve">Cumpre TODOS os critérios aplicáveis _
1. Produção de culturas avançadas de bioenergia de rotação curta em terras marginais/pastagens, em conformidade com o Sistema de Certificação Ambiental Greening. _
2. Evitação de emissões de GEE no armazenamento e processamento de estrume e chorume, e gestão de pastagens através de PELO MENOS UM dos seguintes:
a. Otimização da fertilização
b. Aplicações e máquinas de chorume de baixas emissões _
3. Equipamentos agrícolas elétricos para a produção de culturas e pecuária. _
4. UMA atividade agrícola certificada:
A. UMA certificação de agricultura biológica:
a. EU Organic
b. USDA
c. Canada Organic
d. Nespresso AAA Sustainable Quality Program for Organic Farming
e. BioSuisse para agricultura de culturas
f. Orgánico SAGARPA México para agricultura de culturas
g. Orgânico Brasil para agricultura de culturas
h. Certificação SAG de Produtos Orgânicos Agrícolas
i. Regenerative Organic Certified
j. DAKKS – Mayacert
B. UMA certificação de agricultura sustentável:
a. Naturland
b. Linking Environment and Farming (LEAF) Standard
c. Good Cultivation and Harvesting Practices for Medicinal Plants (GACP)
d. Sustainable Rice Platform (SRP)
e. Bord Bia Quality Assurance Scheme
f. ProTerra Standard para agricultura de culturas
g. Rainforest Alliance
h. Bonsucro
i. UTZ Certification para agricultura de culturas
j. 4C Code of Conduct
k. C.A.F.E Practices Verification
l. Global Good Agricultural Practice (GlobalG.A.P.), incluindo Integrated Farm Assurance – Crops Base
m. Sustainable Agriculture Network Standards (SAN)
n. Planet Proof
o. Tesco Nurture
p. Wineries for Climate Protection (WfCP)
</t>
    </r>
    <r>
      <rPr>
        <sz val="8"/>
        <color rgb="FFFF0000"/>
        <rFont val="Anta"/>
      </rPr>
      <t>q. Certificações Aapresid (Cert. Agricultura Sustentável Certificada – ASC)
r. Certificados de produção integrada (apenas de Espanha e Portugal)
s. Certificado de cultivo sustentável</t>
    </r>
    <r>
      <rPr>
        <sz val="8"/>
        <color rgb="FF000000"/>
        <rFont val="Anta"/>
      </rPr>
      <t xml:space="preserve">
C. UMA certificação de soja:
a. Roundtable for Responsible Soy (RTRS)
b. Programa 3S da Cargill (Triple S Soy)
D. UMA certificação de algodão:
a. Better Cotton Initiative (BCI)
b. ECOCERT COMOS Organic
c. OEKO-TEX Organic Cotton
d. ABR Algodão Brasileiro Responsável / Brazilian Responsible Cotton (ABR) _</t>
    </r>
  </si>
  <si>
    <t>Agricultura organica</t>
  </si>
  <si>
    <t>A.7.19. Agricultura organica</t>
  </si>
  <si>
    <t xml:space="preserve">A.7.19. Agricultura orgânica </t>
  </si>
  <si>
    <t xml:space="preserve">Agricultura orgânica </t>
  </si>
  <si>
    <t xml:space="preserve">Evitar o uso de fertilizantes sintéticos e pesticidas na agricultura </t>
  </si>
  <si>
    <r>
      <rPr>
        <b/>
        <sz val="8"/>
        <color rgb="FF000000"/>
        <rFont val="Santander Text"/>
      </rPr>
      <t>O que é isso?</t>
    </r>
    <r>
      <rPr>
        <sz val="8"/>
        <color rgb="FF000000"/>
        <rFont val="Santander Text"/>
      </rPr>
      <t xml:space="preserve"> Evitar o uso de fertilizantes sintéticos e pesticidas na agricultura </t>
    </r>
  </si>
  <si>
    <r>
      <rPr>
        <sz val="8"/>
        <color rgb="FF000000"/>
        <rFont val="Santander Text"/>
      </rPr>
      <t xml:space="preserve">Cumpre UM critério aplicável  _
1. Está em conformidade COM TODOS os seguintes:
- Evitar fertilizantes e pesticidas.
- Registado numa agência nacional de controlo relevante.
- inspeção e um conjunto de verificações de conformidade da produção orgânica.
- Processo de conversão em curso:
      - Durante o processo de conversão, a produção não pode ser vendida como orgânica. 
      - O seu comprimento depende do tipo de produto orgânico a ser produzido. _
2. UM do seguinte certificates:
a. EU Organic
b. USDA 
c. Canada Organic
d. Nespresso AAA Sustainable Quality Program for Organic Farming
e. Orgánico SAGARPA Mexico for cropping agriculture
f. Organico Brasil for cropping agriculture
g. JAS Organic Label
h. SAG's Certificación de Productos Orgánicos Agricolas 
i. Biosuisse for cropping agriculture 
j. Naturland 
</t>
    </r>
    <r>
      <rPr>
        <sz val="8"/>
        <color rgb="FFFF0000"/>
        <rFont val="Santander Text"/>
      </rPr>
      <t xml:space="preserve">k. DAKKS - Mayacert
l. Norma global para têxteis orgânicos
</t>
    </r>
    <r>
      <rPr>
        <sz val="8"/>
        <color rgb="FF000000"/>
        <rFont val="Santander Text"/>
      </rPr>
      <t xml:space="preserve">m. Certificação equivalente (certificación ecológica)
</t>
    </r>
    <r>
      <rPr>
        <strike/>
        <sz val="8"/>
        <color rgb="FF000000"/>
        <rFont val="Santander Text"/>
      </rPr>
      <t>n. Critérios de Basileia para a Produção Responsável de Soja
o. ISCC Non-GMO Food &amp; Feed</t>
    </r>
    <r>
      <rPr>
        <sz val="8"/>
        <color rgb="FF000000"/>
        <rFont val="Santander Text"/>
      </rPr>
      <t xml:space="preserve"> _</t>
    </r>
  </si>
  <si>
    <t xml:space="preserve">Compra e transformação de terras sustentáveis </t>
  </si>
  <si>
    <t xml:space="preserve">A.7.20. Compra e transformação de terras sustentáveis </t>
  </si>
  <si>
    <t xml:space="preserve">Transformar terras agrícolas recém-adquiridas com práticas agrícolas que reduzem as emissões </t>
  </si>
  <si>
    <r>
      <rPr>
        <b/>
        <sz val="8"/>
        <color rgb="FF000000"/>
        <rFont val="Santander Text"/>
      </rPr>
      <t>O que é isso?</t>
    </r>
    <r>
      <rPr>
        <sz val="8"/>
        <color rgb="FF000000"/>
        <rFont val="Santander Text"/>
      </rPr>
      <t xml:space="preserve"> Transformar terras agrícolas recém-adquiridas com práticas agrícolas que reduzem as emissões</t>
    </r>
  </si>
  <si>
    <t xml:space="preserve">Cumpre TODOS os critérios aplicáveis _
1. Antes da aquisição, apresentou um plano de gestão agrícola.  _
2. Auditorias realizadas para garantir o cumprimento das metas e metas de sustentabilidade.  _
3. Recolha e relatórios precisos de dados. _
4. Os KPIs de sustentabilidade incluem fertilização sustentável, gestão do solo, gestão da água e práticas de gestão da biodiversidade. _
</t>
  </si>
  <si>
    <t xml:space="preserve">Florestação / reflorestação </t>
  </si>
  <si>
    <t xml:space="preserve">Florestação </t>
  </si>
  <si>
    <t xml:space="preserve">A.7.1. Florestação </t>
  </si>
  <si>
    <t xml:space="preserve">Plantar, semear ou regenerar uma floresta numa terra anteriormente utilizada para um propósito diferente/não utilizada </t>
  </si>
  <si>
    <r>
      <rPr>
        <b/>
        <sz val="8"/>
        <color rgb="FF000000"/>
        <rFont val="Santander Text"/>
      </rPr>
      <t xml:space="preserve">O que é isso? </t>
    </r>
    <r>
      <rPr>
        <sz val="8"/>
        <color rgb="FF000000"/>
        <rFont val="Santander Text"/>
      </rPr>
      <t xml:space="preserve">Plantar, semear ou regenerar uma floresta numa terra anteriormente utilizada para um propósito diferente/não utilizada. </t>
    </r>
  </si>
  <si>
    <r>
      <rPr>
        <sz val="8"/>
        <color rgb="FF000000"/>
        <rFont val="Anta"/>
      </rPr>
      <t xml:space="preserve">Cumpre UM critério aplicável _
1. Atividades relacionadas com papel, madeira ou cortiça (apenas se provenientes de florestas bem geridas de acordo com o FSC e o PEFC. Caso contrário, NÃO elegível). </t>
    </r>
    <r>
      <rPr>
        <sz val="8"/>
        <color rgb="FFFF0000"/>
        <rFont val="Anta"/>
      </rPr>
      <t>Para cortiça proveniente de Espanha ou Portugal, a certificação não é obrigatória, mas uma avaliação Ambiental e Social deve confirmar a inexistência de problemas. Se o teor de cortiça for inferior a 90%, os materiais e o processo de fabrico devem ser especificamente revistos para verificar a conformidade. _</t>
    </r>
    <r>
      <rPr>
        <sz val="8"/>
        <color rgb="FF000000"/>
        <rFont val="Anta"/>
      </rPr>
      <t xml:space="preserve">
2. Certificação por um esquema credível, incluindo para o milho (por exemplo, FSC, PEFC). _
3. Eco-regime P5 quando toda a área recebe financiamento. _</t>
    </r>
  </si>
  <si>
    <t>Cumpre TODOS os critérios aplicáveis _
4. Conteúdo do plano de arborização com mais de 5 anos, continuamente atualizado e monitorizado:
-Descrição da zona / publicação no jornal oficial.
Preparação do sítio e seus impactos nas reservas de carbono pré-existentes
-Restrições, definição e avaliação das estratégias e da gestão dos riscos
-Avaliação dos impactos na segurança alimentar
-Contexto do habitat florestal
Infra-estruturas e acessos
-Questões sociais
5. Plano de gestão florestal com mais de 10 anos, incluindo o conteúdo do critério n.º 4. _
6. Sistemas de gestão para assegurar a manutenção das existências de carbono e dos níveis de sumidouros de carbono (sujeitos a devida diligência). _
7. Cumpre UM dos seguintes requisitos:
a. Orientações pan-europeias para a florestação e a reflorestação, com especial atenção para as disposições da CQNUAC.
b. No caso de actividades de cultivo, desbaste ou pastoreio, é necessária uma avaliação do seu potencial invasivo. _
8. As florestas com mais de 13 ha efectuam uma análise dos benefícios climáticos para os reservatórios de carbono que cumprem TODO:
-O balanço de emissões de GEE a 30 anos é inferior às práticas de base BAU na ausência da atividade.
-Conservador e consistente com as Diretrizes do IPCC para os Inventários Nacionais de Gases com Efeito de Estufa. 
Avaliação de riscos para: não permanência e reversão do sequestro, saturação e fuga de carbono.
-A prática de BAU é UMA das seguintes:
i. Práticas do Plano de Gestão
ii. Práticas de gestão antes do arranque
iii. gestão de stocks de carbono e níveis de sumidouros. 
-A resolução é proporcional à dimensão e aos valores da área.
As emissões/remoções devidas a perturbações naturais que causem um desempenho inferior não resultam em incumprimento. _
9. Após 2 anos e, posteriormente, de 10 em 10 anos: critérios de atenuação das alterações climáticas e do DNSH verificados por UMA das seguintes entidades
-Autoridade nacional.
-Certificador externo independente. _</t>
  </si>
  <si>
    <t xml:space="preserve">Gestão florestal </t>
  </si>
  <si>
    <t xml:space="preserve">A.7.3. Gestão florestal </t>
  </si>
  <si>
    <t xml:space="preserve">Atividades de gestão florestal de acordo com a lei nacional. </t>
  </si>
  <si>
    <r>
      <rPr>
        <b/>
        <sz val="8"/>
        <color rgb="FF000000"/>
        <rFont val="Santander Text"/>
      </rPr>
      <t xml:space="preserve">O que é isso? </t>
    </r>
    <r>
      <rPr>
        <sz val="8"/>
        <color rgb="FF000000"/>
        <rFont val="Santander Text"/>
      </rPr>
      <t xml:space="preserve">Atividades de gestão florestal de acordo com a lei nacional. </t>
    </r>
  </si>
  <si>
    <r>
      <rPr>
        <sz val="8"/>
        <color rgb="FF000000"/>
        <rFont val="Anta"/>
      </rPr>
      <t xml:space="preserve">Cumpre UM critério aplicável _
7. Atende a UMA das seguintes atividades:
- Restauração de florestas nativas e de alto valor de conservação.
- Preservação de habitats naturais valiosos.
- Restauração de parques ou telhados verdes em áreas urbanas.
- Conservação permanente de terras / não causada pelo cliente - remediação de solos contaminados.
- Financiamento de regimes ecológicos em toda a área (cumpre o objetivo ONE): 
- P5 (zonas de biodiversidade)
- P6 (coberto vegetal semeado)
- P7 (coberto inerte). 
- </t>
    </r>
    <r>
      <rPr>
        <sz val="8"/>
        <color rgb="FFFF0000"/>
        <rFont val="Santander Text"/>
      </rPr>
      <t>Certificado de Gestão Florestal Sustentável (derivação portuguesa do PEFC)</t>
    </r>
  </si>
  <si>
    <t>Cumpre TODOS os critérios aplicáveis _.
1. Conteúdo do plano de arborização com mais de 10 anos, continuamente atualizado e monitorizado:
- Descrição da área / ordenamento do território
- Preparação do local e seus impactos nas reservas de carbono pré-existentes
-Definição e avaliação da gestão de restrições, riscos e estratégias
- Contexto do habitat florestal
- Infra-estruturas e acesso
- Questões sociais _
2. Cumpre UMA das seguintes condições:
a. A gestão florestal corresponde à definição nacional.
b. Orientações pan-europeias para a florestação e a reflorestação, com especial destaque para as disposições da CQNUAC.
c. Biomassa sólida do ISCC (apenas nos Países Baixos).
d. Certificação Ecológica.
e. Sistemas de gestão em vigor para garantir (TODOS):
- A legalidade das operações de corte
- Regeneração florestal das áreas exploradas
- Proteção de áreas designadas para fins de proteção da natureza
- A manutenção dos níveis de stocks e sumidouros de carbono na floresta _
3. Sistemas de gestão sujeitos à devida diligência. _
4. Não há degradação de terras com elevado stock de carbono e valor de biodiversidade. _
5. As florestas com mais de 13 ha efectuam uma análise dos benefícios climáticos para os reservatórios de carbono em conformidade com o programa ALL:
-O balanço de emissões de GEE a 30 anos é inferior à linha de base das práticas BAU na ausência da atividade.
-Conservador e consistente com as Diretrizes do IPCC para os Inventários Nacionais de Gases com Efeito de Estufa. 
-Avaliação de risco para: não permanência e reversão do sequestro de carbono, saturação e fuga.
-A prática de BAU é UMA das seguintes:
-Práticas do Plano de Gestão
-Práticas de gestão antes do início da atividade
-Gestão dos níveis de stock e sumidouro de carbono 
-A resolução é proporcional à dimensão e aos valores da área.
-As emissões / remoções devidas a perturbações naturais que causam um desempenho inferior não resultam em incumprimento. _
6. Após 2 anos e, posteriormente, de 10 em 10 anos: Critérios de Mitigação das Alterações Climáticas e DNSH verificados por UM dos seguintes:
- Autoridade nacional.
- Certificador independente de terceira parte. _</t>
  </si>
  <si>
    <t xml:space="preserve">Conservação da terra, restauração, remediação do solo </t>
  </si>
  <si>
    <t xml:space="preserve">Reabilitação e restauração de florestas </t>
  </si>
  <si>
    <t xml:space="preserve">A.7.2. Reabilitação e restauração de florestas </t>
  </si>
  <si>
    <t xml:space="preserve">A.7.2. Reabilitação e restauração de florestas, incluindo reflorestamento e regeneração natural de florestas após um evento extremo </t>
  </si>
  <si>
    <t xml:space="preserve">Reabilitação e restauração de florestas, incluindo reflorestamento e regeneração natural de florestas após um evento extremo </t>
  </si>
  <si>
    <t xml:space="preserve">Reabilitação e restauração de florestas de acordo com a lei nacional. </t>
  </si>
  <si>
    <r>
      <rPr>
        <b/>
        <sz val="8"/>
        <color rgb="FF000000"/>
        <rFont val="Santander Text"/>
      </rPr>
      <t>O que é isso?</t>
    </r>
    <r>
      <rPr>
        <sz val="8"/>
        <color rgb="FF000000"/>
        <rFont val="Santander Text"/>
      </rPr>
      <t xml:space="preserve"> Reabilitação e restauração de florestas de acordo com a lei nacional. </t>
    </r>
  </si>
  <si>
    <t>Cumpre TODOS os critérios aplicáveis _.
1. 10+ ano, continuamente atualizados e monitorizados conteúdos do plano de florestação:
- Descrição da área / ordenamento do território
- Preparação do local e seus impactos nas reservas de carbono pré-existentes
- Definição e avaliação dos condicionalismos, dos riscos e da estratégia de gestão
- Contexto do habitat florestal
- Infra-estruturas e acesso
- Questões sociais _
2. 
Cumpre UMA das seguintes condições:
a. A gestão florestal corresponde à definição nacional
b. Orientações pan-europeias para a florestação e a reflorestação, com especial destaque para as disposições da CQNUAC.
c. Certificação ecológica.
d. ISCC Solid Biomass (apenas nos Países Baixos).
e. Sistemas de gestão em vigor para garantir (TODOS):
- Legalidade das operações de corte
- Regeneração florestal das áreas exploradas
- Proteção de áreas designadas para fins de proteção da natureza
- A manutenção dos níveis de stocks e sumidouros de carbono na floresta _
3. Sistemas de gestão sujeitos à devida diligência. _
4. Não há degradação de terras com elevado stock de carbono e valor de biodiversidade _
5. As florestas com mais de 13 ha efectuam uma análise dos benefícios climáticos para os reservatórios de carbono, em conformidade com o programa ALL:
- O balanço de 30 anos das emissões de GEE é inferior à linha de base das práticas BAU na ausência da atividade.
- Conservador e coerente com as Diretrizes do IPCC para os Inventários Nacionais de Gases com Efeito de Estufa. 
- Avaliação de riscos para: não permanência e reversão do sequestro, saturação e fuga de carbono.
- A prática BAU é UMA das seguintes:
- Práticas do Plano de Gestão
- Práticas de gestão anteriores ao início da atividade
-Gestão dos níveis de stock e sumidouro de carbono 
- A resolução é proporcional à dimensão e aos valores da área.
- As emissões/remoções devidas a perturbações naturais que causam um desempenho inferior não resultam em incumprimento. _
6. Após 2 anos e, posteriormente, de 10 em 10 anos: Critérios de Mitigação das Alterações Climáticas e DNSH verificados por UMA das seguintes entidades
- Autoridade nacional
- Certificador independente de terceira parte. _</t>
  </si>
  <si>
    <t xml:space="preserve">Conservação florestal </t>
  </si>
  <si>
    <t xml:space="preserve">A.7.4. Conservação florestal </t>
  </si>
  <si>
    <t>Actividades de gestão florestal com o objetivo de preservar um ou mais habitats ou espécies.</t>
  </si>
  <si>
    <r>
      <rPr>
        <b/>
        <sz val="8"/>
        <color rgb="FF000000"/>
        <rFont val="Santander Text"/>
      </rPr>
      <t>O que é isso?</t>
    </r>
    <r>
      <rPr>
        <sz val="8"/>
        <color rgb="FF000000"/>
        <rFont val="Santander Text"/>
      </rPr>
      <t xml:space="preserve"> Proteção do habitat – gestão florestal orientada.</t>
    </r>
  </si>
  <si>
    <r>
      <rPr>
        <sz val="8"/>
        <color theme="1"/>
        <rFont val="Anta"/>
      </rPr>
      <t xml:space="preserve">Cumpre UM critério aplicável _
</t>
    </r>
    <r>
      <rPr>
        <sz val="8"/>
        <color rgb="FF0070C0"/>
        <rFont val="Santander Text"/>
      </rPr>
      <t>8</t>
    </r>
    <r>
      <rPr>
        <sz val="8"/>
        <color theme="1"/>
        <rFont val="Santander Text"/>
      </rPr>
      <t>. Atende a UMA das seguintes atividades:
- Restauração de florestas nativas e de alto valor de conservação. 
- Preservação de valiosos habitats naturais. 
- Restauração de parques ou telhados verdes em áreas urbanas. 
- Conservação permanente da terra/não causada pelo cliente - remediação de solos contaminados. 
- Financiamento dos Eco-Schemes de área inteira (cumpre UM): 
   - P5 (áreas de biodiversidade)
   - P6 (cobertura vegetal semeada)
   - P7 (tampa inerte). _</t>
    </r>
  </si>
  <si>
    <t>Cumpre TODOS os critérios aplicáveis
1. 10+ ano, continuamente atualizados e monitorizados conteúdos do plano de florestação
 - Descrição da área/observação 
- Preparação do local e seus impactos nos estoques de carbono pré-existentes
- Restrições, definição e avaliação da gestão de riscos e estratégias Impacto na avaliação da segurança alimentar 
- Contexto de habitat florestal Infraestrutura e acesso 
- Questões sociais  _
2. Plano está em conformidade COM TODOS os seguintes:
a. Objetivo: Proteção do solo/água, conservação da biodiversidade ou serviços sociais e promoção de práticas amigas da biodiversidade. 
b. IInclui uma análise que contém:
   - Impacto na conservação e diversidade do habitat 
   - Condição de colheita minimizando os impactos do solo 
   - Impactando as atividades nos objetivos de conservação (pesca, mineração, etc.). _
3. Não há degradação de terras com elevado valor de carbono e biodiversidade _
4. Sistemas de gestão sujeitos à devida diligência for ensuring carbon stocks and sink levels maintenance. _
5. Está em conformidade com UM do seguinte:
a. A gestão florestal corresponde à definição nacional
b. Pan-European Guidelines for Afforestation and Reforestation com um foco especial nas disposições da UNFCCC .
c. Certificación ecológica.
d. Em caso de realização de atividades de tending, raleio ou pastoreio, é necessária uma avaliação do seu potencial caráter invasivo  _
6.  Florestas com mais de 13 ha conduzem uma análise de benefícios climáticos para piscinas de carbono que cumpram com TODOS:
  - 30 ano o equilíbrio das emissões de gases com efeito de estufa é menor do que a linha de base das práticas da BAU na ausência da atividade. 
  - Conservador e consistente com as diretrizes do IPCC para inventários nacionais de gases com efeito de estufa. 
  - Avaliação de risco para: não permanência e reversões de sequestro de carbono, saturação e vazamento. 
  - BAU prática é UMA das seguintes: 
    -Management Plan
   -Práticas de gestão antes do início da atividade 
   -Gestão de níveis de carbono e de sumidouros 
- A resolução é proporcional ao tamanho e aos valores da área.
- As emissões/remoções devido a perturbações naturais que causam subdesempenho não resultam em incumprimento.  _
7.  Após 2 anos e a cada 10 anos depois: Climate Change Mitigation and DNSH Critérios verificados por UM dos seguintes:
- Autoridade Nacional
- Terceiro certificador independente. _</t>
  </si>
  <si>
    <t xml:space="preserve">Restauração de zonas húmidas </t>
  </si>
  <si>
    <t xml:space="preserve">A.7.5. Restauração de zonas húmidas </t>
  </si>
  <si>
    <t>Regresso às condições originais de promoção de zonas húmidas.</t>
  </si>
  <si>
    <r>
      <rPr>
        <b/>
        <sz val="8"/>
        <color rgb="FF000000"/>
        <rFont val="Santander Text"/>
      </rPr>
      <t>O que é isso?</t>
    </r>
    <r>
      <rPr>
        <sz val="8"/>
        <color rgb="FF000000"/>
        <rFont val="Santander Text"/>
      </rPr>
      <t xml:space="preserve"> Regresso às condições originais de promoção de zonas húmidas. </t>
    </r>
  </si>
  <si>
    <t>Cumpre TODOS os critérios aplicáveis_
1. Consistente com Convenção de Ramsar, continuamente monitorizada e atualizada, plano de gestão que abrange (TODOS): 
- Objetivos de gestão de locais plano estratégico e descrição das atividades. 
- Fatores, restrições e obrigações que influenciam as caraterísticas e objetivos do projetos
- Fórum de conflitos de interesses Programa de monitorização integral. 
- Recursos e orçamento 
- Canais de comunicação com todas as partes interessadas 
- Assegurar o cumprimento das políticas locais, nacionais e internacionais 
- Consideração cuidadosa das condições hidrológicas e pedológicas locais (saturação do solo, condições aeróbicas e anaeróbicas, etc.)  _
2. Análise do benefício climático para poças de carbono em conformidade COM TODOS: 
- 30 ano o equilíbrio das emissões de gases com efeito de estufa é menor do que a linha de base das práticas da BAU na ausência da atividade. 
- O balanço líquido de longo prazo de 100 anos de GEEs é menor do que a linha de base equivalente. 
- Conservador e consistente com as diretrizes do IPCC para inventários nacionais de gases com efeito de estufa (se necessário, incluindo a identificação das diferentes categorias de terra cobertas pela área envolvida). 
- Avaliação de risco para: não permanência e reversões de sequestro de carbono, saturação e vazamento. 
- Caso das zonas húmidas costeiras: Projeções do aumento relativo esperado do nível do mar e do potencial que as zonas húmidas irão migrar. 
- BAU prática é UMA das seguintes: 
     - Práticas do Plano de Gestão Práticas de gestão antes do início da atividade
     - Gestão de níveis de carbono e de sumidouros 
     - A resolução é proporcional ao tamanho e aos valores da área. 
     - As emissões/remoções devido a perturbações naturais que causam subdesempenho não resultam em incumprimento. _
3. Após 2 anos e a cada 10 anos depois: Climate Change Mitigation and DNSH Critérios verificados por UM dos seguintes:
- Autoridade Nacional
- Terceiro certificador independente. _</t>
  </si>
  <si>
    <t xml:space="preserve">Conservação/restauro de habitats, ecossistemas e espécies </t>
  </si>
  <si>
    <t xml:space="preserve">A.7.6. Conservação/restauro de habitats, ecossistemas e espécies </t>
  </si>
  <si>
    <t xml:space="preserve">A.7.6. Conservação, incluindo a restauração, de habitats, ecossistemas e espécies </t>
  </si>
  <si>
    <t xml:space="preserve">Conservação, incluindo a restauração, de habitats, ecossistemas e espécies </t>
  </si>
  <si>
    <t>Restauração de florestas nativas e de alto valor de conservação ou preservação da biodiversidade em áreas urbanas</t>
  </si>
  <si>
    <r>
      <rPr>
        <b/>
        <sz val="8"/>
        <color rgb="FF000000"/>
        <rFont val="Santander Text"/>
      </rPr>
      <t>O que é isso?</t>
    </r>
    <r>
      <rPr>
        <sz val="8"/>
        <color rgb="FF000000"/>
        <rFont val="Santander Text"/>
      </rPr>
      <t xml:space="preserve"> Restauração de florestas nativas e de alto valor de conservação ou preservação da biodiversidade em áreas urbanas </t>
    </r>
  </si>
  <si>
    <t>Cumpre TODOS os critérios aplicáveis _
1. Objetivo: Manutenção de ecossistemas, espécies, habitats ou de habitats de espécies.  _
2. Objetivo: Restaurar ecossistemas, habitats ou habitats de espécies para ou para boas condições.  _
3. Descrição das condições ecológicas iniciais da área que contém: 
- Mapeamento dos habitats atuais e da sua condição. 
- Estado de proteção da área. 
- Situação de conservação das principais espécies, habitats ou habitats de espécies. 
- Importância da área. 
- Melhorar as possibilidades. 
4. Plano de gestão continuamente monitorizado e atualizado que contém:
a. Contribuição esperada da atividade. 
b. Lista de espécies, habitats e habitats das espécies que irão beneficiar das medidas de conservação. 
c. Plano e roteiro. 
d. Avaliação de riscos e tópicos e medidas para garantir que todos os critérios de DNSH para esta atividade sejam alcançados. 
e. Questões sociais. 
f. Se aplicável, melhorar os serviços do ecossistema. 
g. Esquema de monitorização e KPIs. 
h. Partes interessadas e parcerias. 
i. Necessário financiamento.  _</t>
  </si>
  <si>
    <t xml:space="preserve">A.7.17. Sequestro de carbono </t>
  </si>
  <si>
    <t xml:space="preserve">A.7.17. Atividades de sequestro de carbono </t>
  </si>
  <si>
    <t xml:space="preserve">Atividades de sequestro de carbono </t>
  </si>
  <si>
    <t xml:space="preserve">Processo natural ou artificial de remoção de CO2 da atmosfera a ser mantida na forma sólida ou líquida </t>
  </si>
  <si>
    <r>
      <rPr>
        <b/>
        <sz val="8"/>
        <color rgb="FF000000"/>
        <rFont val="Santander Text"/>
      </rPr>
      <t>O que é isso?</t>
    </r>
    <r>
      <rPr>
        <sz val="8"/>
        <color rgb="FF000000"/>
        <rFont val="Santander Text"/>
      </rPr>
      <t xml:space="preserve"> Processo natural ou artificial de remoção de CO2 da atmosfera a ser mantida na forma sólida ou líquida </t>
    </r>
  </si>
  <si>
    <t>Cumpre TODOS os critérios aplicáveis _
1. Não há conversão de terras com alto teor de carbono (HCV ou HCF de acordo com o FSC). _
2. Apoia as melhores práticas relevantes de baixo consumo de gases do efeito estufa demonstradas por UMA das seguintes:
a. Redução % das emissões de gases com efeito de estufa ao longo do período de investimento vs. Início.
b. Evidência de boas práticas agrícolas de baixas emissões. _
3.  Interdependências críticas entre a intervenção e a unidade de produção agrícola. Identificados sistemas mais amplos relacionados.  _
4.  Avaliação de riscos climáticos físicos essenciais, que podem incluir uma Avaliação de Impacto Ambiental ou equivalente. _</t>
  </si>
  <si>
    <t>A.7.15. Pecuária</t>
  </si>
  <si>
    <t xml:space="preserve">A.7.15. Gestão de gado </t>
  </si>
  <si>
    <t xml:space="preserve">Gestão de gado </t>
  </si>
  <si>
    <t xml:space="preserve">Uso de sistemas integrados de agricultura-pecuária-silvicultura para a gestão sustentável das florestas / produção sustentável de alimentos para animais / processos de redução de emissões (excluindo projetos à escala industrial) </t>
  </si>
  <si>
    <r>
      <rPr>
        <b/>
        <sz val="8"/>
        <color rgb="FF000000"/>
        <rFont val="Santander Text"/>
      </rPr>
      <t>O que é isso?</t>
    </r>
    <r>
      <rPr>
        <sz val="8"/>
        <color rgb="FF000000"/>
        <rFont val="Santander Text"/>
      </rPr>
      <t xml:space="preserve"> Uso de sistemas integrados de agricultura-pecuária-silvicultura para a gestão sustentável das florestas / produção sustentável de alimentos / processos de redução de emissões (excluindo projetos à escala industrial).</t>
    </r>
  </si>
  <si>
    <r>
      <rPr>
        <sz val="8"/>
        <color theme="1"/>
        <rFont val="Anta"/>
      </rPr>
      <t xml:space="preserve">Cumpre TODOS os critérios aplicáveis _
1. Cumpre a regulamentação local. _
2. Cumpre UM dos seguintes:
a. UM dos seguintes certificados:
    - Sustainable Beef and Lamb Assurance Scheme (SBLAS).
    - Food Alliance Certified Livestock Producers (Nível 4).
    - Licença de emissões industriais para explorações de suínos e aves.
    - Qualquer certificação equivalente.
b. Gestão sustentável da pecuária e dos resíduos para reduzir emissões de metano e GEE.
c. Alterações na alimentação animal para reduzir emissões de óxido nitroso e metano.
d. Produção em feedlot e pecuária interna com origem sustentável e proveniente de áreas não recentemente convertidas de habitats naturais. _
3. Produção intensiva: UM dos seguintes padrões:
- IFC Good Practice Note on Animal Welfare in Livestock Operations.
- World Organization for Animal Health.
- FARMS Initiative.
- Certificação Ecológica.
- Farm Sustainability Assessment (FSA) Program.
</t>
    </r>
    <r>
      <rPr>
        <sz val="8"/>
        <color rgb="FFFF0000"/>
        <rFont val="Anta"/>
      </rPr>
      <t>- Certificação Welfair (bem-estar animal, Argentina).
- Certificação da North American Meat Institute Foundation (NAMI).
- INAC Bienestar Animal.
- Certificado IRAM (norma IRAM 14400).
- Certificação Humane (auditada pela Certified Humane International).
- WelfCert.
- Equivalente.
- ISCC Non-GMO Food &amp; Feed _</t>
    </r>
  </si>
  <si>
    <t xml:space="preserve">A.7.16. Aquacultura e pesca sustentáveis </t>
  </si>
  <si>
    <t xml:space="preserve">Aquacultura e pesca sustentáveis </t>
  </si>
  <si>
    <t xml:space="preserve">Produtos do mar certificados e sustentáveis </t>
  </si>
  <si>
    <r>
      <rPr>
        <b/>
        <sz val="8"/>
        <color rgb="FF000000"/>
        <rFont val="Santander Text"/>
      </rPr>
      <t>O que é isso?</t>
    </r>
    <r>
      <rPr>
        <sz val="8"/>
        <color rgb="FF000000"/>
        <rFont val="Santander Text"/>
      </rPr>
      <t xml:space="preserve"> Produtos do mar certificados e sustentáveis </t>
    </r>
  </si>
  <si>
    <r>
      <rPr>
        <sz val="8"/>
        <color rgb="FF000000"/>
        <rFont val="Santander Text"/>
      </rPr>
      <t xml:space="preserve">Cumpre TODOS os critérios aplicáveis  _
1. Aquacultura sustentável - UM dos seguintes certificados:
a. Aquaculture Stewardship Council (ASC)
b. Best Aquaculture Practice (2 stars or more)
c. Marine Stewardship Council (MSC)
</t>
    </r>
    <r>
      <rPr>
        <sz val="8"/>
        <color rgb="FFFF0000"/>
        <rFont val="Santander Text"/>
      </rPr>
      <t xml:space="preserve">d. Certificação Friend of the Sea
</t>
    </r>
    <r>
      <rPr>
        <sz val="8"/>
        <color rgb="FF000000"/>
        <rFont val="Santander Text"/>
      </rPr>
      <t>2. Pesca sustentável: Capturado de acordo com UM dos seguintes padrões:
a. Food and Agriculture Organization of the United Nations (FAO) 
b. Code of Conduct for Responsible Fisheries, Marine Stewardship Council (MSC)
c. Global Sustainable Seafood Initiative (GSSI) _</t>
    </r>
  </si>
  <si>
    <t>Indústrias transformadoras</t>
  </si>
  <si>
    <t xml:space="preserve">Tecnologias de baixo carbono para transporte </t>
  </si>
  <si>
    <t xml:space="preserve">A.8.4. Tecnologias de baixo carbono para transporte </t>
  </si>
  <si>
    <t xml:space="preserve">A.8.4. Fabrico de tecnologias de baixo carbono para transporte </t>
  </si>
  <si>
    <t xml:space="preserve">Fabrico de tecnologias de baixo carbono para transporte </t>
  </si>
  <si>
    <t xml:space="preserve">Fabricação de manutenção de ativos de transporte de baixo carbono. </t>
  </si>
  <si>
    <r>
      <rPr>
        <b/>
        <sz val="8"/>
        <color rgb="FF000000"/>
        <rFont val="Santander Text"/>
      </rPr>
      <t xml:space="preserve">O que é isso? </t>
    </r>
    <r>
      <rPr>
        <sz val="8"/>
        <color rgb="FF000000"/>
        <rFont val="Santander Text"/>
      </rPr>
      <t xml:space="preserve">Fabricação de manutenção de ativos de transporte de baixo carbono. </t>
    </r>
  </si>
  <si>
    <r>
      <rPr>
        <sz val="8"/>
        <color rgb="FF000000"/>
        <rFont val="Santander Text"/>
      </rPr>
      <t xml:space="preserve">Cumpre UM critério aplicável _
2. CEstá em conformidade com UM do seguinte:
a. Veículos elétricos e comboios. 
b. Veículos com zero emissões diretas não destinados à estrada. 
c. Mobilidade ativa. 
d. Veículos e comboios com menos de </t>
    </r>
    <r>
      <rPr>
        <sz val="8"/>
        <color rgb="FFFF0000"/>
        <rFont val="Santander Text"/>
      </rPr>
      <t>75</t>
    </r>
    <r>
      <rPr>
        <sz val="8"/>
        <color rgb="FF000000"/>
        <rFont val="Santander Text"/>
      </rPr>
      <t xml:space="preserve"> g de CO2 por km ou 25 g de CO2 por tonelada-km APENAS até ao final de 2025. 
e. Veículos movidos a Hidrogênio. 
f. Desenvolvimento de infra-estruturas de transporte ferroviário. 
g. Desenvolvimento de componentes especializados para o transporte verde. 
h. O principal objetivo (mais de 25% de participação) não é o transporte de combustíveis fósseis. _</t>
    </r>
  </si>
  <si>
    <t>Cumpre UM critério aplicável  _
1. A atividade apoia tecnologias de baixo carbono para ativos complidados com taxonomia da UE para atividades de transporte.  _</t>
  </si>
  <si>
    <t>12) Consumo responsável e produção</t>
  </si>
  <si>
    <t xml:space="preserve">Fabricação de componentes de mobilidade </t>
  </si>
  <si>
    <t xml:space="preserve">A.8.18. Fabricação de componentes de mobilidade </t>
  </si>
  <si>
    <t>A.8.19. Fabrico de componentes automotivos e de mobilidade</t>
  </si>
  <si>
    <t>Fabrico de componentes automotivos e de mobilidade</t>
  </si>
  <si>
    <r>
      <rPr>
        <b/>
        <sz val="8"/>
        <color rgb="FF000000"/>
        <rFont val="Santander Text"/>
      </rPr>
      <t xml:space="preserve">O que é isso? </t>
    </r>
    <r>
      <rPr>
        <sz val="8"/>
        <color rgb="FF000000"/>
        <rFont val="Santander Text"/>
      </rPr>
      <t xml:space="preserve">Fabricação de componentes de mobilidade </t>
    </r>
  </si>
  <si>
    <t xml:space="preserve">Cumpre TODOS os critérios aplicáveis _
3. Atividades de fabrico ou manutenção de componentes de mobilidade zero-emisión, aprovados para utilização apenas em veículos que cumpram TODOS OS requisitos:
- Fora da UE: Fator de intensidade de carbono abaixo 75g de CO2/km. 
- Na UE: Fator de intensidade de carbono abaixo 50g CO2/km até 2026. 
- Veículos com zero emissões diretas não destinados à estrada. _ </t>
  </si>
  <si>
    <t>Cumpre UM critério aplicável  _
1. Atividades de fabrico ou manutenção de componentes de mobilidade zero-emisión, aprovados para utilização apenas em: 
-Veículos M1, M2, M3: Zero emissões de CO2 dos veículos. 
- N1, N2, N3 (veículos comerciais ligeiros ou camiões abaixo de 7,5 toneladas de massa carregada) ou motas com placa de matrícula: Zero emissões de CO2 dos veículos. _
2. Manutenção e suporte de componentes de mobilidade zero emissões por dispositivos de mobilidade pessoal com uma propulsión de origem:
a. Atividade física do utilizador 
b. Motor de emissões zero 
c. Mistura de ambos.  _</t>
  </si>
  <si>
    <t xml:space="preserve">Fabricação de componentes de material circulante ferroviário </t>
  </si>
  <si>
    <t xml:space="preserve">A.8.19. Fabricação de componentes de material circulante ferroviário </t>
  </si>
  <si>
    <t>A.8.19. Fabrico de componentes de material circulante ferroviário</t>
  </si>
  <si>
    <t>Fabrico de componentes de material circulante ferroviário</t>
  </si>
  <si>
    <t xml:space="preserve">Produtos, equipamentos, sistemas ou software relacionados com componentes ferroviários. </t>
  </si>
  <si>
    <r>
      <rPr>
        <b/>
        <sz val="8"/>
        <color rgb="FF000000"/>
        <rFont val="Santander Text"/>
      </rPr>
      <t xml:space="preserve">O que é isso? </t>
    </r>
    <r>
      <rPr>
        <sz val="8"/>
        <color rgb="FF000000"/>
        <rFont val="Santander Text"/>
      </rPr>
      <t xml:space="preserve">Produtos, equipamentos, sistemas ou software relacionados com componentes ferroviários. </t>
    </r>
  </si>
  <si>
    <t>Cumpre TODOS os critérios aplicáveis _
3. As tecnologias fabricadas são:
- Reduzir as emissões de gases com efeito de estufa em comparação com a melhor alternativa disponível no mercado.
- Quando quantificadas, as emissões de gases de efeito estufa são verificadas por terceiros independentes. _</t>
  </si>
  <si>
    <t>Cumpre TODOS os critérios aplicáveis  _
1. Atividade relacionada com componentes ferroviários ou presta serviços técnicos de consultoria relacionados. _
2. Os constituintes são essenciais para o desempenho ambiental de pelo menos uma das seguintes tecnologias: 
- Comboios, autocarros de passageiros e vagões com zero emissões de CO2, em conformidade com os critérios de fabrico de tecnologias de baixo carbono. 
- Comboios, autocarros de passageiros e vagões com zero emissões de CO2, operados numa via com infra-estrutura necessária e utilizam motores convencionais e compatíveis com tecnologias de baixo carbono, onde a infraestrutura não está disponível. _</t>
  </si>
  <si>
    <t xml:space="preserve">Fabricação de aeronaves </t>
  </si>
  <si>
    <t xml:space="preserve">A.8.21. Fabricação de aeronaves </t>
  </si>
  <si>
    <t xml:space="preserve">A.8.21. Fabrico de aeronaves </t>
  </si>
  <si>
    <t xml:space="preserve">Fabrico de aeronaves </t>
  </si>
  <si>
    <t xml:space="preserve">Fabrico ou manutenção de aeronaves e de peças ou equipamentos de aeronaves </t>
  </si>
  <si>
    <r>
      <rPr>
        <b/>
        <sz val="8"/>
        <color rgb="FF000000"/>
        <rFont val="Santander Text"/>
      </rPr>
      <t>O que é isso?</t>
    </r>
    <r>
      <rPr>
        <sz val="8"/>
        <color rgb="FF000000"/>
        <rFont val="Santander Text"/>
      </rPr>
      <t xml:space="preserve"> Fabrico ou manutenção de aeronaves e de peças ou equipamentos de aeronaves </t>
    </r>
  </si>
  <si>
    <t>Cumpre TODOS os critérios aplicáveis  _
3. Aviões híbridos para transporte de mercadorias ou pequenas distâncias. _
4. O principal objetivo (mais de 25% de participação) não é o transporte de combustíveis fósseis. _</t>
  </si>
  <si>
    <t>Cumpre UM critério aplicável  _
1. Aeronave com emissão zero de CO2. _
2. Limiares de relação de substituição:
[TABLE A.8.21] _</t>
  </si>
  <si>
    <t>Tecnologias de energias renováveis e hidrogénio</t>
  </si>
  <si>
    <t xml:space="preserve">A.8.1. Tecnologias de energia renovável </t>
  </si>
  <si>
    <t xml:space="preserve">A.8.1. Fabrico de tecnologias de energia renovável </t>
  </si>
  <si>
    <t xml:space="preserve">Fabrico de tecnologias de energia renovável </t>
  </si>
  <si>
    <t xml:space="preserve">Fabricação de tecnologias de energia renovável </t>
  </si>
  <si>
    <r>
      <rPr>
        <b/>
        <sz val="8"/>
        <color rgb="FF000000"/>
        <rFont val="Santander Text"/>
      </rPr>
      <t>O que é isso?</t>
    </r>
    <r>
      <rPr>
        <sz val="8"/>
        <color rgb="FF000000"/>
        <rFont val="Santander Text"/>
      </rPr>
      <t xml:space="preserve"> Fabricação de tecnologias de energia renovável </t>
    </r>
  </si>
  <si>
    <t>Cumpre TODOS os critérios aplicáveis_
1. A atividade económica fabrica tecnologias de energias renováveis. _
2. Cumprimento dos critérios das tecnologias de energias renováveis. _</t>
  </si>
  <si>
    <t xml:space="preserve">Equipamento para produção e utilização de hidrogênio </t>
  </si>
  <si>
    <t xml:space="preserve">A.8.2. Equipamento para produção e utilização de hidrogênio </t>
  </si>
  <si>
    <t xml:space="preserve">A.8.2. Fabrico de equipamentos para a produção e uso de hidrogénio </t>
  </si>
  <si>
    <t xml:space="preserve">Fabrico de equipamentos para a produção e uso de hidrogénio </t>
  </si>
  <si>
    <t xml:space="preserve">Fabricação de equipamentos para a produção e uso de hidrogênio. </t>
  </si>
  <si>
    <r>
      <rPr>
        <b/>
        <sz val="8"/>
        <color rgb="FF000000"/>
        <rFont val="Santander Text"/>
      </rPr>
      <t>O que é isso?</t>
    </r>
    <r>
      <rPr>
        <sz val="8"/>
        <color rgb="FF000000"/>
        <rFont val="Santander Text"/>
      </rPr>
      <t xml:space="preserve"> Fabricação de equipamentos para a produção e uso de hidrogênio.</t>
    </r>
  </si>
  <si>
    <t>Cumpre TODOS os critérios aplicáveis  _
1. Critérios técnicos de rastreio estabelecidos no fabrico de hidrogênio:
- Poupança de 73,4% de gases de efeito estufa no ciclo de vida do hidrogênio, o que resulta numa redução inferior a 3tCO2e/Th2. 
- 70% para os combustíveis sintéticos à base de Hidrogênio (28,2 g CO2e/MJ) em relação a um comparador de combustíveis fósseis de 94 g CO2e/MJ; as poupanças quantificadas e verificadas por terceiros no ciclo de vida das emissões de gases com efeito de estufa são calculadas usando uma das seguintes: 
     - ISO 14067:2018119 
     - ISO 14064- 1:2018120 _
2. 
- Fuga de CO2 dos métodos de transporte de carbono abaixo de 0,5 %.
- Os locais de sequestro de carbono estão em conformidade com os padrões internacionalmente reconhecidos (ISO) _</t>
  </si>
  <si>
    <t xml:space="preserve">Fabricação de hidrogênio </t>
  </si>
  <si>
    <t xml:space="preserve">A.8.3. Fabricação de hidrogênio </t>
  </si>
  <si>
    <t xml:space="preserve">A.8.3. Fabrico de hidrogénio </t>
  </si>
  <si>
    <t xml:space="preserve">Fabrico de hidrogénio </t>
  </si>
  <si>
    <t xml:space="preserve">Combustíveis sintéticos à base de hidrogênio e hidrogênio </t>
  </si>
  <si>
    <r>
      <rPr>
        <b/>
        <sz val="8"/>
        <color rgb="FF000000"/>
        <rFont val="Santander Text"/>
      </rPr>
      <t>O que é isso?</t>
    </r>
    <r>
      <rPr>
        <sz val="8"/>
        <color rgb="FF000000"/>
        <rFont val="Santander Text"/>
      </rPr>
      <t xml:space="preserve"> Combustíveis sintéticos à base de hidrogênio e hidrogênio </t>
    </r>
  </si>
  <si>
    <t>Equipamentos e tecnologias de eficiência energética</t>
  </si>
  <si>
    <t xml:space="preserve">Equipamento de eficiência energética para edifícios </t>
  </si>
  <si>
    <t xml:space="preserve">A.8.6. Equipamento de eficiência energética para edifícios </t>
  </si>
  <si>
    <t xml:space="preserve">A.8.6. Fabrico de equipamentos de eficiência energética para edifícios </t>
  </si>
  <si>
    <t xml:space="preserve">Fabrico de equipamentos de eficiência energética para edifícios </t>
  </si>
  <si>
    <t xml:space="preserve">Fabricação de equipamentos de eficiência energética para edifícios </t>
  </si>
  <si>
    <r>
      <rPr>
        <b/>
        <sz val="8"/>
        <color rgb="FF000000"/>
        <rFont val="Santander Text"/>
      </rPr>
      <t xml:space="preserve">O que é isso? </t>
    </r>
    <r>
      <rPr>
        <sz val="8"/>
        <color rgb="FF000000"/>
        <rFont val="Santander Text"/>
      </rPr>
      <t xml:space="preserve">Fabricação de equipamentos de eficiência energética para edifícios </t>
    </r>
  </si>
  <si>
    <t>Cumpre UM critério aplicável  _
18. UM dos seguintes certificados:
EU Energy Minimum Rating ou B.
PROCEL rating B (BR)
A+ Energy Label (EEE) (AR)
Any equivalent (EPA Energy Star Certificate). _
19. Equipamentos de energia para edifícios como LEDs, BMS, telhados verdes, etc. _</t>
  </si>
  <si>
    <t>Cumpre UM critério aplicável  _
1. Janela com valor U inferior ou igual a 1,0 W/M2K  _
2. Portas com valor U inferior ou igual a 1,2 W/M2K _
3. Sistemas de parede externa com valor U inferior ou igual a 0,5 W/M2K  _
4. Sistemas de cobertura com valor U inferior ou igual a 0,3 W/M2K  _
5. Produtos isolantes com um valor lambda inferior ou igual a 0,06 W/mK  _
6. Eletrodomésticos que caem na mais alta eficiência energética (A ou B)  _
7. Fontes de luz classificadas nas duas classes mais altas de eficiência energética (A ou B) _
8. Sistemas de aquecimento e água quente doméstica classificados na mais alta eficiência energética (A ou B) _
9. Sistemas de refrigeração e ventilação classificados na mais alta eficiência energética (A ou B) _
10. Controlos de presença e luz do dia para sistemas de iluminação  _
11. Bombas de calor em conformidade com a atividade da Energia "Bombas de calor elétricas" _
12. Elementos de fachada e cobertura com uma função de sombreamento solar ou controlo solar  _
13. Sistemas de automação e controlo de edifícios com eficiência energética  _
14. Termóstatos e dispositivos zonados para monitorização inteligente  _
15. Produtos para medição de calor e controlos termostáticos _
16. Permutadores de aquecimento distritais e subestações em conformidade Actividade da Energia "Distribuição de aquecimento/arrefecimento distrital"  _
17. Monitorização inteligente e regulação do sistema de aquecimento e do equipamento de sensores  _</t>
  </si>
  <si>
    <t>Outras tecnologias de baixo carbono</t>
  </si>
  <si>
    <t>A.8.7. Outras tecnologias de baixo carbono</t>
  </si>
  <si>
    <t xml:space="preserve">A.8.7. Fabrico de outras tecnologias de baixo carbono </t>
  </si>
  <si>
    <t xml:space="preserve">Fabrico de outras tecnologias de baixo carbono </t>
  </si>
  <si>
    <t xml:space="preserve">Fabricação de tecnologias destinadas a reduzir as emissões de gases de efeito estufa em qualquer setor económico </t>
  </si>
  <si>
    <r>
      <rPr>
        <b/>
        <sz val="8"/>
        <color rgb="FF000000"/>
        <rFont val="Santander Text"/>
      </rPr>
      <t xml:space="preserve">O que é isso? </t>
    </r>
    <r>
      <rPr>
        <sz val="8"/>
        <color rgb="FF000000"/>
        <rFont val="Santander Text"/>
      </rPr>
      <t>Fabricação de tecnologias destinadas a reduzir as emissões de gases de efeito estufa em qualquer setor económico.</t>
    </r>
  </si>
  <si>
    <t>Cumpre TODOS os critérios aplicáveis  _
1. Redução substancial e demonstrada de gases de efeito estufa em comparação com a melhor solução alternativa de desempenho disponível.  _
2. Poupança de emissões de gases com efeito de estufa verificada por terceiros independentes e calculada de acordo COM UMA das seguintes normas: 
a. ISO 14067:2018 
b. ISO 14064- 1:2018 _</t>
  </si>
  <si>
    <t xml:space="preserve">Fabricação de equipamentos para transmissão e distribuição elétrica </t>
  </si>
  <si>
    <t xml:space="preserve">A.8.20. Fabricação de equipamentos para transmissão e distribuição elétrica </t>
  </si>
  <si>
    <t xml:space="preserve">A.8.20. Fabrico, instalação e manutenção de equipamentos elétricos de alta, média e baixa tensão para transmissão e distribuição elétrica que resultem ou permitam uma contribuição substancial para a mitigação das alterações climáticas </t>
  </si>
  <si>
    <t xml:space="preserve">Fabrico, instalação e manutenção de equipamentos elétricos de alta, média e baixa tensão para transmissão e distribuição elétrica que resultem ou permitam uma contribuição substancial para a mitigação das alterações climáticas </t>
  </si>
  <si>
    <t xml:space="preserve">Desenvolvimento de produtos elétricos, equipamentos ou sistemas para redução de emissões de gases de efeito estufa em sistemas de distribuição elétrica de alta, média e baixa tensão através da eletrificação, eficiência energética, integração de energia renovável ou conversão de energia eficiente. </t>
  </si>
  <si>
    <r>
      <rPr>
        <b/>
        <sz val="8"/>
        <color rgb="FF000000"/>
        <rFont val="Santander Text"/>
      </rPr>
      <t>O que é isso?</t>
    </r>
    <r>
      <rPr>
        <sz val="8"/>
        <color rgb="FF000000"/>
        <rFont val="Santander Text"/>
      </rPr>
      <t xml:space="preserve"> Desenvolvimento de produtos elétricos, equipamentos ou sistemas para redução de emissões de gases de efeito estufa em sistemas de distribuição elétrica de alta, média e baixa tensão através da eletrificação, eficiência energética, integração de energia renovável ou conversão de energia eficiente.</t>
    </r>
  </si>
  <si>
    <t>Cumpre TODOS os critérios aplicáveis _
4. As tecnologias fabricadas são:
- Reduzir as emissões de gases com efeito de estufa em comparação com a melhor alternativa disponível no mercado.
- Quando quantificadas, as emissões de gases de efeito estufa são verificadas por terceiros independentes. _</t>
  </si>
  <si>
    <t>Cumpre TODOS os critérios aplicáveis  _
1. Atividade essencial para o funcionamento ao longo da vida de pelo menos UM:
a. Estações de carregamento de veículos elétricos e infraestruturas elétricas de apoio para a eletrificação dos transportes.
b. Estações com maior tensão para equipamentos abaixo de 36 KV, com requisitos de nível AA0 em perdas sem carga estabelecidos na norma EN 50708 série.
c. Produtos, equipamentos e sistemas elétricos de baixa tensão que aumentam a controlabilidade do sistema elétrico (IEC TR 63196, Sistemas Eletrónicos de Casa e Edifício (HBES), tal como referido na série EN IEC 63044, HD 60364-8-1, Parte 8-1 e HD 60364-8-82, Parte 8-82: Aspectos funcionais.).
d. Painéis de distribuição de alta e média tensão e engrenagens de controlo que aumentam a controlabilidade do sistema elétrico (EN 62271-1, Parte 1 e EN 62271-200, Parte 200).
e. Resposta à procura e transferência de carga equipamentos, sistemas e serviços que aumentam a flexibilidade do sistema de eletricidade e suportam a estabilidade da rede e o suporte à automação.
f. Instalação e manutenção de equipamentos elétricos para distribuição que permitam uma contribuição substancial para a mitigação das alterações climáticas. _
2. Elementos não elegíveis:
-Infra-estrutura que liga ou melhora directamente as ligações entre uma subestação/rede e uma central elétrica com uma intensidade de gases com efeito de estufa &gt; 100 g de CO2e/kWh durante o seu ciclo de vida. 
-Produtos, equipamentos, sistemas e software dedicados à extração, distribuição, armazenamento, fabrico ou transformação de combustíveis fósseis.  _
3. - Painéis de distribuição com meios isolantes ou de quebra, ou cujo funcionamento depende de gases com potencial de aquecimento global acima de 10.
     - Painéis de distribuição contendo o SF6. _</t>
  </si>
  <si>
    <t xml:space="preserve">Fabricação de equipamentos eficientes em termos de consumo de energia </t>
  </si>
  <si>
    <t xml:space="preserve">A.8.27. Fabricação de equipamentos eficientes em termos de consumo de energia </t>
  </si>
  <si>
    <t xml:space="preserve">A.8.27. Fabrico e instalação de equipamentos eficientes em termos de consumo de energia </t>
  </si>
  <si>
    <t xml:space="preserve">Fabrico e instalação de equipamentos eficientes em termos de consumo de energia </t>
  </si>
  <si>
    <t xml:space="preserve">Fabricação/instalação de máquinas eficientes em termos de consumo de energia em comparação com as práticas do mercado. </t>
  </si>
  <si>
    <r>
      <rPr>
        <b/>
        <sz val="8"/>
        <color rgb="FF000000"/>
        <rFont val="Santander Text"/>
      </rPr>
      <t xml:space="preserve">O que é isso? </t>
    </r>
    <r>
      <rPr>
        <sz val="8"/>
        <color rgb="FF000000"/>
        <rFont val="Santander Text"/>
      </rPr>
      <t xml:space="preserve">Fabricação/instalação de máquinas eficientes em termos de consumo de energia em comparação com as práticas do mercado.
</t>
    </r>
    <r>
      <rPr>
        <b/>
        <sz val="8"/>
        <color rgb="FF000000"/>
        <rFont val="Santander Text"/>
      </rPr>
      <t xml:space="preserve"> O que não é? </t>
    </r>
    <r>
      <rPr>
        <sz val="8"/>
        <color rgb="FF000000"/>
        <rFont val="Santander Text"/>
      </rPr>
      <t>Combustíveis fósseis ou alternativas.</t>
    </r>
  </si>
  <si>
    <t>Cumpre UM critério aplicável _
1. Máquinas avaliadas como Melhor Tecnologia Disponível. _
2. Redução de emissões de energia/gases de efeito estufa acima de 30%. _</t>
  </si>
  <si>
    <t xml:space="preserve">Fabricação de tecnologias de controlo de fugas </t>
  </si>
  <si>
    <t xml:space="preserve">A.8.22. Fabricação de tecnologias de controlo de fugas </t>
  </si>
  <si>
    <t>A.8.22. Fabrico, instalação e serviços associados para tecnologias de controlo de fugas que permitem a redução e prevenção de fugas em sistemas de abastecimento de água</t>
  </si>
  <si>
    <t>Fabrico, instalação e serviços associados para tecnologias de controlo de fugas que permitem a redução e prevenção de fugas em sistemas de abastecimento de água</t>
  </si>
  <si>
    <t xml:space="preserve">Fabrico ou manutenção de tecnologias de controlo de fugas que permitam a sua redução nos sistemas de abastecimento de água (WSSs). </t>
  </si>
  <si>
    <r>
      <rPr>
        <b/>
        <sz val="8"/>
        <color rgb="FF000000"/>
        <rFont val="Santander Text"/>
      </rPr>
      <t xml:space="preserve">O que é isso? </t>
    </r>
    <r>
      <rPr>
        <sz val="8"/>
        <color rgb="FF000000"/>
        <rFont val="Santander Text"/>
      </rPr>
      <t xml:space="preserve">Fabrico ou manutenção de tecnologias de controlo de fugas que permitam a sua redução nos sistemas de abastecimento de água (WSSs). </t>
    </r>
  </si>
  <si>
    <t>Cumpre TODOS os critérios aplicáveis  _
2. 
- Redução mínima de 20% de fugas medida pelo ILII (Infrastructure Leakage Index). 
- O alvo baixo é ILII = 1,5. 
- Inclui reparação de fugas de agua na infraestrutura.  _</t>
  </si>
  <si>
    <t>Cumpre TODOS os critérios aplicáveis  _
1. Objetivo da atividade: Controlar a pressão nas áreas de medição distrital (DMAs) do sistema de abastecimento de água a uma pressão mínima.  _</t>
  </si>
  <si>
    <t xml:space="preserve">Economia circular </t>
  </si>
  <si>
    <t xml:space="preserve">Reparação, remodelação e remanufatura </t>
  </si>
  <si>
    <t xml:space="preserve">A.8.29. Reparação, remodelação e remanufatura </t>
  </si>
  <si>
    <t>A.8.29. Reparação, renovação e remanufatura</t>
  </si>
  <si>
    <t>Reparação, renovação e remanufatura</t>
  </si>
  <si>
    <t xml:space="preserve">Reparação de bens usados antes. </t>
  </si>
  <si>
    <r>
      <rPr>
        <b/>
        <sz val="8"/>
        <color rgb="FF000000"/>
        <rFont val="Santander Text"/>
      </rPr>
      <t xml:space="preserve">O que é isso? </t>
    </r>
    <r>
      <rPr>
        <sz val="8"/>
        <color rgb="FF000000"/>
        <rFont val="Santander Text"/>
      </rPr>
      <t>Reparação de bens usados antes.</t>
    </r>
  </si>
  <si>
    <t>Cumpre TODOS os critérios aplicáveis _
1. Objetivo da atividade: Prolongar a vida útil dos produtos. _
2. O produto recondicionado está coberto por contrato de venda de acordo com as disposições relativas à conformidade do produto e às condições relevantes. _
3. Acessível ao plano público de gestão de resíduos garantindo que os materiais do produto, particularmente matérias-primas críticas, e componentes que não foram reutilizados no mesmo produto:
a. São reutilizados noutro local.
b. Onde a reutilização não é possível, são reciclados. 
c. Apenas quando a reutilização e a reciclagem não são viáveis, são eliminados de acordo com a legislação aplicável. _</t>
  </si>
  <si>
    <t xml:space="preserve">Venda de peças de reposição </t>
  </si>
  <si>
    <t xml:space="preserve">A.8.30. Venda de peças de reposição </t>
  </si>
  <si>
    <t>Venda de peças sobressalentes para além das obrigações legais.</t>
  </si>
  <si>
    <r>
      <rPr>
        <b/>
        <sz val="8"/>
        <color rgb="FF000000"/>
        <rFont val="Santander Text"/>
      </rPr>
      <t xml:space="preserve">O que é isso? </t>
    </r>
    <r>
      <rPr>
        <sz val="8"/>
        <color rgb="FF000000"/>
        <rFont val="Santander Text"/>
      </rPr>
      <t>Venda de peças sobressalentes para além das obrigações legais.</t>
    </r>
  </si>
  <si>
    <t>Cumpre TODOS os critérios aplicáveis _
1. Venda de peças sobressalentes para além das obrigações legais. _
2. Em conformidade COM TODOS:
- As peças sobressalentes são cobertas por contrato de venda de acordo com as disposições relativas à conformidade do produto e às condições relevantes. 
- As peças sobressalentes servem como uma substituição de uma peça existente para restaurar/atualizar a funcionalidade do produto. _
3. Quando aplicável, as embalagens está em conformidade com UM: 
a. Feito com mais de 65% de material reciclado. 
b. Concebido para ser reutilizável. _</t>
  </si>
  <si>
    <t xml:space="preserve">Reutilização de produtos e componentes em fim de vida útil </t>
  </si>
  <si>
    <t xml:space="preserve">A.8.31. Reutilização de produtos e componentes em fim de vida útil </t>
  </si>
  <si>
    <t>A.8.31. Preparação para reutilização de produtos e componentes de produtos no fim de vida</t>
  </si>
  <si>
    <t>Preparação para reutilização de produtos e componentes de produtos no fim de vida</t>
  </si>
  <si>
    <t>Cumpre TODOS os critérios aplicáveis _
1. Preparação de produtos/componentes reutilizados que atualmente são um desperdício.  _
2. A matéria-prima de resíduos vem de frações recolhidas separadamente. _
3. Procedimentos de segurança e inspeção em conformidade COM TODOS: 
- Verifique a adequação para preparar a reciclagem de reutilização. 
- Adequado para o categoria de produtos de fim de vida descartados. 
- Proporciona uma formação adequada e garante a qualificação dos operadores.  _
4. Ferramentas e equipamentos adequados à atividade. _
5. Sistema de informação sobre a taxa de recuperação e objetivos específicos definidos pela regulamentação da UE ou nacional. _
6. A atividade está em conformidade COM TODOS OS seguintes requisitos: 
- Saída adequada para reutilização sem processamento adicional. 
- Abrangidos por contrato de venda em conformidade com as disposições relativas à conformidade do produto e às condições relevantes.  _
7. Resíduos de equipamentos elétricos e eletrónicos de acordo com UM:
a. ISO 14001:2015171
b. ISO 9001:2015173 _</t>
  </si>
  <si>
    <t xml:space="preserve">Venda de bens em segunda mão </t>
  </si>
  <si>
    <t xml:space="preserve">A.8.32. Venda de bens em segunda mão </t>
  </si>
  <si>
    <t>Cumpre TODOS os critérios aplicáveis  _
1. Os produtos em segunda mão foram usados para os fins a que se destinam por um cliente. _
2. Abrangidos por contrato de venda em conformidade com as disposições relativas à conformidade do produto e às condições relevantes. _
3. Se o produto tiver sido reparado, é implementado um plano de gestão de resíduos.  _
4. Se houver embalagens, está em conformidade com UM: :
- Feito com mais de 65% de material reciclado. 
- Concebido para ser reutilizável. _</t>
  </si>
  <si>
    <t xml:space="preserve">Produto como serviço e outros modelos de uso circular </t>
  </si>
  <si>
    <t xml:space="preserve">A.8.33. Produto como serviço e outros modelos de uso circular </t>
  </si>
  <si>
    <t>A.8.33. Produto como serviço e outros modelos de serviço circulares orientados para o uso e resultados</t>
  </si>
  <si>
    <t>Produto como serviço e outros modelos de serviço circulares orientados para o uso e resultados</t>
  </si>
  <si>
    <t>Proporcionar acesso aos produtos através de modelos de serviço, à medida que a sua propriedade permanece com o fornecedor e o pagamento é pré-definido</t>
  </si>
  <si>
    <r>
      <rPr>
        <b/>
        <sz val="8"/>
        <color rgb="FF000000"/>
        <rFont val="Santander Text"/>
      </rPr>
      <t xml:space="preserve">O que é isso? </t>
    </r>
    <r>
      <rPr>
        <sz val="8"/>
        <color rgb="FF000000"/>
        <rFont val="Santander Text"/>
      </rPr>
      <t>Proporcionar acesso aos produtos através de modelos de serviço, à medida que a sua propriedade permanece com o fornecedor e o pagamento é pré-definido</t>
    </r>
  </si>
  <si>
    <t>Cumpre TODOS os critérios aplicáveis  _
1. As condições satisfazem TODOS:
- Obrigação do fornecedor de retomar o produto no final do acordo. 
- Obrigação do cliente de devolver o produto no final do contrato. 
- O provedor permanece como o proprietário. 
- O cliente paga pelo acesso e uso e/ou resultado. _
2. A atividade leva a uma vida útil prolongada ou a um maior uso do produto. _
3. Se houver embalagens, está em conformidade com UM: 
a. Feito com mais de 65% de material reciclado. 
b. Concebido para ser reutilizável. _
4. Quando se usa vestuário, que envolve roupa e limpeza a seco, a atividade cumpre com um rótulo ecológico tipo 1 da norma ISO ou equivalente. _</t>
  </si>
  <si>
    <t xml:space="preserve">Mercado para bens em segunda mão </t>
  </si>
  <si>
    <t xml:space="preserve">A.8.34. Mercado para bens em segunda mão </t>
  </si>
  <si>
    <t xml:space="preserve">A.8.34. Mercado para o comércio de bens em segunda mão para reutilização </t>
  </si>
  <si>
    <t xml:space="preserve">Mercado para o comércio de bens em segunda mão para reutilização </t>
  </si>
  <si>
    <t xml:space="preserve">Mercados e classificados para o comércio (venda ou troca) de produtos em segunda mão, materiais ou componentes para reutilização, onde os mercados e classificados atuam como intermediários para combinar compradores com vendedores. </t>
  </si>
  <si>
    <r>
      <rPr>
        <b/>
        <sz val="8"/>
        <color rgb="FF000000"/>
        <rFont val="Santander Text"/>
      </rPr>
      <t xml:space="preserve">O que é isso? </t>
    </r>
    <r>
      <rPr>
        <sz val="8"/>
        <color rgb="FF000000"/>
        <rFont val="Santander Text"/>
      </rPr>
      <t>Mercados e classificados para o comércio (venda ou troca) de produtos em segunda mão, materiais ou componentes para reutilização, onde os mercados e classificados atuam como intermediários para combinar compradores com vendedores.</t>
    </r>
  </si>
  <si>
    <t>Cumpre TODOS os critérios aplicáveis  _
1. A atividade cumpre a definição. _
2. Se os servidores e os produtos de armazenamento de dados forem usados: 
- O equipamento utilizado NÃO contém: 
     - Chumbo (0,1 %) 
     - Mercúrio (0,1 %) 
     - Cádmio (0,01 %) 
     - Crómio hexavalente (0,1 %) 
     - Bifenilos polibromados (PBB) (0,1 %) 
     - Éteres difenilílicos polibromados (PBDE) (0,1 %) 
exceto nos casos em que os valores de concentração em peso em materiais homogéneos não sejam ultrapassados. 
- Está em vigor um plano de gestão de resíduos para favorecer a reutilização como prioridade.
- No fim da sua vida útil, o equipamento passa por uma preparação para operações de reutilização, recuperação ou reciclagem. _</t>
  </si>
  <si>
    <t xml:space="preserve">Combustível e produtos químicos </t>
  </si>
  <si>
    <t xml:space="preserve">Fabricação de carbonato de sódio </t>
  </si>
  <si>
    <t xml:space="preserve">A.8.12. Fabricação de carbonato de sódio </t>
  </si>
  <si>
    <t>A.8.12. Fabrico de carbonato de sódio</t>
  </si>
  <si>
    <t>Fabrico de carbonato de sódio</t>
  </si>
  <si>
    <t>Cumpre TODOS os critérios aplicáveis  _
1. Emissões de gases de efeito estufa abaixo 0.789 tCO2e / ton._</t>
  </si>
  <si>
    <t xml:space="preserve">Fabricação de cloro </t>
  </si>
  <si>
    <t xml:space="preserve">A.8.15. Fabricação de cloro </t>
  </si>
  <si>
    <t xml:space="preserve">A.8.15. Fabrico de cloro </t>
  </si>
  <si>
    <t xml:space="preserve">Fabrico de cloro </t>
  </si>
  <si>
    <r>
      <rPr>
        <sz val="8"/>
        <color rgb="FF000000"/>
        <rFont val="Santander Text"/>
      </rPr>
      <t xml:space="preserve">Cumpre </t>
    </r>
    <r>
      <rPr>
        <sz val="8"/>
        <color rgb="FFFF0000"/>
        <rFont val="Santander Text"/>
      </rPr>
      <t>TODOS</t>
    </r>
    <r>
      <rPr>
        <sz val="8"/>
        <color rgb="FF000000"/>
        <rFont val="Santander Text"/>
      </rPr>
      <t xml:space="preserve"> os critérios aplicáveis _.
1. Emissões de gases de efeito estufa calculadas USANDO UM:
a. ISO 14067
b. ISO 14064 _
2.  A atividade está em conformidade COM UM dos seguintes:
a. Consumo de eletricidade para eletrólise e tratamento de cloro inferior a 2,45 MWh por tonelada. 
b. Emissões médias de gases com efeito de estufa inferiores a 100 g de CO2e/kWh..  _</t>
    </r>
  </si>
  <si>
    <t xml:space="preserve">Fabricação de materiais orgânicos básicos </t>
  </si>
  <si>
    <t xml:space="preserve">A.8.13. Fabricação de materiais orgânicos básicos </t>
  </si>
  <si>
    <t xml:space="preserve">A.8.13. Fabrico de materiais orgânicos básicos </t>
  </si>
  <si>
    <t xml:space="preserve">Fabrico de materiais orgânicos básicos </t>
  </si>
  <si>
    <t>Fabrico de químicos de alto valor</t>
  </si>
  <si>
    <r>
      <rPr>
        <b/>
        <sz val="8"/>
        <color rgb="FF000000"/>
        <rFont val="Santander Text"/>
      </rPr>
      <t xml:space="preserve">O que é isso? </t>
    </r>
    <r>
      <rPr>
        <sz val="8"/>
        <color rgb="FF000000"/>
        <rFont val="Santander Text"/>
      </rPr>
      <t xml:space="preserve">Fabrico de químicos de alto valor </t>
    </r>
  </si>
  <si>
    <t>Cumpre TODOS os critérios aplicáveis_
3. As tecnologias fabricadas são:
- Reduzir as emissões de gases com efeito de estufa em comparação com a melhor alternativa disponível no mercado.
- Quando quantificadas, as emissões de gases de efeito estufa são verificadas por terceiros independentes. _</t>
  </si>
  <si>
    <t>Cumpre TODOS os critérios aplicáveis _
1. Limiares de emissões de gases de efeito estufa 
- HVC: 0 693 tCO2e/t de HVC 
- Aromáticos: 0,0072 tCO2e/t de rendimento ponderado complexo 
- Cloreto de vinilo: 0 171 tCO2e/t de cloreto de vinilo 
- Estireno: 0 419 tCO2e/t de estireno 
- Óxido de etileno/glicóis: 314 tCO2e/t de óxido de etileno/glicol 
- Ácido adípico: 0,32 tCO2e/t de ácido adípico.  _
2. Cálculo das emissões de gases com efeito de estufa de ciclo de vida verificado por terceiros independentes que utilizam UM do seguinte:
a. ISO 14067
b.ISO 14064 _</t>
  </si>
  <si>
    <t xml:space="preserve">Fabricação de amoníaco </t>
  </si>
  <si>
    <t xml:space="preserve">A.8.16. Fabricação de amoníaco </t>
  </si>
  <si>
    <t xml:space="preserve">A.8.16. Fabrico de amoníaco anidro </t>
  </si>
  <si>
    <t xml:space="preserve">Fabrico de amoníaco anidro </t>
  </si>
  <si>
    <t>Cumpre UM critério aplicável _
1. 
- Respeita os limiares para a produção da atividade de Hidrogênio e fuga de CO2 menos bronzeado 0,5%.  
- O sequestro de carbono atende aos padrões internacionais (ISO). _
2. O amoníaco é recuperado das águas residuais.  _</t>
  </si>
  <si>
    <t xml:space="preserve">Fabricação de ácido nítrico </t>
  </si>
  <si>
    <t xml:space="preserve">A.8.14. Fabricação de ácido nítrico </t>
  </si>
  <si>
    <t xml:space="preserve">A.8.14. Fabrico de ácido nítrico </t>
  </si>
  <si>
    <t xml:space="preserve">Fabrico de ácido nítrico </t>
  </si>
  <si>
    <t>Cumpre TODOS os critérios aplicáveis _
1. Emissões de gases com efeito de estufa inferiores a 0.038 tCO2e / ton_</t>
  </si>
  <si>
    <t xml:space="preserve">Fabricação de nafta limpa </t>
  </si>
  <si>
    <t xml:space="preserve">A.8.26. Fabricação de nafta limpa </t>
  </si>
  <si>
    <t xml:space="preserve">A.8.26. Fabrico de nafta limpa </t>
  </si>
  <si>
    <t xml:space="preserve">Fabrico de nafta limpa </t>
  </si>
  <si>
    <t>Cumpre TODOS os critérios aplicáveis _.
1.	A nafta limpa deve ser certificada pela Certificação Internacional de Sustentabilidade e Carbono (ISCC Plus) ou equivalente</t>
  </si>
  <si>
    <t>Fabricação de equipamentos eléctricos e electrónicos</t>
  </si>
  <si>
    <t>A.8.35. Fabricação de equipamentos eléctricos e electrónicos</t>
  </si>
  <si>
    <t>A.8.35. Fabrico de equipamentos elétricos e eletrónicos que contribuem para a economia circular</t>
  </si>
  <si>
    <t>Fabrico de equipamentos elétricos e eletrónicos que contribuem para a economia circular</t>
  </si>
  <si>
    <t xml:space="preserve">Fabrico de equipamentos eléctricos e electrónicos para uso industrial, profissional e de consumo. </t>
  </si>
  <si>
    <r>
      <rPr>
        <b/>
        <sz val="8"/>
        <color rgb="FFFF0000"/>
        <rFont val="Santander Text"/>
      </rPr>
      <t xml:space="preserve">O que é isso? </t>
    </r>
    <r>
      <rPr>
        <sz val="8"/>
        <color rgb="FFFF0000"/>
        <rFont val="Santander Text"/>
      </rPr>
      <t xml:space="preserve">Esta atividade inclui o fabrico de pilhas portáteis recarregáveis e não recarregáveis. 
</t>
    </r>
    <r>
      <rPr>
        <b/>
        <sz val="8"/>
        <color rgb="FFFF0000"/>
        <rFont val="Santander Text"/>
      </rPr>
      <t xml:space="preserve">O que não é? </t>
    </r>
    <r>
      <rPr>
        <sz val="8"/>
        <color rgb="FFFF0000"/>
        <rFont val="Santander Text"/>
      </rPr>
      <t>A atividade não inclui a fabricação de outras categorias de pilhas.</t>
    </r>
  </si>
  <si>
    <t>Cumpre TODOS os critérios aplicáveis: 
1. Critérios de atribuição do rótulo ecológico da UE aplicáveis a essa categoria específica de produtos.
2. Se não existirem critérios de atribuição do rótulo ecológico da UE específicos para o produto, devem ser aplicados todos os critérios seguintes:
A. Conceção para um tempo de vida longo, incluindo:
i. Se o produto contiver software que exija actualizações, todas as versões dos componentes do software, o suporte do software e o software/firmware, incluindo as actualizações, são disponibilizados aos utilizadores durante o tempo de vida de um produto, tal como definido na Diretiva 2009/125/CE e nos actos de execução adoptados ao abrigo dessa diretiva.
ii. Os produtos que incorporam baterias portáteis garantem que essas baterias são facilmente removíveis e substituíveis pelo utilizador final em qualquer momento durante o tempo de vida do produto, sem necessidade de utilizar ferramentas especializadas.
iii. O software não é utilizado de modo a afetar negativamente a circularidade do produto, incluindo a substituição de uma bateria portátil, e a substituição correta da bateria não prejudica o funcionamento do produto
B. Conceção para reparação e garantia, incluindo:
i.Sempre que um sistema de pontuação de reparação específico do produto é estabelecido em conformidade com a legislação da União, o operador da atividade assegura que os produtos têm a classe de reparabilidade mais elevada.
ii. O operador da atividade fornece acesso à informação às oficinas de reparação profissionais durante todo o tempo de vida do produto, incluindo 
a. A identificação inequívoca do aparelho;
b. um mapa de desmontagem ou vista explodida
c. lista do equipamento de reparação e de ensaio necessário
d. pormenores técnicos dos componentes e informações de diagnóstico, tais como os valores teóricos mínimos e máximos das medições
e. Diagramas de cablagem e de ligações;
f. Códigos de diagnóstico de falhas e erros, incluindo códigos específicos do fabricante;
g. registos de dados de incidentes de avarias comunicadas armazenados no produto;
h. Manual técnico de instruções para a reparação do produto, incluindo diagramas simples de placas electrónicas, que inclua a marcação dos passos individuais;
i. instruções relativas a software e firmware, incluindo software de reposição
j. informações sobre o modo de aceder aos registos de dados de incidentes de avarias comunicados armazenados no dispositivo, se aplicável, com exceção das informações pessoais identificáveis, como as relacionadas com o comportamento do utilizador e as informações de localização.
iii. As peças sobressalentes essenciais, novas ou usadas, como motores, baterias, placas de circuitos e qualquer peça ou componente essencial para o bom funcionamento do produto, estão disponíveis para reparadores profissionais e utilizadores finais, após a colocação da última unidade do modelo no mercado, durante mais um ano, em comparação com os requisitos em matéria de disponibilidade de peças sobressalentes previstos na Diretiva 2009/125/CE.
iv. Sempre que não existam riscos significativos para a saúde e a segurança decorrentes da reparação do produto, o operador da atividade fornece instruções claras de desmontagem e reparação, nomeadamente através de uma cópia em papel ou em suporte eletrónico ou de um vídeo, e disponibiliza-as ao público durante o tempo de vida do produtotiv. 
v. Para os equipamentos eléctricos e electrónicos concebidos para uso dos consumidores, o operador da atividade fornece uma garantia comercial mínima de 3 anos, sem custos adicionais.
C. Conceção para reutilização e refabricação, incluindo
i. Se os produtos puderem armazenar dados e estes estiverem encriptados, é necessária uma função de software que reponha o dispositivo nas definições de fábrica e apague, por defeito, a chave de encriptação.
ii. Se os produtos puderem transferir dados armazenados, estes podem ser fácil e completamente transferidos para outro produto, assegurando a privacidade e a confidencialidade dos dados.
D. Conceção para desmantelamento, incluindo
i. As informações sobre a gestão do fim de vida do produto estão publicamente disponíveis durante o tempo de vida do produto. 
ii. A atividade fornece informações de rastreio sobre substâncias identificadas como substâncias que suscitam elevada preocupação (SVHC) e sobre substâncias que cumprem os critérios para substâncias que suscitam elevada preocupação (SVHC)
E. Conceção para reciclagem: A atividade económica fabrica produtos com uma capacidade de reciclagem comprovadamente superior. A avaliação da reciclabilidade baseia-se na norma EN 45555:2019 ou em qualquer norma EN específica do produto que se baseie na EN 45555:2019. A. A atividade económica cumpre os seguintes requisitos
i. São utilizados polímeros simples ou misturas de polímeros recicláveis;
ii. as caixas de plástico não contêm metal moldado ou colado
iii. os materiais que não podem ser reciclados em conjunto são de fácil acesso e têm a possibilidade de ser separados	
iv. a melhoria da reciclabilidade não prejudica a durabilidade do próprio sistema;
v. As partes do produto que contêm substâncias, misturas e componentes que devem ser removidos durante a despoluição são fáceis de identificar
vi. as placas de circuitos impressos, as unidades de disco rígido (HDD), os motores eléctricos, os ímanes permanentes, as pilhas, os pós fluorescentes ou quaisquer outros componentes identificados na legislação da União como tendo um elevado potencial de valorização de matérias-primas críticas sejam de fácil acesso e remoção do produto
vii. as partes que reduzem a reciclabilidade de acordo com o cenário de referência para o tratamento de produtos em fim de vida, como o plástico que utiliza determinados enchimentos ou retardadores de chama, são de fácil acesso e remoção
viii. as técnicas de junção, fixação ou selagem não impedem a remoção segura e facilmente exequível dos componentes especificados na Diretiva 2012/19/UE ou no Regulamento (UE) 2023/1542 do Parlamento Europeu e do Conselho relativo a pilhas e resíduos de pilhas, quando exista.
F. Substituição proactiva de substâncias perigosas, incluindo
i.	A atividade económica fabrica produtos que demonstram a substituição proativa de substâncias perigosas.
ii.	A atividade económica fabrica produtos que demonstram a substituição proactiva de substâncias perigosas.
iii. As substâncias perigosas não são introduzidas ou formadas nos subconjuntos e componentes especificados a um nível igual ou superior ao limite de concentração especificado.
iv. Os produtos não contêm halogéneos para além dos limites que podem ser detectados de acordo com a medição especificada nas normas existentes para todos os seus componentes: cabos (EN IEC 60754-3), peças de plástico (EN50642), componentes electrónicos (EN IEC 61249-2-21 ou JS709C), consumíveis (EN IEC 61249-2-21 e IPC J-STD-004B)
v. Os produtos não contêm gás fluor.
G. Informação aos clientes, incluindo:
i.O operador da atividade fornece informação aos clientes sobre as opções de utilização do produto tendo em conta os benefícios ambientais, em particular o prolongamento do tempo de vida dos produtos associado aos diferentes modos de utilização do produto.
ii. O operador da atividade fornece informações aos clientes sobre as opções de compra, venda e retoma do produto, informações sobre a recolha selectiva e os pontos de recolha de resíduos de equipamentos eléctricos e electrónicos (REEE), bem como informações sobre as opções de reutilização
iii. Para os equipamentos eléctricos e electrónicos, o operador da atividade marca adequadamente o produto com o símbolo que indica a recolha separada de resíduos de equipamentos eléctricos e electrónicos e fornece ao consumidor informações relevantes sobre os custos de recolha, tratamento e eliminação do produto de uma forma ambientalmente correta.
H. Responsabilidade dos produtores, incluindo
i. O operador da atividade, ao colocar equipamentos eléctricos e electrónicos no mercado dos Estados-Membros, estabelece um regime individual de responsabilidade alargada do produtor ou participa em regimes colectivos de responsabilidade alargada do produtor em todos os Estados-Membros em que o produto é colocado no mercado. 
ii. Para as pilhas portáteis, o produtor estabelece sistemas de retoma e recolha de resíduos de pilhas portáteis, que incluem pontos de recolha, em todos os Estados-Membros em que o produto é colocado no mercado.</t>
  </si>
  <si>
    <t xml:space="preserve">Cimento, alumínio, ferro, aço e outros </t>
  </si>
  <si>
    <t xml:space="preserve">Fabricação de cimento </t>
  </si>
  <si>
    <t xml:space="preserve">A.8.8. Fabricação de cimento </t>
  </si>
  <si>
    <t xml:space="preserve">A.8.8. Fabrico de cimento </t>
  </si>
  <si>
    <t xml:space="preserve">Fabrico de cimento </t>
  </si>
  <si>
    <t xml:space="preserve">Fabrico de cimento clinker, cimento ou ligante alternativo. </t>
  </si>
  <si>
    <r>
      <rPr>
        <b/>
        <sz val="8"/>
        <color rgb="FF000000"/>
        <rFont val="Santander Text"/>
      </rPr>
      <t>O que é isso?</t>
    </r>
    <r>
      <rPr>
        <sz val="8"/>
        <color rgb="FF000000"/>
        <rFont val="Santander Text"/>
      </rPr>
      <t xml:space="preserve"> Fabrico de cimento clinker, cimento ou ligante alternativo</t>
    </r>
  </si>
  <si>
    <t>Cumpre TODOS os critérios aplicáveis  _
1. PRODUTOS alternativos:
a. Fabrico de cimento cinzento em que as emissões de gases com efeito de estufa são inferiores a 0,722 tCO2e/tonelada.
b. Cimento de clinker cinza ou manufatura de aglutinante hidráulica alternativa onde as emissões de gases de efeito estufa (do clinker ou alternativa) são inferiores a 0,469 tCO2e/tonelada. _
2. 
- Fuga de CO2 abaixo de 0,5% .
- O sequestro de carbono está em conformidade com as normas internacionais (ISO)._</t>
  </si>
  <si>
    <t xml:space="preserve">Fabricação de alumínio </t>
  </si>
  <si>
    <t xml:space="preserve">A.8.9. Fabricação de alumínio </t>
  </si>
  <si>
    <t xml:space="preserve">A.8.9. Fabrico de alumínio </t>
  </si>
  <si>
    <t xml:space="preserve">Fabrico de alumínio </t>
  </si>
  <si>
    <t>Fabricação de através da reciclagem de alumínio primário ou secundário.</t>
  </si>
  <si>
    <r>
      <rPr>
        <b/>
        <sz val="8"/>
        <color rgb="FF000000"/>
        <rFont val="Santander Text"/>
      </rPr>
      <t xml:space="preserve">O que é isso? </t>
    </r>
    <r>
      <rPr>
        <sz val="8"/>
        <color rgb="FF000000"/>
        <rFont val="Santander Text"/>
      </rPr>
      <t>Fabricação de através da reciclagem de alumínio primário ou secundário.</t>
    </r>
  </si>
  <si>
    <t xml:space="preserve">Cumpre TODOS os critérios aplicáveis  _
3. As tecnologias fabricadas são:
- Reduzir as emissões de gases com efeito de estufa em comparação com a melhor alternativa disponível no mercado.
- Quando quantificadas, as emissões de gases de efeito estufa são verificadas por terceiros independentes._
</t>
  </si>
  <si>
    <t xml:space="preserve">Cumpre UM critério aplicável  _
1. ALUMÍNIO PRIMÁRIO 
Para cumprir UM (até 2025) ou TODOS (depois de 2025):
- Emissões de gases com efeito de estufa abaixo de 1,484 tCO2e/tonelada 
- A intensidade de carbono das emissões indiretas de gases com efeito de estufa está abaixo 100gCO2e/kWh 
- Consumo de eletricidade abaixo de 15,5 MWh/t IA  _
2. ALUMÍNIO SECUNDÁRIO. _
</t>
  </si>
  <si>
    <t xml:space="preserve">Fabricação de ferro e aço </t>
  </si>
  <si>
    <t xml:space="preserve">A.8.10. Fabricação de ferro e aço </t>
  </si>
  <si>
    <t xml:space="preserve">A.8.10. Fabrico de ferro e aço </t>
  </si>
  <si>
    <t xml:space="preserve">Fabrico de ferro e aço </t>
  </si>
  <si>
    <t xml:space="preserve">Cumpre TODOS os critérios aplicáveis  _
3. As tecnologias fabricadas são:
- Reduzir as emissões de gases com efeito de estufa em comparação com a melhor alternativa disponível no mercado.
- Quando quantificadas, as emissões de gases de efeito estufa são verificadas por terceiros independentes. _
</t>
  </si>
  <si>
    <t>Cumpre TODOS os critérios aplicáveis  _
1. Critérios alternativos: 
- Redução das emissões de gases com efeito de estufa, não excedendo os seguintes limiares consoante as etapas do processo:
a. Metal quente: 1 331 tCO2e/t produto; 
b. Minério sinterizado: 0 163 tCO2e/t produto 
c. Coque (excluindo coque de lignite): 0 144 tCO2e/t de produto 
d. Fundição de ferro: 0,299 (1152) tCO2e/t produto 
e. O aço de alta liga da fornalha de arco elétrico (EAF) é 0 266 tCO2e/t produto 
f. Aço carbono do forno elétrico a arco (EAF): 0 209 tCO2e/t produto 
- EAFs – Steel scrap input relative to product output higher than:
a. 70 % for high alloy steel
b. 90 % for carbon steel _
2. 
- Fuga de CO2 abaixo 0.5%.
- O sequestro de carbono está em conformidade com as normas internacionais._</t>
  </si>
  <si>
    <t xml:space="preserve">Fabricação de negro de carbono </t>
  </si>
  <si>
    <t xml:space="preserve">A.8.11. Fabricação de negro de carbono </t>
  </si>
  <si>
    <t>A.8.11. Fabrico de carbono negro</t>
  </si>
  <si>
    <t>Fabrico de carbono negro</t>
  </si>
  <si>
    <t xml:space="preserve">Cumpre TODOS os critérios aplicáveis  _
2. As tecnologias fabricadas são:
- Reduzir as emissões de gases com efeito de estufa em comparação com a melhor alternativa disponível no mercado.
- Quando quantificadas, as emissões de gases de efeito estufa são verificadas por terceiros independentes. _
</t>
  </si>
  <si>
    <t>Cumpre TODOS os critérios aplicáveis  _
1. Emissões de gases de efeito estufa abaixo 1.141 tCO2e / ton. _</t>
  </si>
  <si>
    <t xml:space="preserve">Plásticos </t>
  </si>
  <si>
    <t xml:space="preserve">Fabricação de plásticos na forma primária </t>
  </si>
  <si>
    <t xml:space="preserve">A.8.17. Fabricação de plásticos na forma primária </t>
  </si>
  <si>
    <t xml:space="preserve">A.8.17. Fabrico de plásticos na forma primária </t>
  </si>
  <si>
    <t xml:space="preserve">Fabrico de plásticos na forma primária </t>
  </si>
  <si>
    <t>Fabricação de resinas e materiais plásticos</t>
  </si>
  <si>
    <r>
      <rPr>
        <b/>
        <sz val="8"/>
        <color rgb="FF000000"/>
        <rFont val="Santander Text"/>
      </rPr>
      <t xml:space="preserve">O que é isso? </t>
    </r>
    <r>
      <rPr>
        <sz val="8"/>
        <color rgb="FF000000"/>
        <rFont val="Santander Text"/>
      </rPr>
      <t xml:space="preserve">Fabricação de resinas e materiais plásticos </t>
    </r>
  </si>
  <si>
    <t>Cumpre TODOS os critérios aplicáveis  _
2. As tecnologias fabricadas são:
- Reduzir as emissões de gases com efeito de estufa em comparação com a melhor alternativa disponível no mercado.
- Quando quantificadas, as emissões de gases de efeito estufa são verificadas por terceiros independentes. _</t>
  </si>
  <si>
    <t>Cumpre UM critério aplicável  _
1. Forma primária de plástico totalmente fabricada pela reciclagem mecânica de resíduos plásticos.  _
2. Se a reciclagem mecânica não for viável, fabrique através de reciclagem química com emissões de gases de efeito estufa mais baixas do que a opção equivalente a partir da matéria-prima de combustíveis fósseis. Cálculo feito usando a ISO 14067 ou a ISO 14064, verificado por uma parte independente.  _
3. Derivado total ou parcialmente de matéria-prima renovável e emissões de Gases com Efeito de Estufa inferiores uma opção equivalente de matéria-prima de combustíveis fósseis. Cálculo feito usando a ISO 14067 ou a ISO 14064, verificado por uma parte independente.  _
4. Os biocombustíveis produzidos a partir de biomassa agrícola não devem ser feitos de matérias-primas de alto valor que venham da biodiversidade ou derivem de uma produção insustentável. _</t>
  </si>
  <si>
    <t xml:space="preserve">Fabricação de embalagens de plástico </t>
  </si>
  <si>
    <t xml:space="preserve">A.8.23. Fabricação de embalagens de plástico </t>
  </si>
  <si>
    <t xml:space="preserve">A.8.23. Fabrico de embalagens de plástico </t>
  </si>
  <si>
    <t xml:space="preserve">Fabrico de embalagens de plástico </t>
  </si>
  <si>
    <t>Cumpre TODOS os critérios aplicáveis  _
1. Está em conformidade com UM:
a. Matéria-prima circular: 
     - Embalagens sensíveis sem contacto: Mais de 35%, em peso, recicladas. 
     - Embalagem sensível ao contacto: Mais de 10% em peso reciclado.
b. Design para reutilização: Atender aos requisitos de A. e garantir a reutilização em um sistema aberto ou de circuito fechado que fornece:
      - Estrutura de governação definida e mantém registos de KPIs.
      - Regras sobre o alcance dos produtos, formatos e incentivos para os clientes.
       -Garante o acesso a todos os operadores económicos.
c. Uso de mais de 65 matérias-primas de bio-resíduos.  _
2. Em conformidade COM TODOS:
- A unidade de embalagem é concebida para ser reciclada ou permitir a separação de componentes não reciclados.  
- Avaliados como recicláveis em escala. _
3. Enquanto está a ser produzida, a matéria-prima não contém substâncias perigosas com propriedades carciogénicas, mutagénicas ou tóxicas.  _
4. Plástico compostável usado apenas para sacos de plástico muito leves.  _</t>
  </si>
  <si>
    <t>Farmacêutica</t>
  </si>
  <si>
    <t xml:space="preserve">Fabricação de ingredientes farmacêuticos ativos (API) ou substâncias ativas </t>
  </si>
  <si>
    <t xml:space="preserve">A.8.24. Fabricação de ingredientes farmacêuticos ativos (API) ou substâncias ativas </t>
  </si>
  <si>
    <t xml:space="preserve">A.8.24. Fabrico de ingredientes farmacêuticos ativos (API) ou substâncias ativas </t>
  </si>
  <si>
    <t xml:space="preserve">Fabrico de ingredientes farmacêuticos ativos (API) ou substâncias ativas </t>
  </si>
  <si>
    <t>Cumpre UM critério aplicável  _
1. Em conformidade COM TODOS:
a. Os ingredientes contêm substâncias naturais (vitaminas, eletrólitos...) Que são degradáveis OU que a saída é qualificada como substituto apropriado para outro produto. 
b. Se "a." não for cumprido, os principais metabólitos humanos e produtos de transformação no ambiente devem estar em conformidade com UM: 
     - Classificados como biodegradáveis de acordo com as diretrizes da OCDE para o teste de químicos (Teste 301 A-F). 
     - Pode-se concluir que é mineralizada de acordo com o Teste Nº 308: Transformação Aeróbica e Anaeróbica em Sistemas de Sedimentos Aquáticos (OCDE 308) das Directrizes da OCDE.
c.  API qualificada como substituto apropriado para outro disponível no mercado que não esteja em conformidade com os padrões do critério #1 (evidência como uma análise disponível publicamente verificada por um terceiro independente). 
d. O processo de fabrico não envolve o uso de químicos restritos, a menos que não haja alternativa disponível no mercado.  _
2. A emissão da pollutents - cumpre com TODOS:
- O ponto médio da melhor técnica disponível/nível de emissão associado para a gestão de gases residuais, fabrico de químicos finos orgânicos ou grandes químicos inorgânicos de volúmen. 
- Sistemas de Monitorização de Emissões Continuadas (CEMS), Sistemas de Monitorização de Qualidade de Efluentes Contínuos (CEQMS) ou equivalentes aplicados para garantir a não deterioração do ambiente. 
- O operador aplica a segregação de resíduos de solventes para a recuperação de solventes a partir de fluxos de resíduos concentrados, quando tecnicamente aplicável. 
- Os esgotos e outros resíduos são oportunos e descartados de forma sã num recipiente/tubo seguro e claramente identificado, com dados disponíveis e atualizados sobre a conversão desses materiais.  _</t>
  </si>
  <si>
    <t xml:space="preserve">Fabricação de medicamentos </t>
  </si>
  <si>
    <t xml:space="preserve">A.8.25. Fabricação de medicamentos </t>
  </si>
  <si>
    <t xml:space="preserve">A.8.25. Fabrico de medicamentos </t>
  </si>
  <si>
    <t xml:space="preserve">Fabrico de medicamentos </t>
  </si>
  <si>
    <t>Cumpre UM critério aplicável  _
1. Está em conformidade com TODOS:
a. Os ingredientes contêm substâncias que ocorrem naturalmente (vitaminas, eletrólitos...) Que são degradáveis OU que a saída é qualificada como substituto apropriado para outro produto. 
b. Há provas de que não existem ingredientes disponíveis para a produção de um substituto adequado, respeitando TODOS OS seguintes aspetos:
- Análise realizada com resultados publicados. 
- Não há risco significativo associado (PEC/PMEC abaixo de 1). 
- Quantidades vendidas reguláveis com embalagem e distribuição Informação pública atualizada de acordo com o estado da arte sobre a dosagem recomendada. 
- Aplicação de dosagem mais eficaz, mais eficaz, mais eficaz, mais fácil de aplicar, em formato de embalagem. 
- O fabricante contribui para mitigar o impactos ambiental da eliminação incorreta de resíduos. 
c. O processo de fabrico não envolve o uso de químicos restritos, a menos que não haja alternativa disponível no mercado. _
2. A emissão da pollutents - cumpre com TODOS:
- O ponto médio da melhor técnica disponível/nível de emissão associado para a gestão de gases residuais, fabrico de químicos finos orgânicos ou grandes químicos inorgânicos de volúmen. 
- Sistemas de Monitorização de Emissões Continuadas (CEMS), Sistemas de Monitorização de Qualidade de Efluentes Contínuos (CEQMS) ou equivalentes aplicados para garantir a não deterioração do ambiente.
- O operador aplica a segregação de resíduos de solventes para a recuperação de solventes a partir de fluxos de resíduos concentrados, quando tecnicamente aplicável.
- Os esgotos e outros resíduos são oportunos e descartados de forma sã num recipiente/tubo seguro e claramente identificado, com dados disponíveis e atualizados sobre a conversão desses materiais.  _</t>
  </si>
  <si>
    <t>A.8.5. Fabrico de baterias</t>
  </si>
  <si>
    <t>Fabrico de baterias</t>
  </si>
  <si>
    <t xml:space="preserve">Fabricação de baterias recarregáveis e aplicações industriais e respetivos componentes. </t>
  </si>
  <si>
    <r>
      <rPr>
        <b/>
        <sz val="8"/>
        <color rgb="FF000000"/>
        <rFont val="Santander Text"/>
      </rPr>
      <t>O que é isso?</t>
    </r>
    <r>
      <rPr>
        <sz val="8"/>
        <color rgb="FF000000"/>
        <rFont val="Santander Text"/>
      </rPr>
      <t xml:space="preserve"> Fabricação de baterias recarregáveis e aplicações industriais e respetivos componentes.</t>
    </r>
  </si>
  <si>
    <t xml:space="preserve">Cumpre UM critério aplicável  _
1. Uso secundário de matérias-primas que resulta em reduções de emissões de gases de efeito estufa no transporte, armazenamento de energia estacionário e fora da rede e outras aplicações industriais. _
2.  Reciclagem de baterias em fim de vida. _
</t>
  </si>
  <si>
    <t>Alojamento e restauração</t>
  </si>
  <si>
    <t xml:space="preserve">A.9.1. Hotéis, férias, parques de campismo e alojamento semelhante </t>
  </si>
  <si>
    <t>A.9.1. Hotéis, alojamentos de férias, parques de campismo e acomodações similares</t>
  </si>
  <si>
    <t>Hotéis, alojamentos de férias, parques de campismo e acomodações similares</t>
  </si>
  <si>
    <t xml:space="preserve">Alojamento turístico de curto prazo, possivelmente com serviços associados </t>
  </si>
  <si>
    <r>
      <rPr>
        <b/>
        <sz val="8"/>
        <color rgb="FF000000"/>
        <rFont val="Santander Text"/>
      </rPr>
      <t xml:space="preserve">O que é isso? </t>
    </r>
    <r>
      <rPr>
        <sz val="8"/>
        <color rgb="FF000000"/>
        <rFont val="Santander Text"/>
      </rPr>
      <t xml:space="preserve">Alojamento turístico de curto prazo, possivelmente com serviços associados </t>
    </r>
  </si>
  <si>
    <r>
      <rPr>
        <sz val="8"/>
        <color rgb="FF000000"/>
        <rFont val="Anta"/>
      </rPr>
      <t>Cumpre TODOS os critérios aplicáveis _
11. Certificação EarthCheck (</t>
    </r>
    <r>
      <rPr>
        <strike/>
        <sz val="8"/>
        <color rgb="FFFF0000"/>
        <rFont val="Anta"/>
      </rPr>
      <t>Gold</t>
    </r>
    <r>
      <rPr>
        <sz val="8"/>
        <color rgb="FFFF0000"/>
        <rFont val="Anta"/>
      </rPr>
      <t xml:space="preserve">Silver </t>
    </r>
    <r>
      <rPr>
        <sz val="8"/>
        <color rgb="FF000000"/>
        <rFont val="Anta"/>
      </rPr>
      <t>ou superior)_</t>
    </r>
  </si>
  <si>
    <t>Cumpre TODOS os critérios aplicáveis _
1. Conservação, incluindo a restauração de habitats, ecossistemas e espécies, critérios em conformidade com toda a área. _
2. Áreas de valorização da conservação da natureza elevadas cobertas com um plano de gestão.  _
3. Atividades especificamente acordadas num mínimo de 5 ano, regularmente revisou o documento contratual entre o operador e a organização responsável pela conservação da área.  _
4. As medidas financeiras ou em espécie são as seguintes: 
a. Inscrição de taxas de entrada / licença / utilizadores. 
b. Concessões e arrendamentos para serviços diretamente relacionados com uma área de conservação. 
c. Estabelecimentos de alojamento turístico dentro de uma área de conservação mas não sujeitos a concessão. 
d. Voluntários para atividades diretamente relacionadas com a conservação. 
e. Oportunidades educacionais diretamente relacionadas à conservação e comportamento apropriado. 
f. Compra de produtos derivados de práticas sustentáveis numa área de conservação. 
g. Compra de mercadorias de uma área de conservação para re-venda. 
h. Pagamento de direitos de autor, diretamente à organização responsável pela gestão de uma área de conservação. 
i. Recolha de donativos voluntários de turistas para serem transferidos para um fundo dedicado.  _
5. Percentagem mínima de contribuição definida: 
a. Caso de apenas um estabelecimento: 1% do volume de negócios anual. 
b. 2-10 estabelecimentos: 0,7% do volume de negócios anual de um alojamento turístico individual. 
c. Mais de 10 estabelecimentos: 0,5% do volume de negócios anual de um estabelecimento de alojamento turístico individual. _
6. Plano de ação incluindo:
-Objetivos: Evitar/minimizar os impactos negativos na biodiversidade, incluindo:
      - Para visitas a locais naturais: Evitar danos no ecossistema através dos fluxos de turistas.
      -Para a interação com a vida selvagem: Evitar perturbações através de ações prejudiciais, movimentos locais de turistas ou introdução de espécies exóticas invasoras.
      -Para a colheita e o comércio da vida selvagem: Respeito às espécies protegidas da vida selvagem.
- Acordos de parceria.
- Informação sobre a biodiversidade e plano de sensibilização. 
- Acompanhamento contínuo e estrutura de ações correctivas. _
7. Cadeia de abastecimento sustentável e sistema de gestão em conformidade COM TODOS: 
- Participação justa de produtos em linha com as melhores práticas certificadas por terceiros (FSC, FAO). 
- Se mais de 50 empregados, está em conformidade com UM do seguinte:
   a. O sistema de gestão ambiental requer certificação de terceiros, como EMAS, ISO 14001:201526 ou equivalente. 
   b. Rótulo ecológico da UE para alojamento turístico ou equivalente. _ 
8. Desempenho da Avaliação de Impacto Ambiental para garantir a prevenção de efeitos adversos. _
9. Áreas específicas para a caça recreativa e a pesca.  _
10. Autoridades ou terceiro certificado independente verificam critérios técnicos a cada 5 anos. _</t>
  </si>
  <si>
    <t xml:space="preserve">TI e Comunicações </t>
  </si>
  <si>
    <t xml:space="preserve">Soluções e software orientados por dados </t>
  </si>
  <si>
    <t xml:space="preserve">Reduções de emissões de gases com efeito de estufa </t>
  </si>
  <si>
    <t xml:space="preserve">A.10.2. Reduções de emissões de gases com efeito de estufa </t>
  </si>
  <si>
    <t>A.10.2. Soluções baseadas em dados para a redução de emissões de GEE</t>
  </si>
  <si>
    <t>Soluções baseadas em dados para a redução de emissões de GEE</t>
  </si>
  <si>
    <t>Desenvolvimento ou uso de soluções TIC destinadas ao fornecimento de dados e análises que permitam reduções de emissões de gases com efeito de estufa.</t>
  </si>
  <si>
    <r>
      <rPr>
        <b/>
        <sz val="8"/>
        <color rgb="FF000000"/>
        <rFont val="Santander Text"/>
      </rPr>
      <t xml:space="preserve">O que é isso? </t>
    </r>
    <r>
      <rPr>
        <sz val="8"/>
        <color rgb="FF000000"/>
        <rFont val="Santander Text"/>
      </rPr>
      <t>Desenvolvimento ou uso de soluções TIC destinadas ao fornecimento de dados e análises que permitam reduções de emissões de gases com efeito de estufa.</t>
    </r>
  </si>
  <si>
    <t xml:space="preserve">Cumpre TODOS os critérios aplicáveis  _
1. Soluções e análises para a tomada de decisões sobre redução de gases com efeito de estufa. Estas soluções podem incluir tecnologias descentralizadas, internet das coisas, atualização de 5G e inteligência artificial.  _
</t>
  </si>
  <si>
    <t xml:space="preserve">Cumpre TODOS os critérios aplicáveis _
1. Soluções e análises para a tomada de decisões sobre redução de gases com efeito de estufa. Estas soluções podem incluir tecnologias descentralizadas, internet das coisas, atualização de 5G e inteligência artificial. _
2. A solução de TIC demonstra poupanças substanciais em emissões de gases com efeito de estufa (calculadas usando ETSI ES 203 199, ISO 14067:2018 ou ISO 14064-2:2019).  _
3. As reduções das emissões de gases com efeito de estufa são verificadas por terceiros numa avaliação transparente.  _
</t>
  </si>
  <si>
    <t>9) Indústria, inovação e infraestrutura
12) Consumo responsável e produção</t>
  </si>
  <si>
    <t>Gestão e adaptação dos riscos climáticos físicos</t>
  </si>
  <si>
    <t>A.10.3. Gestão e adaptação dos riscos climáticos físicos</t>
  </si>
  <si>
    <t xml:space="preserve">A.10.3. Software que permite a gestão e adaptação física do risco climático </t>
  </si>
  <si>
    <t xml:space="preserve">Software que permite a gestão e adaptação física do risco climático </t>
  </si>
  <si>
    <t>Atividades de programação destinadas ao fornecimento de software para previsão de riscos climáticos, sistemas de alerta precoce e gestão de riscos climáticos.</t>
  </si>
  <si>
    <r>
      <rPr>
        <b/>
        <sz val="8"/>
        <color rgb="FF000000"/>
        <rFont val="Santander Text"/>
      </rPr>
      <t xml:space="preserve">O que é isso? </t>
    </r>
    <r>
      <rPr>
        <sz val="8"/>
        <color rgb="FF000000"/>
        <rFont val="Santander Text"/>
      </rPr>
      <t>Atividades de programação destinadas ao fornecimento de software para previsão de riscos climáticos, sistemas de alerta precoce e gestão de riscos climáticos.</t>
    </r>
  </si>
  <si>
    <t>Cumpre TODOS os critérios aplicáveis  _
1. A atividade elimina as barreiras de informação, tecnologia ou capacidade à adaptação. _
3. The software  developed complies with ALL:
-Is targeted at enabling the management of physical climate risks.
-Does not adversely affect the adaptation efforts of the level of resilence to physical climate risks.
-Favors nature-based solution to the extent posible.
-Is consistent with national adaptation strategies and plans
-Is reported and monitored againts pre-defined indicators. _</t>
  </si>
  <si>
    <t xml:space="preserve">Cumpre TODOS os critérios aplicáveis  _
1. A atividade elimina as barreiras de informação, tecnologia ou capacidade à adaptação.  _
2. A atividade utiliza uma metodologia e dados que estão em conformidade com TODO O abaixo:
- Com base nas melhores práticas e nas orientações disponíveis. 
- Consistente com as normas e diretrizes sobre adaptação climática e gestão de riscos (EN ISO 14090 e EN ISO 14091). _
3. O software desenvolvido está em conformidade COM TODOS: 
- Destina-se a permitir a gestão dos riscos climáticos físicos. 
- Não afeta negativamente os esforços de adaptação do nível de responsabilidade aos riscos físicos climáticos. 
- Favorece a solução baseada na natureza na medida em que possível. 
- É consistente com estratégias e planos nacionais de adaptação. 
- É reportado e monitorizado de acordo com indicadores pré-definidos.  _
</t>
  </si>
  <si>
    <t xml:space="preserve">Redução de fugas </t>
  </si>
  <si>
    <t xml:space="preserve">A.10.4. Redução de fugas </t>
  </si>
  <si>
    <t>A.10.4. Fornecimento de soluções baseadas em dados de IT/OT para redução de fugas</t>
  </si>
  <si>
    <t>Fornecimento de soluções baseadas em dados de IT/OT para redução de fugas</t>
  </si>
  <si>
    <t>Consultoria técnica para design ou monitorização, tecnologia da informação/operacional e soluções orientadas por dados para reduzir fugas em sistemas de abastecimento de água.</t>
  </si>
  <si>
    <r>
      <rPr>
        <b/>
        <sz val="8"/>
        <color rgb="FF000000"/>
        <rFont val="Santander Text"/>
      </rPr>
      <t xml:space="preserve">O que é isso? </t>
    </r>
    <r>
      <rPr>
        <sz val="8"/>
        <color rgb="FF000000"/>
        <rFont val="Santander Text"/>
      </rPr>
      <t>Consultoria técnica para design ou monitorização, tecnologia da informação/operacional e soluções orientadas por dados para reduzir fugas em sistemas de abastecimento de água.</t>
    </r>
  </si>
  <si>
    <t>Cumpre TODOS os critérios aplicáveis  _
1. A atividade cumpre a definição E TODOS os critérios abaixo:
- Sistemas de monitorização, incluindo IT/OT, para fornecer identificação, seguimento e rastreio fugas de agua. 
- Soluções IT/OT que proporcionam controlo, gestão e mitigação de fugas de água. 
- Soluções IT/OT que garantem a interoperabilidade dos sistemas em áreas de medição distrital. _
2. Os riscos de degradação ambiental relacionados com a preservação da qualidade da água e a prevenção do stress hídrico são identificados e tratados para alcançar um bom estado da água. _</t>
  </si>
  <si>
    <t>Outros</t>
  </si>
  <si>
    <t>A.10.5. Outros</t>
  </si>
  <si>
    <t>A.10.5. Fornecimento de soluções baseadas em dados de IT/OT</t>
  </si>
  <si>
    <t>Fornecimento de soluções baseadas em dados de IT/OT</t>
  </si>
  <si>
    <t>Consultoria técnica para software e sistemas DE TI ou OT, apoiando o design ecológico e software de gestão de fornecedores que apoiam a aquisição ecológica.</t>
  </si>
  <si>
    <r>
      <rPr>
        <b/>
        <sz val="8"/>
        <color rgb="FF000000"/>
        <rFont val="Santander Text"/>
      </rPr>
      <t xml:space="preserve">O que é isso? </t>
    </r>
    <r>
      <rPr>
        <sz val="8"/>
        <color rgb="FF000000"/>
        <rFont val="Santander Text"/>
      </rPr>
      <t>Consultoria técnica para software e sistemas DE TI ou OT, apoiando o design ecológico e software de gestão de fornecedores que apoiam a aquisição ecológica.</t>
    </r>
  </si>
  <si>
    <t>Cumpre TODOS os critérios aplicáveis _
9. Para os países não pertencentes à UE, os mesmos critérios coerentes com a taxonomia da UE, com exceção da conformidade com a LTO</t>
  </si>
  <si>
    <t>Cumpre o critério #1 + UM dos restantes.  _
1. A atividade desenvolve serviços profissionais, incluindo consultoria técnica para o design de uma ou mais soluções orientadas PARA dados IT/OT: 
- Sensores. 
- Equipamento de recolha e comunicação de dados. 
- Repositório de dados. 
- Software. _
2. Para monitorização remota e sistema de manutenção preventiva, PELO MENOS DUAS das seguintes capacidades são atendidas:
a. Alertar o utilizador para valores anormais dos sensores e tirar conclusões sobre a natureza exata através de métodos analíticos avançados.
b. Prever o tempo de vida restante esperado de um produto e recomendar medidas para o alargar.
c. Prever falhas e recomendar medidas para evitá-las.
d. Recomendações sobre a recuperação de componentes através da recolha de peças para reciclagem, em conformidade com UMA:   
   i)  Monitorização da substituição de consumíveis 
   ii) Monitoramento remoto de centrais de geração de energia que são mais estufa do que 100gCO2e/kWh. _
3. Para o software de rastreamento e rastreamento e SISTEMAS IT/OT, cumpre UM dos seguintes: 
a. Dados estruturados acessíveis (ISO 14067:2018152 ou ISO 14040:2006153). 
b. Fornecimento de documentos e dados que suportam diretamente a manutenção de equipamentos. 
c. Apoiar a logística reversa, incluindo a recuperação de produtos para remanufatura ou reciclagem através da gestão de etapas e transações. 
d. Apoiar a otimização e a intensificação do uso de produtos._
4. Para o software de avaliação do ciclo de vida, cumpre UMA das seguintes: 
a. Apoiar a avaliação do ciclo de vida de produtos com métodos implementados por software (de acordo com a norma ISO 14067:2018154 ou ISO 14040:2006155). 
b. Fornecer dados necessários para a análise do ciclo de vida. 
c. Fornecer recomendações para melhorar o design de um produto. _
5. Para software de design e engenharia, cumpre UMA das seguintes: 
a. Gerir a circularidade específica do produto e outros objetivos de design ambiental. 
b. Explore designs de produtos para avaliar e otimizar designs de produtos. 
c. Encontrar a melhor troca entre objetivos de design conflitantes. 
d. Validação de um projeto através de análise e simulação. 
e. Apoiar o processo de design de produtos auxiliados por computador com dados sobre o impactos do design no desempenho ambiental. 
f. Seleção de materiais com baixo impactos ambiental através do fornecimento de dados.  _
6. Para software de gestão de fornecedores, cumpre UMA das seguintes: 
a. Fornecer ao utilizador informações sobre fornecedores. 
b. Gestão de fornecedores certificados relacionados com o fornecimento de tais materiais. 
c. Intercâmbio com fornecedores de dados necessários para verificar o desempenho ambiental. 
d. Negociação de ding entre fornecedores e compradores de produtos ecológicos. 
e. Apoiando a logística reversa. _
7. Para o software de gestão do ciclo de vida, cumpre UMA das seguintes: 
a. Avaliação do desempenho circularidade de um produto. 
b. Comparando o desempenho da circularidade com a circularidade original. 
c. Planeamento/documentação das medidas necessárias para prologue a vida útil do produto. 
d. Avaliação de tais medidas sobre o desempenho da circularidade. 
e. Fornecer ao utilizador os dados necessários para tomar decisões.  _
8. Todas as soluções orientadas por dados IT/OT devem satisfazer TODOS os seguintes critérios:
- As técnicas adotadas apoiam a reutilização e o uso de matérias-primas secundárias. 
- Estão em vigor medidas para gerir e reciclar os resíduos no fim da vida útil. 
- Preparação para operações de reutilização, incluindo a remoção de fluidos e tratamento seletivo.   _</t>
  </si>
  <si>
    <t xml:space="preserve">A.10.1. Processamento de dados e atividades relacionadas </t>
  </si>
  <si>
    <t>A.10.1. Processamento de dados, hospedagem e atividades relacionadas</t>
  </si>
  <si>
    <t>Processamento de dados, hospedagem e atividades relacionadas</t>
  </si>
  <si>
    <t>Armazenamento, manipulação, gestão, movimento, transmissão ou processamento de dados através de centros de dados, incluindo computação de ponta.</t>
  </si>
  <si>
    <r>
      <rPr>
        <b/>
        <sz val="8"/>
        <color rgb="FF000000"/>
        <rFont val="Santander Text"/>
      </rPr>
      <t xml:space="preserve">O que é isso? </t>
    </r>
    <r>
      <rPr>
        <sz val="8"/>
        <color rgb="FF000000"/>
        <rFont val="Santander Text"/>
      </rPr>
      <t>Armazenamento, manipulação, gestão, movimento, transmissão ou processamento de dados através de centros de dados, incluindo computação de ponta.</t>
    </r>
  </si>
  <si>
    <t>Cumpre TODOS os critérios aplicáveis  _
4. Centros de dados para processamento de dados. Se estiver em conformidade com todas as práticas relevantes do Código Europeu e/ou da eficácia do uso de energia (PUE) é abaixo 1,5.  _</t>
  </si>
  <si>
    <t>Cumpre TODOS os critérios aplicáveis 
1. A atividade implementou todas as práticas relevantes listadas na versão mais recente do Código de Conduta Europeu sobre a Eficiência Energética dos Centros de Dados.  _
2. Outras melhores práticas alternativas, para além das descritas no ponto 1, podem ser identificadas se resultarem em poupanças de energia semelhantes. _
3.O potencial de aquecimento global (GWP) dos refrigerantes usados no sistema de arrefecimento do centro de dados não excede 675. _</t>
  </si>
  <si>
    <t xml:space="preserve">A.10.6. Investigação, desenvolvimento e inovação </t>
  </si>
  <si>
    <t>A.10.6. Investigação, desenvolvimento e inovação orientados para o mercado</t>
  </si>
  <si>
    <t>Investigação, desenvolvimento e inovação orientados para o mercado</t>
  </si>
  <si>
    <t>Investigação e desenvolvimento experimental de soluções dedicadas à redução das emissões de gases com efeito de estufa.</t>
  </si>
  <si>
    <r>
      <rPr>
        <b/>
        <sz val="8"/>
        <color rgb="FF000000"/>
        <rFont val="Santander Text"/>
      </rPr>
      <t xml:space="preserve">O que é isso? </t>
    </r>
    <r>
      <rPr>
        <sz val="8"/>
        <color rgb="FF000000"/>
        <rFont val="Santander Text"/>
      </rPr>
      <t>Investigação e desenvolvimento experimental de soluções dedicadas à redução das emissões de gases com efeito de estufa.</t>
    </r>
  </si>
  <si>
    <t>Cumpre TODOS os critérios aplicáveis _
10. Para os países não pertencentes à UE, os mesmos critérios coerentes com a taxonomia da UE, com exceção da conformidade com a LTO</t>
  </si>
  <si>
    <t>Cumpre TODOS os critérios aplicáveis  _
1. Investigação/desenvolvimento de inovação para tecnologias dedicadas a atividades económicas._
2. Os resultados permitem que as atividades económicas cumpram os respetivos critérios. _
3. A atividade económica visa trazer uma solução que ainda não está no mercado e terá um melhor desempenho em termos de emissões de gases com efeito de estufa. _
4. Onde o produto pesquisado já permite uma atividade, a atividade centra-se no desenvolvimento de tecnologias de emissões igualmente mais baixas. _
5. Quando uma atividade de investigação é dedicada a atividades económicas consideradas como "capacitantes", os resultados fornecem tecnologias inovadoras que lhes permitem reduzir as emissões de gases com efeito de estufa.  _
6. Quando uma atividade de investigação é dedicada a atividades consideradas "transitórias", as tecnologias permitem que as atividades-alvo sejam realizadas com emissões projetadas mais baixas.  _
7. Quando uma atividade de investigação é dedicada às atividades de fabrico, as tecnologias permitem que o objetivo seja realizado com uma menor emissão de gases com efeito de estufa (30% em comparação com a referência relevante do ETS da UE).  _
8. Quando a tecnologia está no TRL 6 ou 7, as emissões de gases de efeito estufa do ciclo de vida são avaliadas pela entidade que cumpre UM: 
a. Patente não superior a 10 anos, com potencial de redução de emissões de gases com efeito de estufa fornecido. 
b. Autorização de uma autoridade competente, com potencial de redução de emissões de gases com efeito de estufa fornecido. _
9. Quando a tecnologia está em TRL 8 ou superior, as emissões de gases com efeito de estufa do ciclo de vida são calculadas usando a norma ISO 14067:2018(325) ou a norma iso 14064-1:2018(326), verificadas por terceiros independentes.  _</t>
  </si>
  <si>
    <t xml:space="preserve">Captura de CO2 do ar </t>
  </si>
  <si>
    <t>Captação direta do CO2 do ar (Investigação, desenvolvimento e inovação)</t>
  </si>
  <si>
    <t>A.8.28 Captação direta do CO2 do ar (Investigação, desenvolvimento e inovação)</t>
  </si>
  <si>
    <t>A.8.28. Investigação, desenvolvimento e inovação para captura direta de CO2 do ar</t>
  </si>
  <si>
    <t>Investigação, desenvolvimento e inovação para captura direta de CO2 do ar</t>
  </si>
  <si>
    <t xml:space="preserve">Soluções e modelos de negócio dedicados à captação direta do ar de CO2 na atmosfera. </t>
  </si>
  <si>
    <r>
      <rPr>
        <b/>
        <sz val="8"/>
        <color rgb="FF000000"/>
        <rFont val="Santander Text"/>
      </rPr>
      <t>O que é isso?</t>
    </r>
    <r>
      <rPr>
        <sz val="8"/>
        <color rgb="FF000000"/>
        <rFont val="Santander Text"/>
      </rPr>
      <t xml:space="preserve"> Soluções e modelos de negócio dedicados à captação direta do ar de CO2 na atmosfera. </t>
    </r>
  </si>
  <si>
    <t>Cumpre UM critério aplicável  _
5. Soluções para testar e monitorizar emissões e poluição e projetos para reduzir as emissões de gases com efeito de estufa e minimizar/reduzir o calor dos resíduos de água. _</t>
  </si>
  <si>
    <t>Cumpre TODOS os critérios aplicáveis  _
1. Atividade dedicada à captação direta do ar de CO2 na atmosfera. _
2. A implementação tem um resultado potencial na redução total das emissões líquidas de gases com efeito de estufa, uma vez comercializadas. _
3. Se a solução estiver entre os 1 e os 7 TRL, as emissões do ciclo de vida são avaliadas de forma simplificada pela entidade, o que demostra UM dos seguintes: _
a. Patente não mais velho que 10 anos com informações de emissão de gases de efeito estufa fornecidas. 
b. Autorização de autoridade competente para operar com informações sobre emissões de gases com efeito de estufa fornecidas.  _
4. Se a solução estiver na TRL 8 ou acima, as emissões do ciclo de vida são verificadas por terceiros independentes e avaliadas USANDO UMA:
a. ISO 14067
b. ISO 14064 _</t>
  </si>
  <si>
    <t>Actividades profissionais, científicas e técnicas</t>
  </si>
  <si>
    <t>A.4.1. Desempenho energético dos serviços profissionais de edifícios</t>
  </si>
  <si>
    <t xml:space="preserve">A.4.1. Serviços profissionais relacionados com o desempenho energético dos edifícios </t>
  </si>
  <si>
    <t xml:space="preserve">Serviços profissionais relacionados com o desempenho energético dos edifícios </t>
  </si>
  <si>
    <t>Utilização de serviços profissionais relacionados com o desempenho energético dos edifícios.</t>
  </si>
  <si>
    <r>
      <rPr>
        <b/>
        <sz val="8"/>
        <color rgb="FF000000"/>
        <rFont val="Santander Text"/>
      </rPr>
      <t xml:space="preserve">O que é isso? </t>
    </r>
    <r>
      <rPr>
        <sz val="8"/>
        <color rgb="FF000000"/>
        <rFont val="Santander Text"/>
      </rPr>
      <t>Utilização de serviços profissionais relacionados com o desempenho energético dos edifícios.</t>
    </r>
  </si>
  <si>
    <t>Cumpre UM critério aplicável _
1. Consultas técnicas ligadas à melhoria do desempenho energético dos edifícios.  _
2. Auditorias energéticas acreditadas e avaliações de desempenho de edifícios. _
3. Serviços de gestão de energia.  _
4. Contratos de desempenho energético.  _
5. Serviços energéticos prestados por empresas de serviços energéticos.  _</t>
  </si>
  <si>
    <t>Gestão do Risco de Catástrofes</t>
  </si>
  <si>
    <t xml:space="preserve">A.5.1. Soluções de prevenção e proteção de inundações/secas </t>
  </si>
  <si>
    <t>A.5.1. Soluções baseadas na natureza para prevenção e proteção contra riscos de inundações e secas</t>
  </si>
  <si>
    <t>Soluções baseadas na natureza para prevenção e proteção contra riscos de inundações e secas</t>
  </si>
  <si>
    <t>Construção e operação de gestão de inundações ou secas baseadas na natureza em larga escala e restauração de ecossistemas aquáticos costeiros, transitórios ou interiores.</t>
  </si>
  <si>
    <r>
      <rPr>
        <b/>
        <sz val="8"/>
        <color rgb="FF000000"/>
        <rFont val="Santander Text"/>
      </rPr>
      <t>O que é isso?</t>
    </r>
    <r>
      <rPr>
        <sz val="8"/>
        <color rgb="FF000000"/>
        <rFont val="Santander Text"/>
      </rPr>
      <t xml:space="preserve"> Construção e operação de gestão de inundações ou secas baseadas na natureza em larga escala e restauração de ecossistemas aquáticos costeiros, transitórios ou interiores.</t>
    </r>
  </si>
  <si>
    <t>Cumpre TODOS os critérios aplicáveis _
6. Para os países não pertencentes à UE, os mesmos critérios coerentes com a taxonomia da UE, com exceção da conformidade com a LTO</t>
  </si>
  <si>
    <t>Cumpre TODOS os critérios aplicáveis _
1. Medida de redução do risco de inundações/secas, quer na bacia hidrográfica quer ao longo de uma costa.  _
2. Os riscos de degradação ambiental são identificados e abordados.  _
3. Ações de restauração ou conservação da natureza que demonstrem co-benefícios específicos do ecossistema (Estratégias Nacionais de Biodiversidade e Planos de Ação).  _
4. Programa de monitorização em vigor para avaliar a eficácia do esquema de soluções baseado na natureza na melhoria do estado da massa de água afetada. Atualizado a cada 10 anos.  _
5. O programa adere e alinha-se com as disposições legais e regulamentares em vigor.  _</t>
  </si>
  <si>
    <t xml:space="preserve">A.5.2. Serviços de emergência </t>
  </si>
  <si>
    <t xml:space="preserve">Serviços de emergência </t>
  </si>
  <si>
    <r>
      <rPr>
        <b/>
        <sz val="8"/>
        <color rgb="FF000000"/>
        <rFont val="Santander Text"/>
      </rPr>
      <t xml:space="preserve">O que é isso? 
</t>
    </r>
    <r>
      <rPr>
        <sz val="8"/>
        <color rgb="FF000000"/>
        <rFont val="Santander Text"/>
      </rPr>
      <t>- Coordenação da resposta a catástrofes. 
- Centros e centros de coordenação de operações no local. 
- Serviços de saúde de emergência. 
- Atividades de socorro a desastres. 
- Operações de busca e salvamento. 
- Combate a incêndios e prevenção de incêndios. 
- Resposta de proteção técnica e assistência aos riscos climáticos. 
- Desenvolver planos, formar pessoal e adquirir equipamentos necessários.</t>
    </r>
  </si>
  <si>
    <r>
      <rPr>
        <strike/>
        <sz val="8"/>
        <color rgb="FFFF0000"/>
        <rFont val="Anta"/>
      </rPr>
      <t>Não aplicável</t>
    </r>
    <r>
      <rPr>
        <sz val="8"/>
        <color rgb="FFFF0000"/>
        <rFont val="Anta"/>
      </rPr>
      <t xml:space="preserve"> Cumpre TODOS os critérios aplicáveis _
4. A atividade inclui a aquisição de ativos ou a prestação de serviços ligados ao combate a incêndios florestais e à prevenção de incêndios _</t>
    </r>
  </si>
  <si>
    <t>Cumpre TODOS os critérios aplicáveis  _
1. Sistemas de dados ou infraestruturas concebidos para proteger eventos climáticos extremos. _
2. Sistemas de comunicação e monitorização. _
3. Infra-estruturas específicas de adaptação ao desafio climático, em que os planos são revistos para garantir o sucesso. _</t>
  </si>
  <si>
    <t xml:space="preserve">A.5.3. Infraestrutura de prevenção e proteção de riscos de inundação </t>
  </si>
  <si>
    <t>A.5.3. Infraestruturas de prevenção e proteção contra riscos de inundações</t>
  </si>
  <si>
    <t>Infraestruturas de prevenção e proteção contra riscos de inundações</t>
  </si>
  <si>
    <t xml:space="preserve">Infraestrutura de prevenção e proteção de riscos de inundação </t>
  </si>
  <si>
    <r>
      <rPr>
        <b/>
        <sz val="8"/>
        <color rgb="FF000000"/>
        <rFont val="Santander Text"/>
      </rPr>
      <t>O que é isso?</t>
    </r>
    <r>
      <rPr>
        <sz val="8"/>
        <color rgb="FF000000"/>
        <rFont val="Santander Text"/>
      </rPr>
      <t xml:space="preserve"> Medidas estruturais e não estruturais destinadas à prevenção e proteção das pessoas, do ecossistema, do património cultural e das infraestruturas contra inundações. </t>
    </r>
  </si>
  <si>
    <t>Cumpre TODOS os critérios aplicáveis  _
1. Sistemas de dados ou infraestruturas concebidos para proteger eventos climáticos extremos. _
2. Sistemas de relatórios e monitorização. _
3. Infra-estrutura específica de adaptação ao desafio climático onde os planos são revistos para garantir o sucesso. _</t>
  </si>
  <si>
    <t xml:space="preserve">Outros setores </t>
  </si>
  <si>
    <t xml:space="preserve">A.11.2. Seguro não-vida </t>
  </si>
  <si>
    <t>A.11.2. Seguros não vida</t>
  </si>
  <si>
    <t>Seguros não vida</t>
  </si>
  <si>
    <r>
      <rPr>
        <b/>
        <sz val="8"/>
        <color rgb="FF000000"/>
        <rFont val="Santander Text"/>
      </rPr>
      <t xml:space="preserve">O que é isso? </t>
    </r>
    <r>
      <rPr>
        <sz val="8"/>
        <color rgb="FF000000"/>
        <rFont val="Santander Text"/>
      </rPr>
      <t xml:space="preserve">Fornecimento de: 
a. Seguro de despesas médicas 
b. Seguro de proteção de rendimentos 
c. Seguro de indemnização dos trabalhadores 
d. Seguro de responsabilidade civil automóvel 
e. Outro seguro automóvel; marítimo, aéreo e transportef. Incêndio e outros danos no seguro de propriedade. </t>
    </r>
  </si>
  <si>
    <t>Cumpre TODOS os critérios aplicáveis  _
1. Liderança na modelação e precificação dos riscos climáticos. _
2. O design do produto oferece recompensas baseadas em risco para ações preventivas. _
3. Soluções inovadoras de cobertura de resseguros que cobrem permales relacionados com a climatação. _
4. Parcela significativa de dados de perda disponíveis, gratuitamente, para as autoridades públicas para pesquisa analítica. _
5. Alto nível de serviço na situação pós-desastre. _</t>
  </si>
  <si>
    <t>13) Ação climática</t>
  </si>
  <si>
    <t xml:space="preserve">A.11.3. Re-seguro </t>
  </si>
  <si>
    <t xml:space="preserve">A.11.3. Resseguro </t>
  </si>
  <si>
    <t xml:space="preserve">Resseguro </t>
  </si>
  <si>
    <t>Cobertura de riscos decorrentes de perigos relacionados com o clima cedidos pela seguradora ao ressegurador.</t>
  </si>
  <si>
    <r>
      <rPr>
        <b/>
        <sz val="8"/>
        <color rgb="FF000000"/>
        <rFont val="Santander Text"/>
      </rPr>
      <t>O que é isso?</t>
    </r>
    <r>
      <rPr>
        <sz val="8"/>
        <color rgb="FF000000"/>
        <rFont val="Santander Text"/>
      </rPr>
      <t xml:space="preserve"> Cobertura de riscos decorrentes de perigos relacionados com o clima cedidos pela seguradora ao ressegurador. </t>
    </r>
  </si>
  <si>
    <t>Cumpre TODOS os critérios aplicáveis  _
1. Liderança na modelação e precificação dos riscos climáticos. _
2. Apoiar o desenvolvimento e o fornecimento de produtos de seguros não-vida.  _
3. Soluções inovadoras de cobertura de resseguros que cobrem permales relacionados com a climatação. _
4. Parcela significativa de dados de perda disponíveis, gratuitamente, para as autoridades públicas para pesquisa analítica. _
5. Alto nível de serviço na situação pós-desastre. _</t>
  </si>
  <si>
    <t xml:space="preserve">A.11.1. Mercado do carbono </t>
  </si>
  <si>
    <t xml:space="preserve">Mercado do carbono </t>
  </si>
  <si>
    <t xml:space="preserve">Atividade transitória: Mercado de carbono que opera quer a nível nacional quer internacional. Emissão de créditos de carbono. </t>
  </si>
  <si>
    <r>
      <rPr>
        <b/>
        <sz val="8"/>
        <color rgb="FF000000"/>
        <rFont val="Santander Text"/>
      </rPr>
      <t>O que é isso?</t>
    </r>
    <r>
      <rPr>
        <sz val="8"/>
        <color rgb="FF000000"/>
        <rFont val="Santander Text"/>
      </rPr>
      <t xml:space="preserve"> Atividade transitória: Mercado de carbono que opera quer a nível nacional quer internacional. Emissão de créditos de carbono. </t>
    </r>
  </si>
  <si>
    <t>Cumpre UM critério aplicável  _
1. Financiamento para o cumprimento dos sistemas nacionais e internacionais de comércio de emissões. _
2. Financiamento do crédito de carbono de acordo com as normas: 
a. Verified Carbon Standard (VCS)
b. Gold Standard for Global Goals
c. American Carbon Registry Standard
d. Climate Action Reserve Standard
e. Puro
f. Esquemas nacionais de crédito que são supervisionados por um organismo nacional.
A atividade só será elegível se o cliente tiver planos de redução de emissões. _</t>
  </si>
  <si>
    <t xml:space="preserve">A.11.4. Adaptação climática </t>
  </si>
  <si>
    <t xml:space="preserve">Adaptação climática </t>
  </si>
  <si>
    <t xml:space="preserve">Atividades que podem adaptar-se aos impactos inevitáveis das alterações climáticas. </t>
  </si>
  <si>
    <r>
      <rPr>
        <b/>
        <sz val="8"/>
        <color rgb="FF000000"/>
        <rFont val="Santander Text"/>
      </rPr>
      <t>O que é isso?</t>
    </r>
    <r>
      <rPr>
        <sz val="8"/>
        <color rgb="FF000000"/>
        <rFont val="Santander Text"/>
      </rPr>
      <t xml:space="preserve"> Atividades que podem adaptar-se aos impactos inevitáveis das alterações climáticas. </t>
    </r>
  </si>
  <si>
    <t>Cumpre UM critério aplicável  _
10. Observação climática e sistemas de dados para proteger contra inundações e outros eventos climáticos extremos.  _
11. Sistemas de relatórios e monitorização.  _
12. O desafio climático é especificado.  _</t>
  </si>
  <si>
    <t>Cumpre TODOS os critérios aplicáveis  _
1. Soluções físicas e não físicas para reduzir o risco físico climático mais importante. _
2. Os riscos climáticos físicos que são materiais para a atividade foram identificados numa avaliação.  _
3. Projeções e avaliação do clima baseadas nas melhores práticas e orientações disponíveis, em consonância com o mais recente painel intergovernamental.  _
4. Soluções de adaptação implementadas.  _
5. Não afetam negativamente os esforços de adaptação ou os riscos climáticos físicos de outras pessoas.  _
6. Favorece soluções baseadas na natureza ou depende de infraestruturas azuis ou verdes.  _
7. Planos e estratégias nacionais consistentes de adaptação. _
8. Monitorizado em função de indicadores pré-definidos.  _
9. Quando a solução é física, cumpre com o critério técnico não prejudique significativamente. _</t>
  </si>
  <si>
    <t>A.11.5. Mineração de matérias-primas que apoiam a transição</t>
  </si>
  <si>
    <t xml:space="preserve">- </t>
  </si>
  <si>
    <t>Atividade Transitória: Restrita à mineração e extração de matérias-primas necessárias para a transição para uma economia de baixo carbono.</t>
  </si>
  <si>
    <r>
      <rPr>
        <b/>
        <sz val="8"/>
        <color rgb="FF000000"/>
        <rFont val="Anta"/>
      </rPr>
      <t>O que é?</t>
    </r>
    <r>
      <rPr>
        <sz val="8"/>
        <color rgb="FF000000"/>
        <rFont val="Anta"/>
      </rPr>
      <t xml:space="preserve">
Atividade transitória: restrita à mineração e extração de matérias-primas necessárias para a transição para uma economia de baixo carbono.</t>
    </r>
  </si>
  <si>
    <t>Cumpre UM critério aplicável ou, em alternativa, uma das certificações abaixo: _
1. Cumpre TODOS os seguintes (para a abertura de minas de lítio, cobre e níquel):
a. A abertura de novas minas ou a expansão de explorações mineiras existentes tem pelo menos 50% de vendas garantidas de minérios, relativamente ao volume de produção licenciado, destinadas às atividades de uso final listadas abaixo. As vendas garantidas podem ser comprovadas através de acordos de offtake condicionais ou firmes.
b. A mina dispõe de um plano de investimento, bem como de um sistema de monitorização e avaliação de GEE, para alcançar os limiares de emissões de GEE exigidos no início da fase de produção da mina ou da sua expansão, conforme os critérios nº 2b e nº 2c abaixo.
c. É necessária uma Avaliação Ambiental e Social.
d. A documentação financeira deve incluir cláusulas ambientais e sociais, conforme aplicável a cada caso, bem como uma cláusula para a remoção do rótulo verde em caso de incidentes ambientais ou sociais relevantes. _
2. Cumpre TODOS os seguintes (para minas de lítio, cobre e níquel):
a. A operação de explorações mineiras existentes tem pelo menos 50% de vendas garantidas de minérios, relativamente ao volume anual de produção, destinadas às atividades verdes listadas abaixo. As vendas garantidas são comprovadas através de rastreabilidade, modelos físicos de cadeia de custódia e acordos de offtake condicionais ou firmes.
b. A mina cumpre as seguintes intensidades de GEE de Âmbito 1 + 2 (excluindo mudanças no uso do solo), consoante o mineral:
- Mineração de lítio em rocha: 1,23 tCO2e/tLCE (LCE: equivalente de carbonato de lítio)
- Lítio de salmoura: 1,25 tCO2e/tLCE
- Mineração de minério sulfetado de níquel: 0,74 tCO2e/tNiEq
- Mineração de minério laterítico de níquel: 0,68 tCO2e/tNiEq
- Mineração de cobre: 2,31 tCO2e/t de concentrado de Cu contido
- Mineração de minério laterítico de níquel: 0,68 tCO2e/tNiEq
c. A intensidade média de carbono da eletricidade não excede emissões diretas de 240 g CO2e/kWh.
d. Em alternativa aos pontos b e c, a mina dispõe de um plano para reduzir 50% das emissões de Âmbito 1 e 2 face ao valor de referência (baseline de 2018 ou posterior) até 2030, e alcançou uma redução de 35% entre o baseline (2018 ou posterior) e 2025, com +3% de redução adicional por ano até 2030.
e. É necessária uma Avaliação Ambiental e Social. _
3. Cumpre TODOS os seguintes (para outros minerais diferentes de lítio, cobre e níquel):
a. Está incluído no Critical Raw Material Act da UE ou é considerado estratégico para o país, ou faz parte do IEA Global Critical Mineral Outlook 2025 (Cobalto, ETRs/REEs, Crómio, Zinco, PGMs – platina – e Alumínio, que constam da lista além de lítio, cobre e níquel).
b. Para projetos mineiros greenfield ou expansão de explorações existentes, existe pelo menos 50% de vendas garantidas de minérios, relativamente ao volume de produção licenciado, destinadas às atividades de uso final listadas abaixo. As vendas garantidas podem ser comprovadas através de acordos de offtake condicionais ou firmes.
c. A mina dispõe de um plano de investimento, bem como de um sistema de monitorização e avaliação de GEE, para reduzir ou atingir os limiares de emissões de GEE definidos pelas Melhores Técnicas Disponíveis (BAT) no início da fase de produção da mina ou da sua expansão. Em alternativa, a mina dispõe de um plano para reduzir 50% das emissões de Âmbito 1 e 2 face ao baseline (2018 ou posterior) até 2030 e, se estiver em operação, demonstra ter alcançado 35% de redução entre o baseline (2018 ou posterior) e 2025, com +3% de redução adicional por ano até 2030.
d. É necessária uma Avaliação Ambiental e Social. _
4. Cumpre TODOS os seguintes (para Cobre, Cobalto, Níquel, Lítio, REEs, Crómio, Zinco, PGMs – platina – e Alumínio; matérias-primas abrangidas pelo IEA Global Critical Mineral Outlook 2025, no curto prazo):
a. A abertura e operação de minas relacionadas exclusivamente (100%) com estas matérias-primas, sem necessidade de garantir vendas de minérios relativamente ao volume de produção licenciado para as atividades de uso final listadas abaixo (utilizadas apenas como referência neste caso).
b. A mina dispõe de um plano de investimento, bem como de um sistema de monitorização e avaliação de GEE, para reduzir ou atingir os limiares de emissões de GEE definidos pelas Melhores Técnicas Disponíveis (BAT) no início da fase de produção da mina ou da sua expansão. Em alternativa, a mina dispõe de um plano para reduzir 50% das emissões de Âmbito 1 e 2 face ao baseline (2018 ou posterior) até 2030 e, se estiver em operação, demonstra ter alcançado 35% de redução entre o baseline (2018 ou posterior) e 2025, com +3% de redução adicional por ano até 2030.
c. É necessária uma Avaliação Ambiental e Social. _
5. Cumpre UMA das seguintes certificações (exceto mineração de combustíveis fósseis):
- Copper Mark (“Meets” ou nível superior)
- IRMA (“Silver” ou nível superior) para cobre, níquel, lítio e outros minerais listados no IEA Global Critical Mineral Outlook 2025, abrangendo matérias-primas ligadas à transição para uma economia de baixo carbono _</t>
  </si>
  <si>
    <t>Educação</t>
  </si>
  <si>
    <t>B.1.1. Centros públicos de serviços educacionais</t>
  </si>
  <si>
    <t xml:space="preserve">Público em geral </t>
  </si>
  <si>
    <t xml:space="preserve">Número de beneficiários </t>
  </si>
  <si>
    <t>4) Educação de qualidade
8) Trabalho decente e crescimento económico</t>
  </si>
  <si>
    <t>B.1.2. Centros públicos de educação desportiva e cultural</t>
  </si>
  <si>
    <t>B.1.3. Centros públicos para outras atividades</t>
  </si>
  <si>
    <t>B.1.4.  Empréstimos estudantis</t>
  </si>
  <si>
    <t xml:space="preserve">Indivíduos de baixo rendimento, indivíduos marginalizados, sem acesso de qualidade a bens/serviços essenciais
</t>
  </si>
  <si>
    <t xml:space="preserve">Número de estudantes que recebem o empréstimo </t>
  </si>
  <si>
    <t>B.1.5. Empréstimos para financiar a requalificação e o aprimoramento de competências</t>
  </si>
  <si>
    <t>Indivíduos de baixo rendimento, indivíduos marginalizados</t>
  </si>
  <si>
    <t xml:space="preserve">Número de beneficiários do empréstimo </t>
  </si>
  <si>
    <t xml:space="preserve">Cuidados de saúde </t>
  </si>
  <si>
    <t>B.2.1. Investigação e desenvolvimento (I&amp;D), fabrico farmacêutico e médico</t>
  </si>
  <si>
    <t xml:space="preserve">Número de pessoas que usam os produtos </t>
  </si>
  <si>
    <t>3) Boa saúde e bem-estar
10) Desigualdade reduzida</t>
  </si>
  <si>
    <r>
      <rPr>
        <sz val="8"/>
        <color rgb="FF000000"/>
        <rFont val="Anta"/>
      </rPr>
      <t>B.2.2. Serviços de saúde</t>
    </r>
    <r>
      <rPr>
        <sz val="8"/>
        <color rgb="FFFF0000"/>
        <rFont val="Anta"/>
      </rPr>
      <t xml:space="preserve"> (incluindo medicamentos prescritos a preço reduzido/subsidiado/acessível) </t>
    </r>
    <r>
      <rPr>
        <sz val="8"/>
        <color rgb="FF000000"/>
        <rFont val="Anta"/>
      </rPr>
      <t>e ativos em hospitais públicos; centros de cuidados de saúde geral, medicina especializada, fisioterapia, diagnóstico, planeamento familiar e terapia da fala; laboratórios;</t>
    </r>
    <r>
      <rPr>
        <sz val="8"/>
        <color rgb="FFFF0000"/>
        <rFont val="Anta"/>
      </rPr>
      <t xml:space="preserve"> farmácias (que cumpram objetivos claros de carácter social e/ou de saúde pública) </t>
    </r>
    <r>
      <rPr>
        <sz val="8"/>
        <color rgb="FF000000"/>
        <rFont val="Anta"/>
      </rPr>
      <t>e hospitais de campanha.</t>
    </r>
  </si>
  <si>
    <t xml:space="preserve">Número de pessoas que beneficiam das instalações </t>
  </si>
  <si>
    <t>B.2.3.  Serviços de saúde pública em instalações especializadas de cuidados residenciais/trabalho social para população alvos</t>
  </si>
  <si>
    <t>B.3.1. Estradas e infraestruturas relacionadas para melhorar as ligações de transporte para áreas rurais subdesenvolvidas, ou onde a conectividade rodoviária não existe ou é claramente inadequada</t>
  </si>
  <si>
    <t xml:space="preserve">Os que não têm acesso de qualidade a bens e serviços essenciais </t>
  </si>
  <si>
    <t xml:space="preserve">Número de pessoas atingidas pelas estradas e infraestruturas </t>
  </si>
  <si>
    <t>B.3.2. Infraestruturas de transporte público, incluindo ferrovias de superfície e subterrâneas para trazer desenvolvimento socioeconómico às áreas populacionais alvo</t>
  </si>
  <si>
    <t xml:space="preserve">Número de pessoas atingidas através da infra-estrutura ferroviária </t>
  </si>
  <si>
    <t>B.3.3. Infraestruturas de transporte para ajudar as pessoas com deficiência a deslocarem-se mais facilmente</t>
  </si>
  <si>
    <t>Número de pessoas que usam os produtos</t>
  </si>
  <si>
    <t>B.4.1. Projetos de energia limpa</t>
  </si>
  <si>
    <t xml:space="preserve">Número de pessoas atingido </t>
  </si>
  <si>
    <t>7) Energia acessível e limpa
11) Cidades e comunidades sustentáveis</t>
  </si>
  <si>
    <t>B.5.1. Infraestruturas de recolha, tratamento e distribuição de água nas áreas populacionais alvo</t>
  </si>
  <si>
    <t>6) Água limpa e saneamento
11) Cidades e comunidades sustentáveis</t>
  </si>
  <si>
    <t>B.5.2. Infraestruturas de tratamento e recolha de esgotos e águas residuais (não derivadas de fontes de combustíveis fósseis) e de edifícios e estruturas de apoio integral nas áreas populacionais alvo</t>
  </si>
  <si>
    <t>B.5.3. Recolha, triagem, eliminação, tratamento e reciclagem de resíduos perigosos e não perigosos nas áreas populacionais alvo</t>
  </si>
  <si>
    <t xml:space="preserve">Quantidade de resíduos recolhidos, reciclados e tratados; número de pessoas atingido </t>
  </si>
  <si>
    <t>B.6.1. Habitação acessível</t>
  </si>
  <si>
    <t xml:space="preserve">Pessoas sem habitação adequada 
O rendimento é inferior a 80% do rendimento médio do país. 
Pessoas que cumpram os requisitos dos governos regionais ou nacionais para programas de habitação. </t>
  </si>
  <si>
    <t xml:space="preserve">Número de pessoas que beneficiam da hipoteca </t>
  </si>
  <si>
    <t>10) Reduziu as desigualdades
11) Cidades e comunidades sustentáveis</t>
  </si>
  <si>
    <t>B.6.2. Infraestruturas associadas</t>
  </si>
  <si>
    <t xml:space="preserve">Pessoas que cumpram os requisitos dos governos regionais ou nacionais para programas de habitação. </t>
  </si>
  <si>
    <t xml:space="preserve">Número de pessoas que beneficiam das casas </t>
  </si>
  <si>
    <t>Finanças e Seguros</t>
  </si>
  <si>
    <r>
      <rPr>
        <sz val="8"/>
        <color rgb="FF000000"/>
        <rFont val="Anta"/>
      </rPr>
      <t xml:space="preserve">B.7.1. Investimento para aumentar o acesso a uma ampla gama de produtos e serviços de microseguros e banca transacional para a população-alvo. </t>
    </r>
    <r>
      <rPr>
        <sz val="8"/>
        <color rgb="FFFF0000"/>
        <rFont val="Anta"/>
      </rPr>
      <t>Isto inclui a concessão de crédito a instituições que proporcionem acesso a financiamento à população-alvo e cujas práticas sejam reconhecidas como éticas e/ou não estejam afetadas por controvérsias nas suas operações e práticas empresariais.</t>
    </r>
  </si>
  <si>
    <t xml:space="preserve">Número de pessoas que recebem as finanças ou microfinanças </t>
  </si>
  <si>
    <t>1) Nenhuma pobreza
8) Trabalho decente e crescimento económico</t>
  </si>
  <si>
    <t>B.7.2. Financiamento com condições financeiras ou de pagamento preferenciais para entidades e indivíduos que foram impactados por desastres naturais, armados, de saúde e/ou causados pelo homem, bem como situações socioeconómicas severas</t>
  </si>
  <si>
    <t xml:space="preserve">Migrantes 
Indivíduos de baixa renda 
Trabalhadores informais 
Mal servido 
Outros grupos vulneráveis afetados pelos desastres e circunstâncias listados </t>
  </si>
  <si>
    <t>B.8.1. Infraestruturas de telecomunicações nas áreas populacionais alvo</t>
  </si>
  <si>
    <t xml:space="preserve">Os que não têm acesso de qualidade a bens e serviços essenciais 
</t>
  </si>
  <si>
    <t xml:space="preserve">Número de pessoas que terão uma ligação à Internet pela primeira vez </t>
  </si>
  <si>
    <t>8) Trabalho decente e crescimento económico
11) Cidades e comunidades sustentáveis</t>
  </si>
  <si>
    <t xml:space="preserve">Organizações sem Fins Lucrativos </t>
  </si>
  <si>
    <t>B.9.1. Empréstimos a organizações sem fins lucrativos e/ou instituições de caridade registadas</t>
  </si>
  <si>
    <t xml:space="preserve">Organizações sem fins lucrativos </t>
  </si>
  <si>
    <t xml:space="preserve">Número de organizações sem fins lucrativos que recebem financiamento </t>
  </si>
  <si>
    <t>10) Reduziu as desigualdades</t>
  </si>
  <si>
    <t>Centros Especiais de Emprego</t>
  </si>
  <si>
    <t>B.10.1. Empresas inclusivas aos trabalhadores com deficiência</t>
  </si>
  <si>
    <t>Número de Centros Especiais de Emprego que recebem financiamento</t>
  </si>
  <si>
    <t>8) Trabalho decente e crescimento económico
10) Reduziu as desigualdades</t>
  </si>
  <si>
    <t>Segurança alimentar</t>
  </si>
  <si>
    <t>B.11. Segurança alimentar e sistemas alimentares sustentáveis, incluindo o acesso físico, social e económico a alimentos seguros, nutritivos e suficientes que satisfaçam as necessidades e requisitos alimentares, de acordo com os valores de referência dietéticos atendendo a critérios locais ou internacionais.</t>
  </si>
  <si>
    <t>Populações desfavorecidas, com falta de acesso de qualidade às necessidades alimentares essenciais e/ou populações afetadas por desastres naturais, guerras ou outras crises que impactem o acesso aos alimentos.</t>
  </si>
  <si>
    <t>Número de pessoas apoiadas através do aumento da disponibilidade de alimentos.</t>
  </si>
  <si>
    <t>2) Fome Zero
3) Saúde e Bem-Estar</t>
  </si>
  <si>
    <t>ENG</t>
  </si>
  <si>
    <t>ESP</t>
  </si>
  <si>
    <t>PT</t>
  </si>
  <si>
    <t>CHECK ENG ESP</t>
  </si>
  <si>
    <t>CHECK  ENG PT</t>
  </si>
  <si>
    <r>
      <t xml:space="preserve">Cumpre UM critério aplicável  _
1. Corrida-de-rio sem artificial ou baixa capacidade de armazenamento  _
2. Densidade de potência acima de 5 W/m2  _
3. Emissões de ciclo de vida inferiores a 100gCO2e/kWh e emissões de gases com efeito de estufa verificadas por terceiros e calculadas USANDO UM:
a. ISO 14067:2018
b. ISO 14064-1:2018
c. G-res tool
</t>
    </r>
    <r>
      <rPr>
        <sz val="8"/>
        <color rgb="FFFF0000"/>
        <rFont val="Santander Text"/>
      </rPr>
      <t>d</t>
    </r>
    <r>
      <rPr>
        <strike/>
        <sz val="8"/>
        <color rgb="FFFF0000"/>
        <rFont val="Santander Text"/>
      </rPr>
      <t>. Certificado EPA Energy Star</t>
    </r>
    <r>
      <rPr>
        <sz val="8"/>
        <rFont val="Santander Text"/>
        <family val="2"/>
      </rPr>
      <t>_</t>
    </r>
  </si>
  <si>
    <r>
      <t xml:space="preserve">PMEs, microempresas, microempreendedores e trabalhadores informais que estão em áreas subdesenvolvidas; áreas que sofrem de despovoamento; ou afetadas por desastres naturais ou de saúde. </t>
    </r>
    <r>
      <rPr>
        <sz val="8"/>
        <color rgb="FFFF0000"/>
        <rFont val="Anta"/>
      </rPr>
      <t>Indivíduos financeiramente vulneráveis e indivíduos de baixa renda.
Em caso de desastres naturais, de saúde e/ou provocados pelo homem, isso pode ser estendido a outras organizações que apoiem a reconstrução ou ajudem as pessoas a superar a crise.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</si>
</sst>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3">
    <font>
      <sz val="11"/>
      <color theme="1"/>
      <name val="Aptos Narrow"/>
      <family val="2"/>
      <scheme val="minor"/>
    </font>
    <font>
      <sz val="11"/>
      <color theme="0"/>
      <name val="Aptos Narrow"/>
      <family val="2"/>
      <scheme val="minor"/>
    </font>
    <font>
      <b/>
      <sz val="11"/>
      <color theme="5" tint="-0.499984740745262"/>
      <name val="Santander Text"/>
      <family val="2"/>
    </font>
    <font>
      <b/>
      <sz val="12"/>
      <color theme="8" tint="-0.499984740745262"/>
      <name val="Santander Text"/>
      <family val="2"/>
    </font>
    <font>
      <b/>
      <sz val="10"/>
      <color theme="1"/>
      <name val="Santander Text"/>
      <family val="2"/>
    </font>
    <font>
      <b/>
      <sz val="10"/>
      <color theme="0"/>
      <name val="Santander Text"/>
      <family val="2"/>
    </font>
    <font>
      <b/>
      <sz val="10"/>
      <color theme="5" tint="-0.249977111117893"/>
      <name val="Santander Text"/>
      <family val="2"/>
    </font>
    <font>
      <b/>
      <sz val="10"/>
      <color theme="1" tint="0.14999847407452621"/>
      <name val="Santander Text"/>
      <family val="2"/>
    </font>
    <font>
      <sz val="10"/>
      <color theme="0"/>
      <name val="Santander Text"/>
      <family val="2"/>
    </font>
    <font>
      <sz val="8"/>
      <color rgb="FF000000"/>
      <name val="Santander Text"/>
      <family val="2"/>
    </font>
    <font>
      <i/>
      <sz val="8"/>
      <color rgb="FF000000"/>
      <name val="Santander Text"/>
      <family val="2"/>
    </font>
    <font>
      <sz val="8"/>
      <name val="Santander Text"/>
      <family val="2"/>
    </font>
    <font>
      <b/>
      <sz val="8"/>
      <name val="Santander Text"/>
      <family val="2"/>
    </font>
    <font>
      <sz val="8"/>
      <color theme="1"/>
      <name val="Santander Text"/>
      <family val="2"/>
    </font>
    <font>
      <sz val="8"/>
      <color theme="0"/>
      <name val="Santander Text"/>
      <family val="2"/>
    </font>
    <font>
      <sz val="8"/>
      <color rgb="FF000000"/>
      <name val="Santander Text"/>
    </font>
    <font>
      <sz val="8"/>
      <color rgb="FFFF0000"/>
      <name val="Santander Text"/>
    </font>
    <font>
      <strike/>
      <sz val="8"/>
      <color rgb="FFFF0000"/>
      <name val="Santander Text"/>
      <family val="2"/>
    </font>
    <font>
      <sz val="8"/>
      <name val="Santander Text"/>
    </font>
    <font>
      <sz val="8"/>
      <color rgb="FFFF0000"/>
      <name val="Santander Text"/>
      <family val="2"/>
    </font>
    <font>
      <sz val="11"/>
      <color rgb="FF000000"/>
      <name val="Calibri"/>
      <family val="2"/>
    </font>
    <font>
      <strike/>
      <sz val="8"/>
      <color rgb="FFFF0000"/>
      <name val="Santander Text"/>
    </font>
    <font>
      <strike/>
      <sz val="8"/>
      <name val="Santander Text"/>
      <family val="2"/>
    </font>
    <font>
      <b/>
      <sz val="8"/>
      <color rgb="FF000000"/>
      <name val="Santander Text"/>
      <family val="2"/>
    </font>
    <font>
      <i/>
      <sz val="8"/>
      <name val="Santander Text"/>
      <family val="2"/>
    </font>
    <font>
      <b/>
      <sz val="8"/>
      <color rgb="FF000000"/>
      <name val="Santander Text"/>
    </font>
    <font>
      <sz val="11"/>
      <name val="Aptos Narrow"/>
      <family val="2"/>
      <scheme val="minor"/>
    </font>
    <font>
      <sz val="8"/>
      <color rgb="FF000000"/>
      <name val="Times New Roman"/>
      <family val="1"/>
    </font>
    <font>
      <sz val="11"/>
      <color rgb="FF7030A0"/>
      <name val="Aptos Narrow"/>
      <family val="2"/>
      <scheme val="minor"/>
    </font>
    <font>
      <strike/>
      <sz val="8"/>
      <color theme="1"/>
      <name val="Santander Text"/>
    </font>
    <font>
      <b/>
      <sz val="8"/>
      <color theme="1"/>
      <name val="Santander Text"/>
      <family val="2"/>
    </font>
    <font>
      <b/>
      <sz val="8"/>
      <color rgb="FFFF0000"/>
      <name val="Santander Text"/>
      <family val="2"/>
    </font>
    <font>
      <sz val="8"/>
      <color rgb="FF0070C0"/>
      <name val="Santander Text"/>
      <family val="2"/>
    </font>
    <font>
      <b/>
      <sz val="8"/>
      <color rgb="FFFF0000"/>
      <name val="Santander Text"/>
    </font>
    <font>
      <strike/>
      <sz val="8"/>
      <color rgb="FF000000"/>
      <name val="Santander Text"/>
      <family val="2"/>
    </font>
    <font>
      <sz val="8"/>
      <color rgb="FFFFFF00"/>
      <name val="Santander Text"/>
      <family val="2"/>
    </font>
    <font>
      <sz val="8"/>
      <color theme="1"/>
      <name val="Santander Text"/>
    </font>
    <font>
      <sz val="8"/>
      <color theme="5" tint="-0.249977111117893"/>
      <name val="Santander Text"/>
      <family val="2"/>
    </font>
    <font>
      <sz val="11"/>
      <color theme="1"/>
      <name val="Calibri"/>
    </font>
    <font>
      <b/>
      <sz val="11"/>
      <color rgb="FF833C0B"/>
      <name val="Anta"/>
    </font>
    <font>
      <sz val="11"/>
      <name val="Calibri"/>
    </font>
    <font>
      <b/>
      <sz val="12"/>
      <color rgb="FF1F3864"/>
      <name val="Anta"/>
    </font>
    <font>
      <b/>
      <sz val="10"/>
      <color theme="1"/>
      <name val="Anta"/>
    </font>
    <font>
      <b/>
      <sz val="10"/>
      <color theme="0"/>
      <name val="Anta"/>
    </font>
    <font>
      <b/>
      <sz val="10"/>
      <color rgb="FFC55A11"/>
      <name val="Anta"/>
    </font>
    <font>
      <b/>
      <sz val="10"/>
      <color rgb="FF262626"/>
      <name val="Anta"/>
    </font>
    <font>
      <sz val="10"/>
      <color theme="0"/>
      <name val="Anta"/>
    </font>
    <font>
      <sz val="11"/>
      <color rgb="FF000000"/>
      <name val="Calibri"/>
    </font>
    <font>
      <sz val="8"/>
      <color rgb="FF000000"/>
      <name val="Anta"/>
    </font>
    <font>
      <i/>
      <sz val="8"/>
      <color rgb="FF000000"/>
      <name val="Anta"/>
    </font>
    <font>
      <sz val="8"/>
      <color theme="1"/>
      <name val="Anta"/>
    </font>
    <font>
      <sz val="8"/>
      <color rgb="FFFF0000"/>
      <name val="Anta"/>
    </font>
    <font>
      <strike/>
      <sz val="8"/>
      <color rgb="FFFF0000"/>
      <name val="Anta"/>
    </font>
    <font>
      <b/>
      <sz val="8"/>
      <color theme="1"/>
      <name val="Santander Text"/>
    </font>
    <font>
      <strike/>
      <sz val="8"/>
      <color rgb="FF8EA9DB"/>
      <name val="Anta"/>
    </font>
    <font>
      <strike/>
      <sz val="8"/>
      <color rgb="FF000000"/>
      <name val="Santander Text"/>
    </font>
    <font>
      <sz val="8"/>
      <color rgb="FF0070C0"/>
      <name val="Santander Text"/>
    </font>
    <font>
      <b/>
      <sz val="8"/>
      <color rgb="FF000000"/>
      <name val="Anta"/>
    </font>
    <font>
      <sz val="8"/>
      <color rgb="FFC55A11"/>
      <name val="Anta"/>
    </font>
    <font>
      <sz val="11"/>
      <color theme="1"/>
      <name val="Anta"/>
    </font>
    <font>
      <sz val="8"/>
      <color rgb="FFFFFFFF"/>
      <name val="Anta"/>
    </font>
    <font>
      <sz val="11"/>
      <color rgb="FF000000"/>
      <name val="Anta"/>
    </font>
    <font>
      <sz val="8"/>
      <color rgb="FF000000"/>
      <name val="Times New Roman"/>
    </font>
  </fonts>
  <fills count="56">
    <fill>
      <patternFill patternType="none"/>
    </fill>
    <fill>
      <patternFill patternType="gray125"/>
    </fill>
    <fill>
      <patternFill patternType="solid">
        <fgColor theme="5" tint="0.39997558519241921"/>
        <bgColor indexed="64"/>
      </patternFill>
    </fill>
    <fill>
      <patternFill patternType="solid">
        <fgColor theme="4" tint="0.39997558519241921"/>
        <bgColor indexed="64"/>
      </patternFill>
    </fill>
    <fill>
      <patternFill patternType="solid">
        <fgColor theme="0" tint="-0.34998626667073579"/>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3" tint="0.39997558519241921"/>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6" tint="0.39997558519241921"/>
        <bgColor indexed="64"/>
      </patternFill>
    </fill>
    <fill>
      <patternFill patternType="solid">
        <fgColor theme="2" tint="-0.49998474074526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3" tint="0.79998168889431442"/>
        <bgColor indexed="64"/>
      </patternFill>
    </fill>
    <fill>
      <patternFill patternType="solid">
        <fgColor theme="0"/>
        <bgColor indexed="64"/>
      </patternFill>
    </fill>
    <fill>
      <patternFill patternType="solid">
        <fgColor rgb="FFD712DE"/>
        <bgColor indexed="64"/>
      </patternFill>
    </fill>
    <fill>
      <patternFill patternType="solid">
        <fgColor rgb="FFFFFF00"/>
        <bgColor indexed="64"/>
      </patternFill>
    </fill>
    <fill>
      <patternFill patternType="solid">
        <fgColor rgb="FFC00000"/>
        <bgColor indexed="64"/>
      </patternFill>
    </fill>
    <fill>
      <patternFill patternType="solid">
        <fgColor theme="2"/>
        <bgColor indexed="64"/>
      </patternFill>
    </fill>
    <fill>
      <patternFill patternType="solid">
        <fgColor rgb="FF7030A0"/>
        <bgColor indexed="64"/>
      </patternFill>
    </fill>
    <fill>
      <patternFill patternType="solid">
        <fgColor theme="9" tint="0.59999389629810485"/>
        <bgColor indexed="64"/>
      </patternFill>
    </fill>
    <fill>
      <patternFill patternType="solid">
        <fgColor rgb="FFF4B083"/>
        <bgColor rgb="FFF4B083"/>
      </patternFill>
    </fill>
    <fill>
      <patternFill patternType="solid">
        <fgColor rgb="FF9CC2E5"/>
        <bgColor rgb="FF9CC2E5"/>
      </patternFill>
    </fill>
    <fill>
      <patternFill patternType="solid">
        <fgColor rgb="FFA5A5A5"/>
        <bgColor rgb="FFA5A5A5"/>
      </patternFill>
    </fill>
    <fill>
      <patternFill patternType="solid">
        <fgColor rgb="FFBDD6EE"/>
        <bgColor rgb="FFBDD6EE"/>
      </patternFill>
    </fill>
    <fill>
      <patternFill patternType="solid">
        <fgColor rgb="FFF7CAAC"/>
        <bgColor rgb="FFF7CAAC"/>
      </patternFill>
    </fill>
    <fill>
      <patternFill patternType="solid">
        <fgColor rgb="FFD8D8D8"/>
        <bgColor rgb="FFD8D8D8"/>
      </patternFill>
    </fill>
    <fill>
      <patternFill patternType="solid">
        <fgColor rgb="FF8496B0"/>
        <bgColor rgb="FF8496B0"/>
      </patternFill>
    </fill>
    <fill>
      <patternFill patternType="solid">
        <fgColor rgb="FF2F5496"/>
        <bgColor rgb="FF2F5496"/>
      </patternFill>
    </fill>
    <fill>
      <patternFill patternType="solid">
        <fgColor rgb="FF8EAADB"/>
        <bgColor rgb="FF8EAADB"/>
      </patternFill>
    </fill>
    <fill>
      <patternFill patternType="solid">
        <fgColor rgb="FFFF66F5"/>
        <bgColor rgb="FFFF66F5"/>
      </patternFill>
    </fill>
    <fill>
      <patternFill patternType="solid">
        <fgColor rgb="FFA8D08D"/>
        <bgColor rgb="FFA8D08D"/>
      </patternFill>
    </fill>
    <fill>
      <patternFill patternType="solid">
        <fgColor rgb="FFFFD965"/>
        <bgColor rgb="FFFFD965"/>
      </patternFill>
    </fill>
    <fill>
      <patternFill patternType="solid">
        <fgColor rgb="FFC8C8C8"/>
        <bgColor rgb="FFC8C8C8"/>
      </patternFill>
    </fill>
    <fill>
      <patternFill patternType="solid">
        <fgColor rgb="FF757070"/>
        <bgColor rgb="FF757070"/>
      </patternFill>
    </fill>
    <fill>
      <patternFill patternType="solid">
        <fgColor rgb="FFFBE4D5"/>
        <bgColor rgb="FFFBE4D5"/>
      </patternFill>
    </fill>
    <fill>
      <patternFill patternType="solid">
        <fgColor rgb="FFDEEAF6"/>
        <bgColor rgb="FFDEEAF6"/>
      </patternFill>
    </fill>
    <fill>
      <patternFill patternType="solid">
        <fgColor rgb="FFF2F2F2"/>
        <bgColor rgb="FFF2F2F2"/>
      </patternFill>
    </fill>
    <fill>
      <patternFill patternType="solid">
        <fgColor rgb="FFD6DCE4"/>
        <bgColor rgb="FFD6DCE4"/>
      </patternFill>
    </fill>
    <fill>
      <patternFill patternType="solid">
        <fgColor theme="0"/>
        <bgColor theme="0"/>
      </patternFill>
    </fill>
    <fill>
      <patternFill patternType="solid">
        <fgColor rgb="FFD712DE"/>
        <bgColor rgb="FFD712DE"/>
      </patternFill>
    </fill>
    <fill>
      <patternFill patternType="solid">
        <fgColor rgb="FF8EA9DB"/>
        <bgColor rgb="FF8EA9DB"/>
      </patternFill>
    </fill>
    <fill>
      <patternFill patternType="solid">
        <fgColor rgb="FFFFFF00"/>
        <bgColor rgb="FFFFFF00"/>
      </patternFill>
    </fill>
    <fill>
      <patternFill patternType="solid">
        <fgColor rgb="FFFF0000"/>
        <bgColor rgb="FFFF0000"/>
      </patternFill>
    </fill>
    <fill>
      <patternFill patternType="solid">
        <fgColor rgb="FFE7E6E6"/>
        <bgColor rgb="FFE7E6E6"/>
      </patternFill>
    </fill>
    <fill>
      <patternFill patternType="solid">
        <fgColor rgb="FFFCE4D6"/>
        <bgColor rgb="FFFCE4D6"/>
      </patternFill>
    </fill>
    <fill>
      <patternFill patternType="solid">
        <fgColor rgb="FFC00000"/>
        <bgColor rgb="FFC00000"/>
      </patternFill>
    </fill>
    <fill>
      <patternFill patternType="solid">
        <fgColor theme="3" tint="0.749992370372631"/>
        <bgColor indexed="64"/>
      </patternFill>
    </fill>
    <fill>
      <patternFill patternType="solid">
        <fgColor theme="3" tint="0.749992370372631"/>
        <bgColor rgb="FFF2F2F2"/>
      </patternFill>
    </fill>
  </fills>
  <borders count="27">
    <border>
      <left/>
      <right/>
      <top/>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style="thin">
        <color theme="4" tint="0.39997558519241921"/>
      </bottom>
      <diagonal/>
    </border>
    <border>
      <left style="thin">
        <color theme="4" tint="0.39997558519241921"/>
      </left>
      <right style="thin">
        <color theme="4" tint="0.39997558519241921"/>
      </right>
      <top style="thin">
        <color theme="4" tint="0.39997558519241921"/>
      </top>
      <bottom/>
      <diagonal/>
    </border>
    <border>
      <left style="thin">
        <color theme="8" tint="0.59999389629810485"/>
      </left>
      <right style="thin">
        <color theme="4" tint="0.39997558519241921"/>
      </right>
      <top style="thin">
        <color theme="8" tint="0.59999389629810485"/>
      </top>
      <bottom style="thin">
        <color theme="4" tint="0.39997558519241921"/>
      </bottom>
      <diagonal/>
    </border>
    <border>
      <left style="thin">
        <color theme="4" tint="0.39997558519241921"/>
      </left>
      <right style="thin">
        <color theme="4" tint="0.39997558519241921"/>
      </right>
      <top style="thin">
        <color theme="8" tint="0.59999389629810485"/>
      </top>
      <bottom style="thin">
        <color theme="4" tint="0.39997558519241921"/>
      </bottom>
      <diagonal/>
    </border>
    <border>
      <left style="thin">
        <color theme="4" tint="0.39997558519241921"/>
      </left>
      <right/>
      <top style="thin">
        <color theme="8" tint="0.59999389629810485"/>
      </top>
      <bottom style="thin">
        <color theme="8" tint="0.59999389629810485"/>
      </bottom>
      <diagonal/>
    </border>
    <border>
      <left style="thin">
        <color theme="8" tint="0.59999389629810485"/>
      </left>
      <right style="thin">
        <color theme="8" tint="0.59999389629810485"/>
      </right>
      <top style="thin">
        <color theme="8" tint="0.59999389629810485"/>
      </top>
      <bottom style="thin">
        <color theme="4" tint="0.39997558519241921"/>
      </bottom>
      <diagonal/>
    </border>
    <border>
      <left style="thin">
        <color theme="8" tint="0.59999389629810485"/>
      </left>
      <right/>
      <top/>
      <bottom style="thin">
        <color theme="8" tint="0.59999389629810485"/>
      </bottom>
      <diagonal/>
    </border>
    <border>
      <left/>
      <right/>
      <top/>
      <bottom style="thin">
        <color theme="8" tint="0.59999389629810485"/>
      </bottom>
      <diagonal/>
    </border>
    <border>
      <left style="thin">
        <color theme="4" tint="0.39997558519241921"/>
      </left>
      <right style="thin">
        <color theme="4" tint="0.39997558519241921"/>
      </right>
      <top/>
      <bottom style="thin">
        <color theme="4" tint="0.39997558519241921"/>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n">
        <color theme="8" tint="0.39997558519241921"/>
      </left>
      <right style="thin">
        <color theme="8" tint="0.39997558519241921"/>
      </right>
      <top/>
      <bottom style="thin">
        <color theme="8" tint="0.39997558519241921"/>
      </bottom>
      <diagonal/>
    </border>
    <border>
      <left style="thin">
        <color theme="8" tint="0.39997558519241921"/>
      </left>
      <right style="thin">
        <color theme="8" tint="0.39997558519241921"/>
      </right>
      <top style="thin">
        <color theme="8" tint="0.39997558519241921"/>
      </top>
      <bottom style="thin">
        <color theme="8" tint="0.39997558519241921"/>
      </bottom>
      <diagonal/>
    </border>
    <border>
      <left style="thin">
        <color rgb="FF9CC2E5"/>
      </left>
      <right/>
      <top/>
      <bottom style="thin">
        <color rgb="FF9CC2E5"/>
      </bottom>
      <diagonal/>
    </border>
    <border>
      <left/>
      <right/>
      <top/>
      <bottom style="thin">
        <color rgb="FF9CC2E5"/>
      </bottom>
      <diagonal/>
    </border>
    <border>
      <left/>
      <right style="thin">
        <color rgb="FF9CC2E5"/>
      </right>
      <top/>
      <bottom style="thin">
        <color rgb="FF9CC2E5"/>
      </bottom>
      <diagonal/>
    </border>
    <border>
      <left style="thin">
        <color rgb="FF9CC2E5"/>
      </left>
      <right style="thin">
        <color rgb="FF9CC2E5"/>
      </right>
      <top style="thin">
        <color rgb="FF9CC2E5"/>
      </top>
      <bottom style="thin">
        <color rgb="FF9CC2E5"/>
      </bottom>
      <diagonal/>
    </border>
    <border>
      <left style="thin">
        <color rgb="FF9CC2E5"/>
      </left>
      <right/>
      <top style="thin">
        <color rgb="FF9CC2E5"/>
      </top>
      <bottom style="thin">
        <color rgb="FF9CC2E5"/>
      </bottom>
      <diagonal/>
    </border>
    <border>
      <left/>
      <right style="thin">
        <color rgb="FF9CC2E5"/>
      </right>
      <top style="thin">
        <color rgb="FF9CC2E5"/>
      </top>
      <bottom style="thin">
        <color rgb="FF9CC2E5"/>
      </bottom>
      <diagonal/>
    </border>
    <border>
      <left/>
      <right/>
      <top style="thin">
        <color rgb="FF9CC2E5"/>
      </top>
      <bottom style="thin">
        <color rgb="FF9CC2E5"/>
      </bottom>
      <diagonal/>
    </border>
    <border>
      <left style="thin">
        <color rgb="FF8EAADB"/>
      </left>
      <right style="thin">
        <color rgb="FF8EAADB"/>
      </right>
      <top style="thin">
        <color rgb="FF8EAADB"/>
      </top>
      <bottom style="thin">
        <color rgb="FF8EAADB"/>
      </bottom>
      <diagonal/>
    </border>
    <border>
      <left style="thin">
        <color rgb="FF9BC2E6"/>
      </left>
      <right style="thin">
        <color rgb="FF9BC2E6"/>
      </right>
      <top style="thin">
        <color rgb="FF9BC2E6"/>
      </top>
      <bottom style="thin">
        <color rgb="FF9BC2E6"/>
      </bottom>
      <diagonal/>
    </border>
    <border>
      <left style="thin">
        <color rgb="FF9CC2E5"/>
      </left>
      <right style="thin">
        <color rgb="FF9CC2E5"/>
      </right>
      <top style="thin">
        <color rgb="FF9CC2E5"/>
      </top>
      <bottom/>
      <diagonal/>
    </border>
    <border>
      <left style="thin">
        <color rgb="FF9CC2E5"/>
      </left>
      <right style="thin">
        <color rgb="FF9CC2E5"/>
      </right>
      <top/>
      <bottom style="thin">
        <color rgb="FF9CC2E5"/>
      </bottom>
      <diagonal/>
    </border>
  </borders>
  <cellStyleXfs count="1">
    <xf numFmtId="0" fontId="0" fillId="0" borderId="0"/>
  </cellStyleXfs>
  <cellXfs count="200">
    <xf numFmtId="0" fontId="0" fillId="0" borderId="0" xfId="0"/>
    <xf numFmtId="0" fontId="0" fillId="0" borderId="0" xfId="0" applyAlignment="1">
      <alignment horizontal="left" vertical="center"/>
    </xf>
    <xf numFmtId="0" fontId="0" fillId="0" borderId="0" xfId="0" applyAlignment="1">
      <alignment horizontal="left" vertical="center" wrapText="1"/>
    </xf>
    <xf numFmtId="0" fontId="0" fillId="0" borderId="0" xfId="0" applyAlignment="1">
      <alignment horizontal="center"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horizontal="left" vertical="center"/>
    </xf>
    <xf numFmtId="0" fontId="4" fillId="4" borderId="4" xfId="0" applyFont="1" applyFill="1" applyBorder="1" applyAlignment="1">
      <alignment horizontal="center" vertical="center" wrapText="1"/>
    </xf>
    <xf numFmtId="0" fontId="5" fillId="4" borderId="4" xfId="0" applyFont="1" applyFill="1" applyBorder="1" applyAlignment="1">
      <alignment horizontal="center" vertical="center"/>
    </xf>
    <xf numFmtId="0" fontId="5" fillId="3" borderId="4" xfId="0" applyFont="1" applyFill="1" applyBorder="1" applyAlignment="1">
      <alignment horizontal="center" vertical="center"/>
    </xf>
    <xf numFmtId="0" fontId="5" fillId="5" borderId="4" xfId="0" applyFont="1" applyFill="1" applyBorder="1" applyAlignment="1">
      <alignment horizontal="center" vertical="center"/>
    </xf>
    <xf numFmtId="0" fontId="6" fillId="6" borderId="4" xfId="0" applyFont="1" applyFill="1" applyBorder="1" applyAlignment="1">
      <alignment horizontal="left" vertical="center" wrapText="1"/>
    </xf>
    <xf numFmtId="0" fontId="6" fillId="6" borderId="4" xfId="0" applyFont="1" applyFill="1" applyBorder="1" applyAlignment="1">
      <alignment horizontal="left" vertical="center"/>
    </xf>
    <xf numFmtId="0" fontId="7" fillId="7" borderId="4" xfId="0" applyFont="1" applyFill="1" applyBorder="1" applyAlignment="1">
      <alignment horizontal="center" vertical="center" wrapText="1"/>
    </xf>
    <xf numFmtId="0" fontId="4" fillId="7" borderId="4" xfId="0" applyFont="1" applyFill="1" applyBorder="1" applyAlignment="1">
      <alignment horizontal="left" vertical="center" wrapText="1"/>
    </xf>
    <xf numFmtId="0" fontId="7" fillId="7" borderId="4" xfId="0" applyFont="1" applyFill="1" applyBorder="1" applyAlignment="1">
      <alignment horizontal="left" vertical="center" wrapText="1"/>
    </xf>
    <xf numFmtId="0" fontId="5" fillId="8" borderId="4" xfId="0" applyFont="1" applyFill="1" applyBorder="1" applyAlignment="1">
      <alignment vertical="center"/>
    </xf>
    <xf numFmtId="0" fontId="5" fillId="9" borderId="4" xfId="0" applyFont="1" applyFill="1" applyBorder="1" applyAlignment="1">
      <alignment horizontal="center" vertical="center" wrapText="1"/>
    </xf>
    <xf numFmtId="0" fontId="5" fillId="10" borderId="4" xfId="0" applyFont="1" applyFill="1" applyBorder="1" applyAlignment="1">
      <alignment horizontal="center" vertical="center" wrapText="1"/>
    </xf>
    <xf numFmtId="0" fontId="5" fillId="11" borderId="4" xfId="0" applyFont="1" applyFill="1" applyBorder="1" applyAlignment="1">
      <alignment horizontal="center" vertical="center" wrapText="1"/>
    </xf>
    <xf numFmtId="0" fontId="5" fillId="12" borderId="4" xfId="0" applyFont="1" applyFill="1" applyBorder="1" applyAlignment="1">
      <alignment horizontal="center" vertical="center" wrapText="1"/>
    </xf>
    <xf numFmtId="0" fontId="5" fillId="13" borderId="4" xfId="0" applyFont="1" applyFill="1" applyBorder="1" applyAlignment="1">
      <alignment horizontal="center" vertical="center" wrapText="1"/>
    </xf>
    <xf numFmtId="0" fontId="5" fillId="14" borderId="4" xfId="0" applyFont="1" applyFill="1" applyBorder="1" applyAlignment="1">
      <alignment horizontal="center" vertical="center" wrapText="1"/>
    </xf>
    <xf numFmtId="0" fontId="8" fillId="13" borderId="4" xfId="0" applyFont="1" applyFill="1" applyBorder="1" applyAlignment="1">
      <alignment horizontal="center" vertical="center" wrapText="1"/>
    </xf>
    <xf numFmtId="0" fontId="8" fillId="15" borderId="4" xfId="0" applyFont="1" applyFill="1" applyBorder="1" applyAlignment="1">
      <alignment horizontal="center" vertical="center" wrapText="1"/>
    </xf>
    <xf numFmtId="0" fontId="9" fillId="16" borderId="4" xfId="0" applyFont="1" applyFill="1" applyBorder="1" applyAlignment="1">
      <alignment horizontal="left" vertical="center" wrapText="1"/>
    </xf>
    <xf numFmtId="0" fontId="9" fillId="16" borderId="4" xfId="0" applyFont="1" applyFill="1" applyBorder="1" applyAlignment="1">
      <alignment horizontal="left" vertical="center"/>
    </xf>
    <xf numFmtId="0" fontId="10" fillId="17" borderId="4" xfId="0" applyFont="1" applyFill="1" applyBorder="1" applyAlignment="1">
      <alignment horizontal="left" vertical="center"/>
    </xf>
    <xf numFmtId="0" fontId="9" fillId="18" borderId="4" xfId="0" applyFont="1" applyFill="1" applyBorder="1" applyAlignment="1">
      <alignment horizontal="center" vertical="center" wrapText="1"/>
    </xf>
    <xf numFmtId="0" fontId="11" fillId="18" borderId="4" xfId="0" applyFont="1" applyFill="1" applyBorder="1" applyAlignment="1">
      <alignment horizontal="left" vertical="center" wrapText="1"/>
    </xf>
    <xf numFmtId="0" fontId="11" fillId="19" borderId="4" xfId="0" applyFont="1" applyFill="1" applyBorder="1" applyAlignment="1">
      <alignment horizontal="left" vertical="center" wrapText="1"/>
    </xf>
    <xf numFmtId="0" fontId="11" fillId="20" borderId="4" xfId="0" applyFont="1" applyFill="1" applyBorder="1" applyAlignment="1">
      <alignment horizontal="left" vertical="center" wrapText="1"/>
    </xf>
    <xf numFmtId="0" fontId="13" fillId="21" borderId="4" xfId="0" applyFont="1" applyFill="1" applyBorder="1" applyAlignment="1">
      <alignment horizontal="center" vertical="center"/>
    </xf>
    <xf numFmtId="0" fontId="14" fillId="21" borderId="4" xfId="0" applyFont="1" applyFill="1" applyBorder="1" applyAlignment="1">
      <alignment horizontal="center" vertical="center"/>
    </xf>
    <xf numFmtId="0" fontId="0" fillId="22" borderId="0" xfId="0" applyFill="1" applyAlignment="1">
      <alignment horizontal="left" vertical="center"/>
    </xf>
    <xf numFmtId="0" fontId="12" fillId="18" borderId="4" xfId="0" applyFont="1" applyFill="1" applyBorder="1" applyAlignment="1">
      <alignment horizontal="left" vertical="center" wrapText="1"/>
    </xf>
    <xf numFmtId="0" fontId="9" fillId="21" borderId="4" xfId="0" applyFont="1" applyFill="1" applyBorder="1" applyAlignment="1">
      <alignment horizontal="center" vertical="center"/>
    </xf>
    <xf numFmtId="0" fontId="13" fillId="18" borderId="4" xfId="0" applyFont="1" applyFill="1" applyBorder="1" applyAlignment="1">
      <alignment horizontal="center" vertical="center"/>
    </xf>
    <xf numFmtId="0" fontId="9" fillId="18" borderId="4" xfId="0" applyFont="1" applyFill="1" applyBorder="1" applyAlignment="1">
      <alignment horizontal="center" vertical="center"/>
    </xf>
    <xf numFmtId="0" fontId="11" fillId="19" borderId="4" xfId="0" quotePrefix="1" applyFont="1" applyFill="1" applyBorder="1" applyAlignment="1">
      <alignment horizontal="left" vertical="center" wrapText="1"/>
    </xf>
    <xf numFmtId="0" fontId="20" fillId="0" borderId="0" xfId="0" applyFont="1" applyAlignment="1">
      <alignment vertical="center" wrapText="1"/>
    </xf>
    <xf numFmtId="0" fontId="10" fillId="17" borderId="4" xfId="0" applyFont="1" applyFill="1" applyBorder="1" applyAlignment="1">
      <alignment horizontal="left" vertical="center" wrapText="1"/>
    </xf>
    <xf numFmtId="0" fontId="20" fillId="0" borderId="0" xfId="0" applyFont="1" applyAlignment="1">
      <alignment vertical="center"/>
    </xf>
    <xf numFmtId="0" fontId="11" fillId="19" borderId="4" xfId="0" applyFont="1" applyFill="1" applyBorder="1" applyAlignment="1">
      <alignment vertical="center" wrapText="1"/>
    </xf>
    <xf numFmtId="0" fontId="14" fillId="11" borderId="4" xfId="0" applyFont="1" applyFill="1" applyBorder="1" applyAlignment="1">
      <alignment horizontal="center" vertical="center"/>
    </xf>
    <xf numFmtId="0" fontId="9" fillId="16" borderId="4" xfId="0" applyFont="1" applyFill="1" applyBorder="1" applyAlignment="1">
      <alignment vertical="center" wrapText="1"/>
    </xf>
    <xf numFmtId="0" fontId="13" fillId="0" borderId="4" xfId="0" applyFont="1" applyBorder="1" applyAlignment="1">
      <alignment horizontal="center" vertical="center"/>
    </xf>
    <xf numFmtId="0" fontId="23" fillId="16" borderId="4" xfId="0" applyFont="1" applyFill="1" applyBorder="1" applyAlignment="1">
      <alignment horizontal="left" vertical="center"/>
    </xf>
    <xf numFmtId="0" fontId="11" fillId="18" borderId="4" xfId="0" applyFont="1" applyFill="1" applyBorder="1" applyAlignment="1">
      <alignment horizontal="center" vertical="center"/>
    </xf>
    <xf numFmtId="0" fontId="11" fillId="21" borderId="4" xfId="0" applyFont="1" applyFill="1" applyBorder="1" applyAlignment="1">
      <alignment horizontal="center" vertical="center"/>
    </xf>
    <xf numFmtId="0" fontId="24" fillId="20" borderId="4" xfId="0" applyFont="1" applyFill="1" applyBorder="1" applyAlignment="1">
      <alignment horizontal="left" vertical="center"/>
    </xf>
    <xf numFmtId="0" fontId="11" fillId="18" borderId="4" xfId="0" applyFont="1" applyFill="1" applyBorder="1" applyAlignment="1">
      <alignment horizontal="left" vertical="center"/>
    </xf>
    <xf numFmtId="0" fontId="1" fillId="0" borderId="0" xfId="0" applyFont="1" applyAlignment="1">
      <alignment horizontal="left" vertical="center"/>
    </xf>
    <xf numFmtId="0" fontId="11" fillId="20" borderId="4" xfId="0" applyFont="1" applyFill="1" applyBorder="1" applyAlignment="1">
      <alignment horizontal="left" vertical="center"/>
    </xf>
    <xf numFmtId="0" fontId="9" fillId="16" borderId="5" xfId="0" applyFont="1" applyFill="1" applyBorder="1" applyAlignment="1">
      <alignment horizontal="left" vertical="center" wrapText="1"/>
    </xf>
    <xf numFmtId="0" fontId="9" fillId="16" borderId="5" xfId="0" applyFont="1" applyFill="1" applyBorder="1" applyAlignment="1">
      <alignment horizontal="left" vertical="center"/>
    </xf>
    <xf numFmtId="0" fontId="9" fillId="16" borderId="6" xfId="0" applyFont="1" applyFill="1" applyBorder="1" applyAlignment="1">
      <alignment horizontal="left" vertical="center" wrapText="1"/>
    </xf>
    <xf numFmtId="0" fontId="9" fillId="16" borderId="7" xfId="0" applyFont="1" applyFill="1" applyBorder="1" applyAlignment="1">
      <alignment horizontal="left" vertical="center" wrapText="1"/>
    </xf>
    <xf numFmtId="0" fontId="9" fillId="16" borderId="8" xfId="0" applyFont="1" applyFill="1" applyBorder="1" applyAlignment="1">
      <alignment horizontal="left" vertical="center" wrapText="1"/>
    </xf>
    <xf numFmtId="0" fontId="9" fillId="16" borderId="9" xfId="0" applyFont="1" applyFill="1" applyBorder="1" applyAlignment="1">
      <alignment horizontal="left" vertical="center"/>
    </xf>
    <xf numFmtId="0" fontId="9" fillId="16" borderId="3" xfId="0" applyFont="1" applyFill="1" applyBorder="1" applyAlignment="1">
      <alignment horizontal="left" vertical="center"/>
    </xf>
    <xf numFmtId="0" fontId="9" fillId="23" borderId="6" xfId="0" applyFont="1" applyFill="1" applyBorder="1" applyAlignment="1">
      <alignment horizontal="left" vertical="center" wrapText="1"/>
    </xf>
    <xf numFmtId="0" fontId="9" fillId="23" borderId="7" xfId="0" applyFont="1" applyFill="1" applyBorder="1" applyAlignment="1">
      <alignment horizontal="left" vertical="center" wrapText="1"/>
    </xf>
    <xf numFmtId="0" fontId="9" fillId="23" borderId="8" xfId="0" applyFont="1" applyFill="1" applyBorder="1" applyAlignment="1">
      <alignment horizontal="left" vertical="center" wrapText="1"/>
    </xf>
    <xf numFmtId="0" fontId="19" fillId="23" borderId="9" xfId="0" applyFont="1" applyFill="1" applyBorder="1" applyAlignment="1">
      <alignment horizontal="left" vertical="center"/>
    </xf>
    <xf numFmtId="0" fontId="19" fillId="23" borderId="4" xfId="0" applyFont="1" applyFill="1" applyBorder="1" applyAlignment="1">
      <alignment horizontal="left" vertical="center" wrapText="1"/>
    </xf>
    <xf numFmtId="0" fontId="25" fillId="18" borderId="4" xfId="0" applyFont="1" applyFill="1" applyBorder="1" applyAlignment="1">
      <alignment horizontal="left" vertical="center" wrapText="1"/>
    </xf>
    <xf numFmtId="0" fontId="14" fillId="24" borderId="4" xfId="0" applyFont="1" applyFill="1" applyBorder="1" applyAlignment="1">
      <alignment horizontal="left" vertical="center"/>
    </xf>
    <xf numFmtId="0" fontId="14" fillId="23" borderId="4" xfId="0" applyFont="1" applyFill="1" applyBorder="1" applyAlignment="1">
      <alignment horizontal="center" vertical="center"/>
    </xf>
    <xf numFmtId="0" fontId="0" fillId="21" borderId="0" xfId="0" applyFill="1" applyAlignment="1">
      <alignment horizontal="left" vertical="center"/>
    </xf>
    <xf numFmtId="0" fontId="0" fillId="21" borderId="10" xfId="0" applyFill="1" applyBorder="1" applyAlignment="1">
      <alignment horizontal="left" vertical="center"/>
    </xf>
    <xf numFmtId="0" fontId="0" fillId="21" borderId="11" xfId="0" applyFill="1" applyBorder="1" applyAlignment="1">
      <alignment horizontal="left" vertical="center"/>
    </xf>
    <xf numFmtId="0" fontId="0" fillId="21" borderId="0" xfId="0" applyFill="1" applyAlignment="1">
      <alignment horizontal="left" vertical="center" wrapText="1"/>
    </xf>
    <xf numFmtId="0" fontId="20" fillId="21" borderId="0" xfId="0" applyFont="1" applyFill="1" applyAlignment="1">
      <alignment vertical="center"/>
    </xf>
    <xf numFmtId="0" fontId="26" fillId="0" borderId="0" xfId="0" applyFont="1" applyAlignment="1">
      <alignment horizontal="left" vertical="center" wrapText="1"/>
    </xf>
    <xf numFmtId="49" fontId="11" fillId="16" borderId="12" xfId="0" applyNumberFormat="1" applyFont="1" applyFill="1" applyBorder="1" applyAlignment="1">
      <alignment horizontal="left" vertical="center" wrapText="1"/>
    </xf>
    <xf numFmtId="0" fontId="11" fillId="25" borderId="12" xfId="0" applyFont="1" applyFill="1" applyBorder="1" applyAlignment="1">
      <alignment horizontal="left" vertical="center" wrapText="1"/>
    </xf>
    <xf numFmtId="0" fontId="11" fillId="16" borderId="12" xfId="0" applyFont="1" applyFill="1" applyBorder="1" applyAlignment="1">
      <alignment horizontal="left" vertical="center" wrapText="1"/>
    </xf>
    <xf numFmtId="0" fontId="11" fillId="25" borderId="4" xfId="0" applyFont="1" applyFill="1" applyBorder="1" applyAlignment="1">
      <alignment horizontal="left" vertical="center"/>
    </xf>
    <xf numFmtId="0" fontId="11" fillId="16" borderId="4" xfId="0" applyFont="1" applyFill="1" applyBorder="1" applyAlignment="1">
      <alignment horizontal="left" vertical="center" wrapText="1"/>
    </xf>
    <xf numFmtId="0" fontId="11" fillId="25" borderId="4" xfId="0" applyFont="1" applyFill="1" applyBorder="1" applyAlignment="1">
      <alignment horizontal="left" vertical="center" wrapText="1"/>
    </xf>
    <xf numFmtId="0" fontId="11" fillId="18" borderId="4" xfId="0" applyFont="1" applyFill="1" applyBorder="1" applyAlignment="1">
      <alignment horizontal="center" vertical="center" wrapText="1"/>
    </xf>
    <xf numFmtId="0" fontId="14" fillId="21" borderId="4" xfId="0" applyFont="1" applyFill="1" applyBorder="1" applyAlignment="1">
      <alignment horizontal="center" vertical="center" wrapText="1"/>
    </xf>
    <xf numFmtId="49" fontId="11" fillId="16" borderId="4" xfId="0" applyNumberFormat="1" applyFont="1" applyFill="1" applyBorder="1" applyAlignment="1">
      <alignment horizontal="left" vertical="center" wrapText="1"/>
    </xf>
    <xf numFmtId="0" fontId="26" fillId="22" borderId="0" xfId="0" applyFont="1" applyFill="1" applyAlignment="1">
      <alignment horizontal="left" vertical="center" wrapText="1"/>
    </xf>
    <xf numFmtId="49" fontId="19" fillId="23" borderId="4" xfId="0" applyNumberFormat="1" applyFont="1" applyFill="1" applyBorder="1" applyAlignment="1">
      <alignment horizontal="left" vertical="center" wrapText="1"/>
    </xf>
    <xf numFmtId="49" fontId="19" fillId="23" borderId="4" xfId="0" applyNumberFormat="1" applyFont="1" applyFill="1" applyBorder="1" applyAlignment="1">
      <alignment horizontal="left" vertical="center"/>
    </xf>
    <xf numFmtId="0" fontId="14" fillId="24" borderId="4" xfId="0" applyFont="1" applyFill="1" applyBorder="1" applyAlignment="1">
      <alignment horizontal="left" vertical="center" wrapText="1"/>
    </xf>
    <xf numFmtId="0" fontId="27" fillId="0" borderId="0" xfId="0" applyFont="1" applyAlignment="1">
      <alignment horizontal="left" vertical="center"/>
    </xf>
    <xf numFmtId="0" fontId="2" fillId="2" borderId="1" xfId="0" applyFont="1" applyFill="1" applyBorder="1" applyAlignment="1">
      <alignment horizontal="center" vertical="center"/>
    </xf>
    <xf numFmtId="0" fontId="2" fillId="2" borderId="2" xfId="0" applyFont="1" applyFill="1" applyBorder="1" applyAlignment="1">
      <alignment horizontal="center" vertical="center"/>
    </xf>
    <xf numFmtId="0" fontId="2" fillId="2" borderId="3" xfId="0" applyFont="1" applyFill="1" applyBorder="1" applyAlignment="1">
      <alignment horizontal="center" vertical="center"/>
    </xf>
    <xf numFmtId="0" fontId="3" fillId="3" borderId="4" xfId="0" applyFont="1" applyFill="1" applyBorder="1" applyAlignment="1">
      <alignment horizontal="left" vertical="center"/>
    </xf>
    <xf numFmtId="0" fontId="4" fillId="4" borderId="4" xfId="0" applyFont="1" applyFill="1" applyBorder="1" applyAlignment="1">
      <alignment horizontal="center" vertical="center"/>
    </xf>
    <xf numFmtId="0" fontId="5" fillId="4" borderId="4" xfId="0" applyFont="1" applyFill="1" applyBorder="1" applyAlignment="1">
      <alignment horizontal="center" vertical="center"/>
    </xf>
    <xf numFmtId="0" fontId="5" fillId="3" borderId="4" xfId="0" applyFont="1" applyFill="1" applyBorder="1" applyAlignment="1">
      <alignment horizontal="center" vertical="center"/>
    </xf>
    <xf numFmtId="0" fontId="5" fillId="5" borderId="4" xfId="0" applyFont="1" applyFill="1" applyBorder="1" applyAlignment="1">
      <alignment horizontal="center" vertical="center"/>
    </xf>
    <xf numFmtId="0" fontId="4" fillId="7" borderId="4" xfId="0" applyFont="1" applyFill="1" applyBorder="1" applyAlignment="1">
      <alignment horizontal="left" vertical="center"/>
    </xf>
    <xf numFmtId="0" fontId="9" fillId="18" borderId="4" xfId="0" applyFont="1" applyFill="1" applyBorder="1" applyAlignment="1">
      <alignment horizontal="left" vertical="center" wrapText="1"/>
    </xf>
    <xf numFmtId="0" fontId="9" fillId="20" borderId="13" xfId="0" applyFont="1" applyFill="1" applyBorder="1" applyAlignment="1">
      <alignment horizontal="left" vertical="center" wrapText="1"/>
    </xf>
    <xf numFmtId="0" fontId="28" fillId="26" borderId="0" xfId="0" applyFont="1" applyFill="1" applyAlignment="1">
      <alignment horizontal="left" vertical="center"/>
    </xf>
    <xf numFmtId="0" fontId="19" fillId="18" borderId="4" xfId="0" applyFont="1" applyFill="1" applyBorder="1" applyAlignment="1">
      <alignment horizontal="left" vertical="center" wrapText="1"/>
    </xf>
    <xf numFmtId="0" fontId="0" fillId="26" borderId="0" xfId="0" applyFill="1" applyAlignment="1">
      <alignment horizontal="left" vertical="center"/>
    </xf>
    <xf numFmtId="0" fontId="0" fillId="27" borderId="0" xfId="0" applyFill="1" applyAlignment="1">
      <alignment horizontal="left" vertical="center"/>
    </xf>
    <xf numFmtId="0" fontId="19" fillId="21" borderId="4" xfId="0" applyFont="1" applyFill="1" applyBorder="1" applyAlignment="1">
      <alignment horizontal="center" vertical="center"/>
    </xf>
    <xf numFmtId="0" fontId="9" fillId="20" borderId="4" xfId="0" applyFont="1" applyFill="1" applyBorder="1" applyAlignment="1">
      <alignment horizontal="left" vertical="center" wrapText="1"/>
    </xf>
    <xf numFmtId="0" fontId="13" fillId="23" borderId="4" xfId="0" applyFont="1" applyFill="1" applyBorder="1" applyAlignment="1">
      <alignment horizontal="center" vertical="center"/>
    </xf>
    <xf numFmtId="0" fontId="19" fillId="18" borderId="4" xfId="0" applyFont="1" applyFill="1" applyBorder="1" applyAlignment="1">
      <alignment horizontal="center" vertical="center" wrapText="1"/>
    </xf>
    <xf numFmtId="0" fontId="10" fillId="20" borderId="4" xfId="0" applyFont="1" applyFill="1" applyBorder="1" applyAlignment="1">
      <alignment horizontal="left" vertical="center"/>
    </xf>
    <xf numFmtId="0" fontId="9" fillId="20" borderId="4" xfId="0" applyFont="1" applyFill="1" applyBorder="1" applyAlignment="1">
      <alignment horizontal="left" vertical="center"/>
    </xf>
    <xf numFmtId="0" fontId="9" fillId="25" borderId="14" xfId="0" applyFont="1" applyFill="1" applyBorder="1" applyAlignment="1">
      <alignment horizontal="left" vertical="center"/>
    </xf>
    <xf numFmtId="0" fontId="9" fillId="25" borderId="4" xfId="0" applyFont="1" applyFill="1" applyBorder="1" applyAlignment="1">
      <alignment horizontal="left" vertical="center" wrapText="1"/>
    </xf>
    <xf numFmtId="0" fontId="9" fillId="25" borderId="4" xfId="0" applyFont="1" applyFill="1" applyBorder="1" applyAlignment="1">
      <alignment horizontal="left" vertical="center"/>
    </xf>
    <xf numFmtId="0" fontId="9" fillId="18" borderId="15" xfId="0" applyFont="1" applyFill="1" applyBorder="1" applyAlignment="1">
      <alignment horizontal="left" vertical="center"/>
    </xf>
    <xf numFmtId="0" fontId="9" fillId="25" borderId="15" xfId="0" applyFont="1" applyFill="1" applyBorder="1" applyAlignment="1">
      <alignment horizontal="left" vertical="center"/>
    </xf>
    <xf numFmtId="0" fontId="9" fillId="18" borderId="15" xfId="0" applyFont="1" applyFill="1" applyBorder="1" applyAlignment="1">
      <alignment horizontal="left" vertical="center" wrapText="1"/>
    </xf>
    <xf numFmtId="0" fontId="37" fillId="18" borderId="4" xfId="0" applyFont="1" applyFill="1" applyBorder="1" applyAlignment="1">
      <alignment horizontal="left" vertical="center" wrapText="1"/>
    </xf>
    <xf numFmtId="0" fontId="37" fillId="20" borderId="4" xfId="0" applyFont="1" applyFill="1" applyBorder="1" applyAlignment="1">
      <alignment horizontal="left" vertical="center" wrapText="1"/>
    </xf>
    <xf numFmtId="1" fontId="11" fillId="16" borderId="4" xfId="0" applyNumberFormat="1" applyFont="1" applyFill="1" applyBorder="1" applyAlignment="1">
      <alignment horizontal="left" vertical="center" wrapText="1"/>
    </xf>
    <xf numFmtId="0" fontId="38" fillId="0" borderId="0" xfId="0" applyFont="1" applyAlignment="1">
      <alignment horizontal="left" vertical="center"/>
    </xf>
    <xf numFmtId="0" fontId="38" fillId="0" borderId="0" xfId="0" applyFont="1" applyAlignment="1">
      <alignment horizontal="left" vertical="center" wrapText="1"/>
    </xf>
    <xf numFmtId="0" fontId="38" fillId="0" borderId="0" xfId="0" applyFont="1" applyAlignment="1">
      <alignment horizontal="center" vertical="center"/>
    </xf>
    <xf numFmtId="0" fontId="39" fillId="28" borderId="16" xfId="0" applyFont="1" applyFill="1" applyBorder="1" applyAlignment="1">
      <alignment horizontal="center" vertical="center"/>
    </xf>
    <xf numFmtId="0" fontId="40" fillId="0" borderId="17" xfId="0" applyFont="1" applyBorder="1"/>
    <xf numFmtId="0" fontId="40" fillId="0" borderId="18" xfId="0" applyFont="1" applyBorder="1"/>
    <xf numFmtId="0" fontId="41" fillId="29" borderId="19" xfId="0" applyFont="1" applyFill="1" applyBorder="1" applyAlignment="1">
      <alignment horizontal="left" vertical="center"/>
    </xf>
    <xf numFmtId="0" fontId="42" fillId="30" borderId="20" xfId="0" applyFont="1" applyFill="1" applyBorder="1" applyAlignment="1">
      <alignment horizontal="center" vertical="center" wrapText="1"/>
    </xf>
    <xf numFmtId="0" fontId="40" fillId="0" borderId="21" xfId="0" applyFont="1" applyBorder="1"/>
    <xf numFmtId="0" fontId="43" fillId="30" borderId="20" xfId="0" applyFont="1" applyFill="1" applyBorder="1" applyAlignment="1">
      <alignment horizontal="center" vertical="center"/>
    </xf>
    <xf numFmtId="0" fontId="43" fillId="29" borderId="20" xfId="0" applyFont="1" applyFill="1" applyBorder="1" applyAlignment="1">
      <alignment horizontal="center" vertical="center"/>
    </xf>
    <xf numFmtId="0" fontId="40" fillId="0" borderId="22" xfId="0" applyFont="1" applyBorder="1"/>
    <xf numFmtId="0" fontId="43" fillId="31" borderId="20" xfId="0" applyFont="1" applyFill="1" applyBorder="1" applyAlignment="1">
      <alignment horizontal="center" vertical="center"/>
    </xf>
    <xf numFmtId="0" fontId="44" fillId="32" borderId="19" xfId="0" applyFont="1" applyFill="1" applyBorder="1" applyAlignment="1">
      <alignment horizontal="left" vertical="center" wrapText="1"/>
    </xf>
    <xf numFmtId="0" fontId="44" fillId="32" borderId="19" xfId="0" applyFont="1" applyFill="1" applyBorder="1" applyAlignment="1">
      <alignment horizontal="left" vertical="center"/>
    </xf>
    <xf numFmtId="0" fontId="45" fillId="33" borderId="19" xfId="0" applyFont="1" applyFill="1" applyBorder="1" applyAlignment="1">
      <alignment horizontal="center" vertical="center"/>
    </xf>
    <xf numFmtId="0" fontId="45" fillId="33" borderId="19" xfId="0" applyFont="1" applyFill="1" applyBorder="1" applyAlignment="1">
      <alignment horizontal="center" vertical="center" wrapText="1"/>
    </xf>
    <xf numFmtId="0" fontId="45" fillId="33" borderId="0" xfId="0" applyFont="1" applyFill="1" applyAlignment="1">
      <alignment horizontal="center" vertical="center" wrapText="1"/>
    </xf>
    <xf numFmtId="0" fontId="45" fillId="33" borderId="19" xfId="0" applyFont="1" applyFill="1" applyBorder="1" applyAlignment="1">
      <alignment horizontal="left" vertical="center" wrapText="1"/>
    </xf>
    <xf numFmtId="0" fontId="43" fillId="34" borderId="19" xfId="0" applyFont="1" applyFill="1" applyBorder="1" applyAlignment="1">
      <alignment vertical="center"/>
    </xf>
    <xf numFmtId="0" fontId="43" fillId="35" borderId="19" xfId="0" applyFont="1" applyFill="1" applyBorder="1" applyAlignment="1">
      <alignment horizontal="center" vertical="center" wrapText="1"/>
    </xf>
    <xf numFmtId="0" fontId="43" fillId="36" borderId="19" xfId="0" applyFont="1" applyFill="1" applyBorder="1" applyAlignment="1">
      <alignment horizontal="center" vertical="center" wrapText="1"/>
    </xf>
    <xf numFmtId="0" fontId="43" fillId="37" borderId="19" xfId="0" applyFont="1" applyFill="1" applyBorder="1" applyAlignment="1">
      <alignment horizontal="center" vertical="center" wrapText="1"/>
    </xf>
    <xf numFmtId="0" fontId="43" fillId="38" borderId="19" xfId="0" applyFont="1" applyFill="1" applyBorder="1" applyAlignment="1">
      <alignment horizontal="center" vertical="center" wrapText="1"/>
    </xf>
    <xf numFmtId="0" fontId="43" fillId="39" borderId="19" xfId="0" applyFont="1" applyFill="1" applyBorder="1" applyAlignment="1">
      <alignment horizontal="center" vertical="center" wrapText="1"/>
    </xf>
    <xf numFmtId="0" fontId="43" fillId="40" borderId="19" xfId="0" applyFont="1" applyFill="1" applyBorder="1" applyAlignment="1">
      <alignment horizontal="center" vertical="center" wrapText="1"/>
    </xf>
    <xf numFmtId="0" fontId="46" fillId="39" borderId="19" xfId="0" applyFont="1" applyFill="1" applyBorder="1" applyAlignment="1">
      <alignment horizontal="center" vertical="center" wrapText="1"/>
    </xf>
    <xf numFmtId="0" fontId="46" fillId="41" borderId="19" xfId="0" applyFont="1" applyFill="1" applyBorder="1" applyAlignment="1">
      <alignment horizontal="center" vertical="center" wrapText="1"/>
    </xf>
    <xf numFmtId="0" fontId="47" fillId="0" borderId="0" xfId="0" applyFont="1" applyAlignment="1">
      <alignment horizontal="left"/>
    </xf>
    <xf numFmtId="0" fontId="48" fillId="42" borderId="19" xfId="0" applyFont="1" applyFill="1" applyBorder="1" applyAlignment="1">
      <alignment horizontal="left" vertical="center" wrapText="1"/>
    </xf>
    <xf numFmtId="0" fontId="48" fillId="42" borderId="23" xfId="0" applyFont="1" applyFill="1" applyBorder="1" applyAlignment="1">
      <alignment horizontal="left" vertical="center"/>
    </xf>
    <xf numFmtId="0" fontId="49" fillId="43" borderId="19" xfId="0" applyFont="1" applyFill="1" applyBorder="1" applyAlignment="1">
      <alignment horizontal="left" vertical="center"/>
    </xf>
    <xf numFmtId="0" fontId="48" fillId="44" borderId="19" xfId="0" applyFont="1" applyFill="1" applyBorder="1" applyAlignment="1">
      <alignment horizontal="left" vertical="center" wrapText="1"/>
    </xf>
    <xf numFmtId="0" fontId="48" fillId="45" borderId="19" xfId="0" applyFont="1" applyFill="1" applyBorder="1" applyAlignment="1">
      <alignment horizontal="left" vertical="center" wrapText="1"/>
    </xf>
    <xf numFmtId="0" fontId="50" fillId="46" borderId="19" xfId="0" applyFont="1" applyFill="1" applyBorder="1" applyAlignment="1">
      <alignment horizontal="center" vertical="center"/>
    </xf>
    <xf numFmtId="0" fontId="48" fillId="42" borderId="19" xfId="0" applyFont="1" applyFill="1" applyBorder="1" applyAlignment="1">
      <alignment horizontal="left" vertical="center"/>
    </xf>
    <xf numFmtId="0" fontId="47" fillId="47" borderId="0" xfId="0" applyFont="1" applyFill="1" applyAlignment="1">
      <alignment horizontal="left"/>
    </xf>
    <xf numFmtId="0" fontId="48" fillId="37" borderId="19" xfId="0" applyFont="1" applyFill="1" applyBorder="1" applyAlignment="1">
      <alignment horizontal="left" vertical="center"/>
    </xf>
    <xf numFmtId="0" fontId="48" fillId="37" borderId="19" xfId="0" applyFont="1" applyFill="1" applyBorder="1" applyAlignment="1">
      <alignment horizontal="left" vertical="center" wrapText="1"/>
    </xf>
    <xf numFmtId="0" fontId="47" fillId="0" borderId="0" xfId="0" applyFont="1" applyAlignment="1">
      <alignment vertical="center" wrapText="1"/>
    </xf>
    <xf numFmtId="0" fontId="49" fillId="43" borderId="19" xfId="0" applyFont="1" applyFill="1" applyBorder="1" applyAlignment="1">
      <alignment horizontal="left" vertical="center" wrapText="1"/>
    </xf>
    <xf numFmtId="0" fontId="48" fillId="37" borderId="23" xfId="0" applyFont="1" applyFill="1" applyBorder="1" applyAlignment="1">
      <alignment horizontal="left" vertical="center"/>
    </xf>
    <xf numFmtId="0" fontId="48" fillId="48" borderId="19" xfId="0" applyFont="1" applyFill="1" applyBorder="1" applyAlignment="1">
      <alignment horizontal="left" vertical="center" wrapText="1"/>
    </xf>
    <xf numFmtId="0" fontId="47" fillId="0" borderId="0" xfId="0" applyFont="1" applyAlignment="1">
      <alignment vertical="center"/>
    </xf>
    <xf numFmtId="0" fontId="48" fillId="44" borderId="25" xfId="0" applyFont="1" applyFill="1" applyBorder="1" applyAlignment="1">
      <alignment horizontal="left" vertical="center" wrapText="1"/>
    </xf>
    <xf numFmtId="0" fontId="48" fillId="44" borderId="20" xfId="0" applyFont="1" applyFill="1" applyBorder="1" applyAlignment="1">
      <alignment horizontal="left" vertical="center" wrapText="1"/>
    </xf>
    <xf numFmtId="0" fontId="48" fillId="44" borderId="26" xfId="0" applyFont="1" applyFill="1" applyBorder="1" applyAlignment="1">
      <alignment horizontal="left" vertical="center" wrapText="1"/>
    </xf>
    <xf numFmtId="0" fontId="51" fillId="44" borderId="19" xfId="0" applyFont="1" applyFill="1" applyBorder="1" applyAlignment="1">
      <alignment horizontal="left" vertical="center" wrapText="1"/>
    </xf>
    <xf numFmtId="0" fontId="48" fillId="36" borderId="19" xfId="0" applyFont="1" applyFill="1" applyBorder="1" applyAlignment="1">
      <alignment horizontal="left" vertical="center" wrapText="1"/>
    </xf>
    <xf numFmtId="0" fontId="50" fillId="49" borderId="19" xfId="0" applyFont="1" applyFill="1" applyBorder="1" applyAlignment="1">
      <alignment horizontal="center" vertical="center"/>
    </xf>
    <xf numFmtId="0" fontId="48" fillId="49" borderId="19" xfId="0" applyFont="1" applyFill="1" applyBorder="1" applyAlignment="1">
      <alignment horizontal="left" vertical="center" wrapText="1"/>
    </xf>
    <xf numFmtId="0" fontId="51" fillId="49" borderId="23" xfId="0" applyFont="1" applyFill="1" applyBorder="1" applyAlignment="1">
      <alignment horizontal="left" vertical="center"/>
    </xf>
    <xf numFmtId="0" fontId="48" fillId="42" borderId="23" xfId="0" applyFont="1" applyFill="1" applyBorder="1" applyAlignment="1">
      <alignment horizontal="left" vertical="center" wrapText="1"/>
    </xf>
    <xf numFmtId="0" fontId="51" fillId="49" borderId="19" xfId="0" applyFont="1" applyFill="1" applyBorder="1" applyAlignment="1">
      <alignment horizontal="left" vertical="center" wrapText="1"/>
    </xf>
    <xf numFmtId="0" fontId="48" fillId="50" borderId="19" xfId="0" applyFont="1" applyFill="1" applyBorder="1" applyAlignment="1">
      <alignment horizontal="left" vertical="center" wrapText="1"/>
    </xf>
    <xf numFmtId="0" fontId="38" fillId="0" borderId="0" xfId="0" applyFont="1" applyAlignment="1">
      <alignment horizontal="left"/>
    </xf>
    <xf numFmtId="0" fontId="48" fillId="51" borderId="19" xfId="0" applyFont="1" applyFill="1" applyBorder="1" applyAlignment="1">
      <alignment horizontal="left" vertical="center" wrapText="1"/>
    </xf>
    <xf numFmtId="0" fontId="48" fillId="51" borderId="19" xfId="0" applyFont="1" applyFill="1" applyBorder="1" applyAlignment="1">
      <alignment horizontal="left" vertical="center"/>
    </xf>
    <xf numFmtId="0" fontId="48" fillId="44" borderId="19" xfId="0" applyFont="1" applyFill="1" applyBorder="1" applyAlignment="1">
      <alignment horizontal="center" vertical="center" wrapText="1"/>
    </xf>
    <xf numFmtId="0" fontId="48" fillId="44" borderId="23" xfId="0" applyFont="1" applyFill="1" applyBorder="1" applyAlignment="1">
      <alignment horizontal="left" vertical="center"/>
    </xf>
    <xf numFmtId="0" fontId="38" fillId="47" borderId="0" xfId="0" applyFont="1" applyFill="1" applyAlignment="1">
      <alignment horizontal="left"/>
    </xf>
    <xf numFmtId="0" fontId="48" fillId="48" borderId="19" xfId="0" applyFont="1" applyFill="1" applyBorder="1" applyAlignment="1">
      <alignment horizontal="left" vertical="center"/>
    </xf>
    <xf numFmtId="0" fontId="58" fillId="44" borderId="19" xfId="0" applyFont="1" applyFill="1" applyBorder="1" applyAlignment="1">
      <alignment horizontal="left" vertical="center" wrapText="1"/>
    </xf>
    <xf numFmtId="0" fontId="58" fillId="45" borderId="19" xfId="0" applyFont="1" applyFill="1" applyBorder="1" applyAlignment="1">
      <alignment horizontal="left" vertical="center" wrapText="1"/>
    </xf>
    <xf numFmtId="0" fontId="59" fillId="47" borderId="0" xfId="0" applyFont="1" applyFill="1" applyAlignment="1">
      <alignment horizontal="left" vertical="center"/>
    </xf>
    <xf numFmtId="0" fontId="51" fillId="49" borderId="24" xfId="0" applyFont="1" applyFill="1" applyBorder="1" applyAlignment="1">
      <alignment horizontal="left" vertical="center"/>
    </xf>
    <xf numFmtId="0" fontId="50" fillId="52" borderId="24" xfId="0" applyFont="1" applyFill="1" applyBorder="1" applyAlignment="1">
      <alignment horizontal="left" vertical="center"/>
    </xf>
    <xf numFmtId="0" fontId="50" fillId="51" borderId="24" xfId="0" applyFont="1" applyFill="1" applyBorder="1" applyAlignment="1">
      <alignment horizontal="left" vertical="center"/>
    </xf>
    <xf numFmtId="0" fontId="60" fillId="53" borderId="24" xfId="0" applyFont="1" applyFill="1" applyBorder="1" applyAlignment="1">
      <alignment horizontal="left" vertical="center"/>
    </xf>
    <xf numFmtId="0" fontId="61" fillId="0" borderId="0" xfId="0" applyFont="1" applyAlignment="1">
      <alignment vertical="center"/>
    </xf>
    <xf numFmtId="0" fontId="62" fillId="0" borderId="0" xfId="0" applyFont="1" applyAlignment="1">
      <alignment horizontal="left" vertical="center"/>
    </xf>
    <xf numFmtId="49" fontId="0" fillId="0" borderId="0" xfId="0" applyNumberFormat="1"/>
    <xf numFmtId="49" fontId="47" fillId="0" borderId="0" xfId="0" applyNumberFormat="1" applyFont="1" applyAlignment="1">
      <alignment horizontal="left"/>
    </xf>
    <xf numFmtId="0" fontId="11" fillId="54" borderId="4" xfId="0" applyFont="1" applyFill="1" applyBorder="1" applyAlignment="1">
      <alignment horizontal="left" vertical="center" wrapText="1"/>
    </xf>
    <xf numFmtId="0" fontId="18" fillId="54" borderId="4" xfId="0" applyFont="1" applyFill="1" applyBorder="1" applyAlignment="1">
      <alignment horizontal="left" vertical="center" wrapText="1"/>
    </xf>
    <xf numFmtId="0" fontId="18" fillId="54" borderId="4" xfId="0" applyFont="1" applyFill="1" applyBorder="1" applyAlignment="1">
      <alignment vertical="center" wrapText="1"/>
    </xf>
    <xf numFmtId="0" fontId="21" fillId="54" borderId="4" xfId="0" applyFont="1" applyFill="1" applyBorder="1" applyAlignment="1">
      <alignment horizontal="left" vertical="center" wrapText="1"/>
    </xf>
    <xf numFmtId="0" fontId="16" fillId="54" borderId="4" xfId="0" applyFont="1" applyFill="1" applyBorder="1" applyAlignment="1">
      <alignment horizontal="left" vertical="center" wrapText="1"/>
    </xf>
    <xf numFmtId="0" fontId="19" fillId="54" borderId="4" xfId="0" applyFont="1" applyFill="1" applyBorder="1" applyAlignment="1">
      <alignment horizontal="left" vertical="center" wrapText="1"/>
    </xf>
    <xf numFmtId="0" fontId="48" fillId="55" borderId="23" xfId="0" applyFont="1" applyFill="1" applyBorder="1" applyAlignment="1">
      <alignment horizontal="left" vertical="center" wrapText="1"/>
    </xf>
  </cellXfs>
  <cellStyles count="1">
    <cellStyle name="Normal" xfId="0" builtinId="0"/>
  </cellStyles>
  <dxfs count="4">
    <dxf>
      <fill>
        <patternFill patternType="solid">
          <fgColor rgb="FFD712DE"/>
          <bgColor rgb="FF000000"/>
        </patternFill>
      </fill>
    </dxf>
    <dxf>
      <fill>
        <patternFill patternType="solid">
          <fgColor rgb="FFD712DE"/>
          <bgColor rgb="FFD712DE"/>
        </patternFill>
      </fill>
    </dxf>
    <dxf>
      <fill>
        <patternFill patternType="solid">
          <fgColor rgb="FF7030A0"/>
          <bgColor rgb="FF000000"/>
        </patternFill>
      </fill>
    </dxf>
    <dxf>
      <fill>
        <patternFill patternType="solid">
          <fgColor rgb="FFD712DE"/>
          <bgColor rgb="FF00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4.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styles" Target="styles.xml"/><Relationship Id="rId5" Type="http://schemas.openxmlformats.org/officeDocument/2006/relationships/externalLink" Target="externalLinks/externalLink1.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5.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Downloads/SFCSaas_ActivitiesCriteria_ENG_2025%20v3_definitivo%20(1).xlsx" TargetMode="External"/><Relationship Id="rId2" Type="http://schemas.openxmlformats.org/officeDocument/2006/relationships/externalLinkPath" Target="file:///C:\Users\jaime.badia\Downloads\SFCSaas_ActivitiesCriteria_ENG_2025%20v3_definitivo%20(1).xlsx" TargetMode="External"/><Relationship Id="rId1" Type="http://schemas.openxmlformats.org/officeDocument/2006/relationships/externalLinkPath" Target="/Users/jaime.badia/Downloads/SFCSaas_ActivitiesCriteria_ENG_2025%20v3_definitivo%20(1).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santandernet.sharepoint.com/sites/GreenFinance-SFCS/Shared%20Documents/General/01_DEFINITION/UOPs%20MASTER/SFICS%202025/GF/T&amp;O/ESG/01.1%20Normativa/01.%20Taxonomia/Objetivos%20EU%20TAXO%20+%20actividades%20(A2).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jaime.badia\Desktop\modif2.SFCSaas_Actividades%20&amp;%20Criterios_ESP_2025%20vf_v3.xlsx" TargetMode="External"/><Relationship Id="rId1" Type="http://schemas.openxmlformats.org/officeDocument/2006/relationships/externalLinkPath" Target="modif2.SFCSaas_Actividades%20&amp;%20Criterios_ESP_2025%20vf_v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https://santandernet.sharepoint.com/sites/GreenFinance-SFCS/Shared%20Documents/General/01.%20Definici&#243;n/Maestros%20UoPs/SFICS%202025/GF/T&amp;O/ESG/01.1%20Normativa/01.%20Taxonomia/Objetivos%20EU%20TAXO%20+%20actividades%20(A2).xlsx" TargetMode="External"/></Relationships>
</file>

<file path=xl/externalLinks/_rels/externalLink5.xml.rels><?xml version="1.0" encoding="UTF-8" standalone="yes"?>
<Relationships xmlns="http://schemas.openxmlformats.org/package/2006/relationships"><Relationship Id="rId3" Type="http://schemas.openxmlformats.org/officeDocument/2006/relationships/externalLinkPath" Target="../Downloads/SFCSaas_Actividades%20&amp;%20Criterios_PT_2025%20vf.%20mofif%203.xlsx" TargetMode="External"/><Relationship Id="rId2" Type="http://schemas.openxmlformats.org/officeDocument/2006/relationships/externalLinkPath" Target="file:///C:\Users\jaime.badia\Downloads\SFCSaas_Actividades%20&amp;%20Criterios_PT_2025%20vf.%20mofif%203.xlsx" TargetMode="External"/><Relationship Id="rId1" Type="http://schemas.openxmlformats.org/officeDocument/2006/relationships/externalLinkPath" Target="/Users/jaime.badia/Downloads/SFCSaas_Actividades%20&amp;%20Criterios_PT_2025%20vf.%20mofif%2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Hoja1"/>
      <sheetName val="Codes &amp; Descr. SFICS24"/>
      <sheetName val="Elegibility Map &amp; Matching"/>
      <sheetName val="Codes &amp; Descr. SFICS25"/>
      <sheetName val="Hoja2"/>
    </sheetNames>
    <sheetDataSet>
      <sheetData sheetId="0"/>
      <sheetData sheetId="1"/>
      <sheetData sheetId="2"/>
      <sheetData sheetId="3">
        <row r="4">
          <cell r="B4" t="str">
            <v>LEVEL 1 DESCRIPTION</v>
          </cell>
          <cell r="C4" t="str">
            <v>LEVEL 1 CODE</v>
          </cell>
          <cell r="D4" t="str">
            <v>LEVEL 2 DESCRIPTION</v>
          </cell>
          <cell r="E4" t="str">
            <v>LEVEL 2 CODE</v>
          </cell>
          <cell r="F4" t="str">
            <v>LEVEL 3 DESCRIPTION</v>
          </cell>
          <cell r="G4" t="str">
            <v>LEVEL  CODE</v>
          </cell>
          <cell r="H4" t="str">
            <v>LEVEL 3 DESCRIPTION + CODE</v>
          </cell>
        </row>
        <row r="5">
          <cell r="B5" t="str">
            <v>Energy</v>
          </cell>
          <cell r="C5">
            <v>21</v>
          </cell>
          <cell r="D5" t="str">
            <v>Renewable energy</v>
          </cell>
          <cell r="E5">
            <v>2101</v>
          </cell>
          <cell r="F5" t="str">
            <v>Solar photovoltaic - Electricity generation</v>
          </cell>
          <cell r="G5">
            <v>210101</v>
          </cell>
          <cell r="H5" t="str">
            <v>A.1.1. Solar photovoltaic - Electricity generation</v>
          </cell>
        </row>
        <row r="6">
          <cell r="B6" t="str">
            <v>Energy</v>
          </cell>
          <cell r="C6">
            <v>21</v>
          </cell>
          <cell r="D6" t="str">
            <v>Renewable energy</v>
          </cell>
          <cell r="E6">
            <v>2101</v>
          </cell>
          <cell r="F6" t="str">
            <v>Concentrated solar power (CSP) - Electricity generation</v>
          </cell>
          <cell r="G6">
            <v>210102</v>
          </cell>
          <cell r="H6" t="str">
            <v>A.1.2. Concentrated solar power (CSP) - Electricity generation</v>
          </cell>
        </row>
        <row r="7">
          <cell r="B7" t="str">
            <v>Energy</v>
          </cell>
          <cell r="C7">
            <v>21</v>
          </cell>
          <cell r="D7" t="str">
            <v>Renewable energy</v>
          </cell>
          <cell r="E7">
            <v>2101</v>
          </cell>
          <cell r="F7" t="str">
            <v>Wind power - Electricity generation</v>
          </cell>
          <cell r="G7">
            <v>210103</v>
          </cell>
          <cell r="H7" t="str">
            <v>A.1.3. Wind power - Electricity generation</v>
          </cell>
        </row>
        <row r="8">
          <cell r="B8" t="str">
            <v>Energy</v>
          </cell>
          <cell r="C8">
            <v>21</v>
          </cell>
          <cell r="D8" t="str">
            <v>Renewable energy</v>
          </cell>
          <cell r="E8">
            <v>2101</v>
          </cell>
          <cell r="F8" t="str">
            <v>Ocean energy technologies - Electricity generation</v>
          </cell>
          <cell r="G8">
            <v>210104</v>
          </cell>
          <cell r="H8" t="str">
            <v>A.1.4. Ocean energy technologies - Electricity generation</v>
          </cell>
        </row>
        <row r="9">
          <cell r="B9" t="str">
            <v>Energy</v>
          </cell>
          <cell r="C9">
            <v>21</v>
          </cell>
          <cell r="D9" t="str">
            <v>Renewable energy</v>
          </cell>
          <cell r="E9">
            <v>2101</v>
          </cell>
          <cell r="F9" t="str">
            <v>Hydropower - Electricity generation</v>
          </cell>
          <cell r="G9">
            <v>210105</v>
          </cell>
          <cell r="H9" t="str">
            <v>A.1.5. Hydropower - Electricity generation</v>
          </cell>
        </row>
        <row r="10">
          <cell r="B10" t="str">
            <v>Energy</v>
          </cell>
          <cell r="C10">
            <v>21</v>
          </cell>
          <cell r="D10" t="str">
            <v>Renewable energy</v>
          </cell>
          <cell r="E10">
            <v>2101</v>
          </cell>
          <cell r="F10" t="str">
            <v>Geothermal energy - Electricity generation</v>
          </cell>
          <cell r="G10">
            <v>210106</v>
          </cell>
          <cell r="H10" t="str">
            <v>A.1.6. Geothermal energy - Electricity generation</v>
          </cell>
        </row>
        <row r="11">
          <cell r="B11" t="str">
            <v>Energy</v>
          </cell>
          <cell r="C11">
            <v>21</v>
          </cell>
          <cell r="D11" t="str">
            <v>Renewable energy</v>
          </cell>
          <cell r="E11">
            <v>2101</v>
          </cell>
          <cell r="F11" t="str">
            <v>Solar energy - Cogeneration heat/cool/power</v>
          </cell>
          <cell r="G11">
            <v>210107</v>
          </cell>
          <cell r="H11" t="str">
            <v>A.1.17 Solar energy - Cogeneration heat/cool/power</v>
          </cell>
        </row>
        <row r="12">
          <cell r="B12" t="str">
            <v>Energy</v>
          </cell>
          <cell r="C12">
            <v>21</v>
          </cell>
          <cell r="D12" t="str">
            <v>Renewable energy</v>
          </cell>
          <cell r="E12">
            <v>2101</v>
          </cell>
          <cell r="F12" t="str">
            <v>Geothermal energy - Cogeneration heat/cool/power</v>
          </cell>
          <cell r="G12">
            <v>210108</v>
          </cell>
          <cell r="H12" t="str">
            <v>A.1.18 Geothermal energy - Cogeneration heat/cool/power</v>
          </cell>
        </row>
        <row r="13">
          <cell r="B13" t="str">
            <v>Energy</v>
          </cell>
          <cell r="C13">
            <v>21</v>
          </cell>
          <cell r="D13" t="str">
            <v>Renewable energy</v>
          </cell>
          <cell r="E13">
            <v>2101</v>
          </cell>
          <cell r="F13" t="str">
            <v>Solar thermal - Production of heat/cool</v>
          </cell>
          <cell r="G13">
            <v>210109</v>
          </cell>
          <cell r="H13" t="str">
            <v>A.1.21 Solar thermal - Production of heat/cool</v>
          </cell>
        </row>
        <row r="14">
          <cell r="B14" t="str">
            <v>Energy</v>
          </cell>
          <cell r="C14">
            <v>21</v>
          </cell>
          <cell r="D14" t="str">
            <v>Renewable energy</v>
          </cell>
          <cell r="E14">
            <v>2101</v>
          </cell>
          <cell r="F14" t="str">
            <v>Geothermal energy - Production of heat/cool</v>
          </cell>
          <cell r="G14">
            <v>210110</v>
          </cell>
          <cell r="H14" t="str">
            <v>A.1.22 Geothermal energy - Production of heat/cool</v>
          </cell>
        </row>
        <row r="15">
          <cell r="B15" t="str">
            <v>Energy</v>
          </cell>
          <cell r="C15">
            <v>21</v>
          </cell>
          <cell r="D15" t="str">
            <v>Renewable fuels, bioenergy and waste heat</v>
          </cell>
          <cell r="E15">
            <v>2102</v>
          </cell>
          <cell r="F15" t="str">
            <v>Renewable fuels- Electricity generation</v>
          </cell>
          <cell r="G15">
            <v>210201</v>
          </cell>
          <cell r="H15" t="str">
            <v>A.1.7. Renewable fuels- Electricity generation</v>
          </cell>
        </row>
        <row r="16">
          <cell r="B16" t="str">
            <v>Energy</v>
          </cell>
          <cell r="C16">
            <v>21</v>
          </cell>
          <cell r="D16" t="str">
            <v>Renewable fuels, bioenergy and waste heat</v>
          </cell>
          <cell r="E16">
            <v>2102</v>
          </cell>
          <cell r="F16" t="str">
            <v>Bioenergy - Electricity generation</v>
          </cell>
          <cell r="G16">
            <v>210202</v>
          </cell>
          <cell r="H16" t="str">
            <v>A.1.8. Bioenergy - Electricity generation</v>
          </cell>
        </row>
        <row r="17">
          <cell r="B17" t="str">
            <v>Energy</v>
          </cell>
          <cell r="C17">
            <v>21</v>
          </cell>
          <cell r="D17" t="str">
            <v>Renewable fuels, bioenergy and waste heat</v>
          </cell>
          <cell r="E17">
            <v>2102</v>
          </cell>
          <cell r="F17" t="str">
            <v>Manufacture Biogas/Biofuels for transport</v>
          </cell>
          <cell r="G17">
            <v>210203</v>
          </cell>
          <cell r="H17" t="str">
            <v>A.1.13 Manufacture Biogas/Biofuels for transport</v>
          </cell>
        </row>
        <row r="18">
          <cell r="B18" t="str">
            <v>Energy</v>
          </cell>
          <cell r="C18">
            <v>21</v>
          </cell>
          <cell r="D18" t="str">
            <v>Renewable fuels, bioenergy and waste heat</v>
          </cell>
          <cell r="E18">
            <v>2102</v>
          </cell>
          <cell r="F18" t="str">
            <v>Renewable fuels - Cogeneration heat/cool/power</v>
          </cell>
          <cell r="G18">
            <v>210204</v>
          </cell>
          <cell r="H18" t="str">
            <v>A.1.19 Renewable fuels - Cogeneration heat/cool/power</v>
          </cell>
        </row>
        <row r="19">
          <cell r="B19" t="str">
            <v>Energy</v>
          </cell>
          <cell r="C19">
            <v>21</v>
          </cell>
          <cell r="D19" t="str">
            <v>Renewable fuels, bioenergy and waste heat</v>
          </cell>
          <cell r="E19">
            <v>2102</v>
          </cell>
          <cell r="F19" t="str">
            <v>Bioenergy - Cogeneration heat/cool/power</v>
          </cell>
          <cell r="G19">
            <v>210205</v>
          </cell>
          <cell r="H19" t="str">
            <v>A.1.20 Bioenergy - Cogeneration heat/cool/power</v>
          </cell>
        </row>
        <row r="20">
          <cell r="B20" t="str">
            <v>Energy</v>
          </cell>
          <cell r="C20">
            <v>21</v>
          </cell>
          <cell r="D20" t="str">
            <v>Renewable fuels, bioenergy and waste heat</v>
          </cell>
          <cell r="E20">
            <v>2102</v>
          </cell>
          <cell r="F20" t="str">
            <v>Renewable fuels - Production of heat/cool</v>
          </cell>
          <cell r="G20">
            <v>210206</v>
          </cell>
          <cell r="H20" t="str">
            <v>A.1.23 Renewable fuels - Production of heat/cool</v>
          </cell>
        </row>
        <row r="21">
          <cell r="B21" t="str">
            <v>Energy</v>
          </cell>
          <cell r="C21">
            <v>21</v>
          </cell>
          <cell r="D21" t="str">
            <v>Renewable fuels, bioenergy and waste heat</v>
          </cell>
          <cell r="E21">
            <v>2102</v>
          </cell>
          <cell r="F21" t="str">
            <v>Bioenergy - Production of heat/cool</v>
          </cell>
          <cell r="G21">
            <v>210207</v>
          </cell>
          <cell r="H21" t="str">
            <v>A.1.24 Bioenergy - Production of heat/cool</v>
          </cell>
        </row>
        <row r="22">
          <cell r="B22" t="str">
            <v>Energy</v>
          </cell>
          <cell r="C22">
            <v>21</v>
          </cell>
          <cell r="D22" t="str">
            <v>Renewable fuels, bioenergy and waste heat</v>
          </cell>
          <cell r="E22">
            <v>2102</v>
          </cell>
          <cell r="F22" t="str">
            <v>Waste heat - Production of heat/cool</v>
          </cell>
          <cell r="G22">
            <v>210208</v>
          </cell>
          <cell r="H22" t="str">
            <v>A.1.25 Waste heat - Production of heat/cool</v>
          </cell>
        </row>
        <row r="23">
          <cell r="B23" t="str">
            <v>Energy</v>
          </cell>
          <cell r="C23">
            <v>21</v>
          </cell>
          <cell r="D23" t="str">
            <v>Transmission and distribution</v>
          </cell>
          <cell r="E23">
            <v>2104</v>
          </cell>
          <cell r="F23" t="str">
            <v>Transmission and distribution of electricity</v>
          </cell>
          <cell r="G23">
            <v>210419</v>
          </cell>
          <cell r="H23" t="str">
            <v>A.1.9. Transmission and distribution of electricity</v>
          </cell>
        </row>
        <row r="24">
          <cell r="B24" t="str">
            <v>Energy</v>
          </cell>
          <cell r="C24">
            <v>21</v>
          </cell>
          <cell r="D24" t="str">
            <v>Transmission and distribution</v>
          </cell>
          <cell r="E24">
            <v>2104</v>
          </cell>
          <cell r="F24" t="str">
            <v>Networks for renewable/low-carbon gases</v>
          </cell>
          <cell r="G24">
            <v>210420</v>
          </cell>
          <cell r="H24" t="str">
            <v>A.1.14 Networks for renewable/low-carbon gases</v>
          </cell>
        </row>
        <row r="25">
          <cell r="B25" t="str">
            <v>Energy</v>
          </cell>
          <cell r="C25">
            <v>21</v>
          </cell>
          <cell r="D25" t="str">
            <v>Transmission and distribution</v>
          </cell>
          <cell r="E25">
            <v>2104</v>
          </cell>
          <cell r="F25" t="str">
            <v>District heating/cooling distribution</v>
          </cell>
          <cell r="G25">
            <v>210421</v>
          </cell>
          <cell r="H25" t="str">
            <v>A.1.15 District heating/cooling distribution</v>
          </cell>
        </row>
        <row r="26">
          <cell r="B26" t="str">
            <v>Energy</v>
          </cell>
          <cell r="C26">
            <v>21</v>
          </cell>
          <cell r="D26" t="str">
            <v>Storage</v>
          </cell>
          <cell r="E26">
            <v>2106</v>
          </cell>
          <cell r="F26" t="str">
            <v>Electricity</v>
          </cell>
          <cell r="G26">
            <v>210601</v>
          </cell>
          <cell r="H26" t="str">
            <v>A.1.10 Electricity</v>
          </cell>
        </row>
        <row r="27">
          <cell r="B27" t="str">
            <v>Energy</v>
          </cell>
          <cell r="C27">
            <v>21</v>
          </cell>
          <cell r="D27" t="str">
            <v>Storage</v>
          </cell>
          <cell r="E27">
            <v>2106</v>
          </cell>
          <cell r="F27" t="str">
            <v>Thermal energy</v>
          </cell>
          <cell r="G27">
            <v>210602</v>
          </cell>
          <cell r="H27" t="str">
            <v>A.1.11 Thermal energy</v>
          </cell>
        </row>
        <row r="28">
          <cell r="B28" t="str">
            <v>Energy</v>
          </cell>
          <cell r="C28">
            <v>21</v>
          </cell>
          <cell r="D28" t="str">
            <v>Storage</v>
          </cell>
          <cell r="E28">
            <v>2106</v>
          </cell>
          <cell r="F28" t="str">
            <v>Hydrogen</v>
          </cell>
          <cell r="G28">
            <v>210603</v>
          </cell>
          <cell r="H28" t="str">
            <v>A.1.12 Hydrogen</v>
          </cell>
        </row>
        <row r="29">
          <cell r="B29" t="str">
            <v>Energy</v>
          </cell>
          <cell r="C29">
            <v>21</v>
          </cell>
          <cell r="D29" t="str">
            <v>Electric heat pumps installation and operation</v>
          </cell>
          <cell r="E29">
            <v>2105</v>
          </cell>
          <cell r="F29" t="str">
            <v>Electric heat pumps installation and operation</v>
          </cell>
          <cell r="G29">
            <v>210501</v>
          </cell>
          <cell r="H29" t="str">
            <v>A.1.16 Electric heat pumps installation and operation</v>
          </cell>
        </row>
        <row r="30">
          <cell r="B30" t="str">
            <v>Energy</v>
          </cell>
          <cell r="C30">
            <v>21</v>
          </cell>
          <cell r="D30" t="str">
            <v>Nuclear &amp; Fossil gaseous fuels</v>
          </cell>
          <cell r="E30">
            <v>2103</v>
          </cell>
          <cell r="F30" t="str">
            <v>Nuclear power - Produce energy with minimal waste</v>
          </cell>
          <cell r="G30">
            <v>210301</v>
          </cell>
          <cell r="H30" t="str">
            <v>A.1.26 Nuclear power - Produce energy with minimal waste</v>
          </cell>
        </row>
        <row r="31">
          <cell r="B31" t="str">
            <v>Energy</v>
          </cell>
          <cell r="C31">
            <v>21</v>
          </cell>
          <cell r="D31" t="str">
            <v>Nuclear &amp; Fossil gaseous fuels</v>
          </cell>
          <cell r="E31">
            <v>2103</v>
          </cell>
          <cell r="F31" t="str">
            <v>Nuclear power - Construction / safe operation</v>
          </cell>
          <cell r="G31">
            <v>210302</v>
          </cell>
          <cell r="H31" t="str">
            <v>A.1.27 Nuclear power - Construction / safe operation</v>
          </cell>
        </row>
        <row r="32">
          <cell r="B32" t="str">
            <v>Energy</v>
          </cell>
          <cell r="C32">
            <v>21</v>
          </cell>
          <cell r="D32" t="str">
            <v>Nuclear &amp; Fossil gaseous fuels</v>
          </cell>
          <cell r="E32">
            <v>2103</v>
          </cell>
          <cell r="F32" t="str">
            <v>Nuclear power - Electricity generation</v>
          </cell>
          <cell r="G32">
            <v>210303</v>
          </cell>
          <cell r="H32" t="str">
            <v>A.1.28 Nuclear power - Electricity generation</v>
          </cell>
        </row>
        <row r="33">
          <cell r="B33" t="str">
            <v>Energy</v>
          </cell>
          <cell r="C33">
            <v>21</v>
          </cell>
          <cell r="D33" t="str">
            <v>Nuclear &amp; Fossil gaseous fuels</v>
          </cell>
          <cell r="E33">
            <v>2103</v>
          </cell>
          <cell r="F33" t="str">
            <v>Fossil gaseous fuels - Electricity generation</v>
          </cell>
          <cell r="G33">
            <v>210304</v>
          </cell>
          <cell r="H33" t="str">
            <v>A.1.29 Fossil gaseous fuels - Electricity generation</v>
          </cell>
        </row>
        <row r="34">
          <cell r="B34" t="str">
            <v>Energy</v>
          </cell>
          <cell r="C34">
            <v>21</v>
          </cell>
          <cell r="D34" t="str">
            <v>Nuclear &amp; Fossil gaseous fuels</v>
          </cell>
          <cell r="E34">
            <v>2103</v>
          </cell>
          <cell r="F34" t="str">
            <v>Fossil gaseous fuels - Production of heat/cool</v>
          </cell>
          <cell r="G34">
            <v>210305</v>
          </cell>
          <cell r="H34" t="str">
            <v>A.1.30 Fossil gaseous fuels - Production of heat/cool</v>
          </cell>
        </row>
        <row r="35">
          <cell r="B35" t="str">
            <v>Energy</v>
          </cell>
          <cell r="C35">
            <v>21</v>
          </cell>
          <cell r="D35" t="str">
            <v>Nuclear &amp; Fossil gaseous fuels</v>
          </cell>
          <cell r="E35">
            <v>2103</v>
          </cell>
          <cell r="F35" t="str">
            <v>Fossil gaseous fuels - Co-generation of heat/cool and power</v>
          </cell>
          <cell r="G35">
            <v>210306</v>
          </cell>
          <cell r="H35" t="str">
            <v>A.1.31 Fossil gaseous fuels - Co-generation of heat/cool and power</v>
          </cell>
        </row>
        <row r="36">
          <cell r="B36" t="str">
            <v>Energy</v>
          </cell>
          <cell r="C36">
            <v>21</v>
          </cell>
          <cell r="D36" t="str">
            <v xml:space="preserve">Renewable Energy Procurement </v>
          </cell>
          <cell r="E36">
            <v>2107</v>
          </cell>
          <cell r="F36" t="str">
            <v xml:space="preserve">Renewable Energy Procurement </v>
          </cell>
          <cell r="G36">
            <v>210701</v>
          </cell>
          <cell r="H36" t="str">
            <v xml:space="preserve">A.1.32 Renewable Energy Procurement </v>
          </cell>
        </row>
        <row r="37">
          <cell r="B37" t="str">
            <v>Transport</v>
          </cell>
          <cell r="C37">
            <v>22</v>
          </cell>
          <cell r="D37" t="str">
            <v>Ground transport</v>
          </cell>
          <cell r="E37">
            <v>2201</v>
          </cell>
          <cell r="F37" t="str">
            <v>Passenger interurban rail transport</v>
          </cell>
          <cell r="G37">
            <v>220101</v>
          </cell>
          <cell r="H37" t="str">
            <v>A.2.1. Passenger interurban rail transport</v>
          </cell>
        </row>
        <row r="38">
          <cell r="B38" t="str">
            <v>Transport</v>
          </cell>
          <cell r="C38">
            <v>22</v>
          </cell>
          <cell r="D38" t="str">
            <v>Ground transport</v>
          </cell>
          <cell r="E38">
            <v>2201</v>
          </cell>
          <cell r="F38" t="str">
            <v>Freight rail transport</v>
          </cell>
          <cell r="G38">
            <v>220102</v>
          </cell>
          <cell r="H38" t="str">
            <v>A.2.2. Freight rail transport</v>
          </cell>
        </row>
        <row r="39">
          <cell r="B39" t="str">
            <v>Transport</v>
          </cell>
          <cell r="C39">
            <v>22</v>
          </cell>
          <cell r="D39" t="str">
            <v>Ground transport</v>
          </cell>
          <cell r="E39">
            <v>2201</v>
          </cell>
          <cell r="F39" t="str">
            <v>Urban and suburban transport, road passenger transport</v>
          </cell>
          <cell r="G39">
            <v>220103</v>
          </cell>
          <cell r="H39" t="str">
            <v>A.2.3. Urban and suburban transport, road passenger transport</v>
          </cell>
        </row>
        <row r="40">
          <cell r="B40" t="str">
            <v>Transport</v>
          </cell>
          <cell r="C40">
            <v>22</v>
          </cell>
          <cell r="D40" t="str">
            <v>Ground transport</v>
          </cell>
          <cell r="E40">
            <v>2201</v>
          </cell>
          <cell r="F40" t="str">
            <v>Personal mobility devices, cycle logistics</v>
          </cell>
          <cell r="G40">
            <v>220104</v>
          </cell>
          <cell r="H40" t="str">
            <v>A.2.4. Personal mobility devices, cycle logistics</v>
          </cell>
        </row>
        <row r="41">
          <cell r="B41" t="str">
            <v>Transport</v>
          </cell>
          <cell r="C41">
            <v>22</v>
          </cell>
          <cell r="D41" t="str">
            <v>Ground transport</v>
          </cell>
          <cell r="E41">
            <v>2201</v>
          </cell>
          <cell r="F41" t="str">
            <v>Motorbikes, passenger cars and light commercial vehicles</v>
          </cell>
          <cell r="G41">
            <v>220105</v>
          </cell>
          <cell r="H41" t="str">
            <v>A.2.5. Motorbikes, passenger cars and light commercial vehicles</v>
          </cell>
        </row>
        <row r="42">
          <cell r="B42" t="str">
            <v>Transport</v>
          </cell>
          <cell r="C42">
            <v>22</v>
          </cell>
          <cell r="D42" t="str">
            <v>Ground transport</v>
          </cell>
          <cell r="E42">
            <v>2201</v>
          </cell>
          <cell r="F42" t="str">
            <v>Freight road transport</v>
          </cell>
          <cell r="G42">
            <v>220106</v>
          </cell>
          <cell r="H42" t="str">
            <v>A.2.6. Freight road transport</v>
          </cell>
        </row>
        <row r="43">
          <cell r="B43" t="str">
            <v>Transport</v>
          </cell>
          <cell r="C43">
            <v>22</v>
          </cell>
          <cell r="D43" t="str">
            <v>Water transport</v>
          </cell>
          <cell r="E43">
            <v>2202</v>
          </cell>
          <cell r="F43" t="str">
            <v>Inland passenger transport</v>
          </cell>
          <cell r="G43">
            <v>220201</v>
          </cell>
          <cell r="H43" t="str">
            <v>A.2.7. Inland passenger transport</v>
          </cell>
        </row>
        <row r="44">
          <cell r="B44" t="str">
            <v>Transport</v>
          </cell>
          <cell r="C44">
            <v>22</v>
          </cell>
          <cell r="D44" t="str">
            <v>Water transport</v>
          </cell>
          <cell r="E44">
            <v>2202</v>
          </cell>
          <cell r="F44" t="str">
            <v>Inland freight transport</v>
          </cell>
          <cell r="G44">
            <v>220202</v>
          </cell>
          <cell r="H44" t="str">
            <v>A.2.8. Inland freight transport</v>
          </cell>
        </row>
        <row r="45">
          <cell r="B45" t="str">
            <v>Transport</v>
          </cell>
          <cell r="C45">
            <v>22</v>
          </cell>
          <cell r="D45" t="str">
            <v>Water transport</v>
          </cell>
          <cell r="E45">
            <v>2202</v>
          </cell>
          <cell r="F45" t="str">
            <v>Retrofitting of inland transport</v>
          </cell>
          <cell r="G45">
            <v>220203</v>
          </cell>
          <cell r="H45" t="str">
            <v>A.2.9. Retrofitting of inland transport</v>
          </cell>
        </row>
        <row r="46">
          <cell r="B46" t="str">
            <v>Transport</v>
          </cell>
          <cell r="C46">
            <v>22</v>
          </cell>
          <cell r="D46" t="str">
            <v>Water transport</v>
          </cell>
          <cell r="E46">
            <v>2202</v>
          </cell>
          <cell r="F46" t="str">
            <v>Sea and coastal freight transport, vessels for port operations and auxiliary activities</v>
          </cell>
          <cell r="G46">
            <v>220204</v>
          </cell>
          <cell r="H46" t="str">
            <v>A.2.10 Sea and coastal freight transport, vessels for port operations and auxiliary activities</v>
          </cell>
        </row>
        <row r="47">
          <cell r="B47" t="str">
            <v>Transport</v>
          </cell>
          <cell r="C47">
            <v>22</v>
          </cell>
          <cell r="D47" t="str">
            <v>Water transport</v>
          </cell>
          <cell r="E47">
            <v>2202</v>
          </cell>
          <cell r="F47" t="str">
            <v>Sea and coastal passenger transport</v>
          </cell>
          <cell r="G47">
            <v>220205</v>
          </cell>
          <cell r="H47" t="str">
            <v>A.2.11 Sea and coastal passenger transport</v>
          </cell>
        </row>
        <row r="48">
          <cell r="B48" t="str">
            <v>Transport</v>
          </cell>
          <cell r="C48">
            <v>22</v>
          </cell>
          <cell r="D48" t="str">
            <v>Water transport</v>
          </cell>
          <cell r="E48">
            <v>2202</v>
          </cell>
          <cell r="F48" t="str">
            <v>Retrofitting of sea and coastal freight and passenger transport</v>
          </cell>
          <cell r="G48">
            <v>220206</v>
          </cell>
          <cell r="H48" t="str">
            <v>A.2.12 Retrofitting of sea and coastal freight and passenger transport</v>
          </cell>
        </row>
        <row r="49">
          <cell r="B49" t="str">
            <v>Transport</v>
          </cell>
          <cell r="C49">
            <v>22</v>
          </cell>
          <cell r="D49" t="str">
            <v>Air transport</v>
          </cell>
          <cell r="E49">
            <v>2203</v>
          </cell>
          <cell r="F49" t="str">
            <v>Leasing of aircraft</v>
          </cell>
          <cell r="G49">
            <v>220301</v>
          </cell>
          <cell r="H49" t="str">
            <v>A.2.18 Leasing of aircraft</v>
          </cell>
        </row>
        <row r="50">
          <cell r="B50" t="str">
            <v>Transport</v>
          </cell>
          <cell r="C50">
            <v>22</v>
          </cell>
          <cell r="D50" t="str">
            <v>Air transport</v>
          </cell>
          <cell r="E50">
            <v>2203</v>
          </cell>
          <cell r="F50" t="str">
            <v>Passenger and freight air transport</v>
          </cell>
          <cell r="G50">
            <v>220302</v>
          </cell>
          <cell r="H50" t="str">
            <v>A.2.19 Passenger and freight air transport</v>
          </cell>
        </row>
        <row r="51">
          <cell r="B51" t="str">
            <v>Transport</v>
          </cell>
          <cell r="C51">
            <v>22</v>
          </cell>
          <cell r="D51" t="str">
            <v>Air transport</v>
          </cell>
          <cell r="E51">
            <v>2203</v>
          </cell>
          <cell r="F51" t="str">
            <v>Air transport ground handling operations</v>
          </cell>
          <cell r="G51">
            <v>220303</v>
          </cell>
          <cell r="H51" t="str">
            <v>A.2.20 Air transport ground handling operations</v>
          </cell>
        </row>
        <row r="52">
          <cell r="B52" t="str">
            <v>Transport</v>
          </cell>
          <cell r="C52">
            <v>22</v>
          </cell>
          <cell r="D52" t="str">
            <v>Infrastructure</v>
          </cell>
          <cell r="E52">
            <v>2204</v>
          </cell>
          <cell r="F52" t="str">
            <v>Personal mobility, cycle logistics</v>
          </cell>
          <cell r="G52">
            <v>220401</v>
          </cell>
          <cell r="H52" t="str">
            <v>A.2.13 Personal mobility, cycle logistics</v>
          </cell>
        </row>
        <row r="53">
          <cell r="B53" t="str">
            <v>Transport</v>
          </cell>
          <cell r="C53">
            <v>22</v>
          </cell>
          <cell r="D53" t="str">
            <v>Infrastructure</v>
          </cell>
          <cell r="E53">
            <v>2204</v>
          </cell>
          <cell r="F53" t="str">
            <v>Road transport and public transport</v>
          </cell>
          <cell r="G53">
            <v>220402</v>
          </cell>
          <cell r="H53" t="str">
            <v>A.2.15 Road transport and public transport</v>
          </cell>
        </row>
        <row r="54">
          <cell r="B54" t="str">
            <v>Transport</v>
          </cell>
          <cell r="C54">
            <v>22</v>
          </cell>
          <cell r="D54" t="str">
            <v>Infrastructure</v>
          </cell>
          <cell r="E54">
            <v>2204</v>
          </cell>
          <cell r="F54" t="str">
            <v>Water transport</v>
          </cell>
          <cell r="G54">
            <v>220403</v>
          </cell>
          <cell r="H54" t="str">
            <v>A.2.16 Water transport</v>
          </cell>
        </row>
        <row r="55">
          <cell r="B55" t="str">
            <v>Transport</v>
          </cell>
          <cell r="C55">
            <v>22</v>
          </cell>
          <cell r="D55" t="str">
            <v>Infrastructure</v>
          </cell>
          <cell r="E55">
            <v>2204</v>
          </cell>
          <cell r="F55" t="str">
            <v>Airport</v>
          </cell>
          <cell r="G55">
            <v>220404</v>
          </cell>
          <cell r="H55" t="str">
            <v>A.2.17 Airport</v>
          </cell>
        </row>
        <row r="56">
          <cell r="B56" t="str">
            <v>Transport</v>
          </cell>
          <cell r="C56">
            <v>22</v>
          </cell>
          <cell r="D56" t="str">
            <v>Infrastructure</v>
          </cell>
          <cell r="E56">
            <v>2204</v>
          </cell>
          <cell r="F56" t="str">
            <v>Rail transport</v>
          </cell>
          <cell r="G56">
            <v>220405</v>
          </cell>
          <cell r="H56" t="str">
            <v>A.2.14 Rail transport</v>
          </cell>
        </row>
        <row r="57">
          <cell r="B57" t="str">
            <v>Transport</v>
          </cell>
          <cell r="C57">
            <v>22</v>
          </cell>
          <cell r="D57" t="str">
            <v>Hydrogen powered-vehicles</v>
          </cell>
          <cell r="E57">
            <v>2205</v>
          </cell>
          <cell r="F57" t="str">
            <v>Hydrogen powered-vehicles</v>
          </cell>
          <cell r="G57">
            <v>220501</v>
          </cell>
          <cell r="H57" t="str">
            <v>A.2.21 Hydrogen powered-vehicles</v>
          </cell>
        </row>
        <row r="58">
          <cell r="B58" t="str">
            <v>Construction and Real Estate</v>
          </cell>
          <cell r="C58">
            <v>23</v>
          </cell>
          <cell r="D58" t="str">
            <v>Construction of new buildings</v>
          </cell>
          <cell r="E58">
            <v>2301</v>
          </cell>
          <cell r="F58" t="str">
            <v>Spain - Construction of residential buildings</v>
          </cell>
          <cell r="G58">
            <v>230102</v>
          </cell>
          <cell r="H58" t="str">
            <v>A.3.1. Spain - Construction of residential buildings</v>
          </cell>
        </row>
        <row r="59">
          <cell r="B59" t="str">
            <v>Construction and Real Estate</v>
          </cell>
          <cell r="C59">
            <v>23</v>
          </cell>
          <cell r="D59" t="str">
            <v>Construction of new buildings</v>
          </cell>
          <cell r="E59">
            <v>2301</v>
          </cell>
          <cell r="F59" t="str">
            <v>Spain - Construction of commercial buildings</v>
          </cell>
          <cell r="G59">
            <v>230103</v>
          </cell>
          <cell r="H59" t="str">
            <v>A.3.1. Spain - Construction of commercial buildings</v>
          </cell>
        </row>
        <row r="60">
          <cell r="B60" t="str">
            <v>Construction and Real Estate</v>
          </cell>
          <cell r="C60">
            <v>23</v>
          </cell>
          <cell r="D60" t="str">
            <v>Construction of new buildings</v>
          </cell>
          <cell r="E60">
            <v>2301</v>
          </cell>
          <cell r="F60" t="str">
            <v>Portugal - Construction of residential buildings</v>
          </cell>
          <cell r="G60">
            <v>230104</v>
          </cell>
          <cell r="H60" t="str">
            <v>A.3.1. Portugal - Construction of residential buildings</v>
          </cell>
        </row>
        <row r="61">
          <cell r="B61" t="str">
            <v>Construction and Real Estate</v>
          </cell>
          <cell r="C61">
            <v>23</v>
          </cell>
          <cell r="D61" t="str">
            <v>Construction of new buildings</v>
          </cell>
          <cell r="E61">
            <v>2301</v>
          </cell>
          <cell r="F61" t="str">
            <v>Portugal - Construction of commercial buildings</v>
          </cell>
          <cell r="G61">
            <v>230105</v>
          </cell>
          <cell r="H61" t="str">
            <v>A.3.1. Portugal - Construction of commercial buildings</v>
          </cell>
        </row>
        <row r="62">
          <cell r="B62" t="str">
            <v>Construction and Real Estate</v>
          </cell>
          <cell r="C62">
            <v>23</v>
          </cell>
          <cell r="D62" t="str">
            <v>Construction of new buildings</v>
          </cell>
          <cell r="E62">
            <v>2301</v>
          </cell>
          <cell r="F62" t="str">
            <v>Poland - Construction of residential buildings</v>
          </cell>
          <cell r="G62">
            <v>230106</v>
          </cell>
          <cell r="H62" t="str">
            <v>A.3.1. Poland - Construction of residential buildings</v>
          </cell>
        </row>
        <row r="63">
          <cell r="B63" t="str">
            <v>Construction and Real Estate</v>
          </cell>
          <cell r="C63">
            <v>23</v>
          </cell>
          <cell r="D63" t="str">
            <v>Construction of new buildings</v>
          </cell>
          <cell r="E63">
            <v>2301</v>
          </cell>
          <cell r="F63" t="str">
            <v>Poland - Construction of commercial buildings</v>
          </cell>
          <cell r="G63">
            <v>230107</v>
          </cell>
          <cell r="H63" t="str">
            <v>A.3.1. Poland - Construction of commercial buildings</v>
          </cell>
        </row>
        <row r="64">
          <cell r="B64" t="str">
            <v>Construction and Real Estate</v>
          </cell>
          <cell r="C64">
            <v>23</v>
          </cell>
          <cell r="D64" t="str">
            <v>Construction of new buildings</v>
          </cell>
          <cell r="E64">
            <v>2301</v>
          </cell>
          <cell r="F64" t="str">
            <v>UK- Construction of residential buildings</v>
          </cell>
          <cell r="G64">
            <v>230108</v>
          </cell>
          <cell r="H64" t="str">
            <v>A.3.1. UK- Construction of residential buildings</v>
          </cell>
        </row>
        <row r="65">
          <cell r="B65" t="str">
            <v>Construction and Real Estate</v>
          </cell>
          <cell r="C65">
            <v>23</v>
          </cell>
          <cell r="D65" t="str">
            <v>Construction of new buildings</v>
          </cell>
          <cell r="E65">
            <v>2301</v>
          </cell>
          <cell r="F65" t="str">
            <v>Rest of countries - Construction of residential buildings</v>
          </cell>
          <cell r="G65">
            <v>230109</v>
          </cell>
          <cell r="H65" t="str">
            <v>A.3.1. Rest of countries - Construction of residential buildings</v>
          </cell>
        </row>
        <row r="66">
          <cell r="B66" t="str">
            <v>Construction and Real Estate</v>
          </cell>
          <cell r="C66">
            <v>23</v>
          </cell>
          <cell r="D66" t="str">
            <v>Construction of new buildings</v>
          </cell>
          <cell r="E66">
            <v>2301</v>
          </cell>
          <cell r="F66" t="str">
            <v>Rest of countries &amp; UK- Construction of commercial buildings</v>
          </cell>
          <cell r="G66">
            <v>230110</v>
          </cell>
          <cell r="H66" t="str">
            <v>A.3.1. Rest of countries &amp; UK- Construction of commercial buildings</v>
          </cell>
        </row>
        <row r="67">
          <cell r="B67" t="str">
            <v>Construction and Real Estate</v>
          </cell>
          <cell r="C67">
            <v>23</v>
          </cell>
          <cell r="D67" t="str">
            <v>A.3.2. Renovation of existing Buildings</v>
          </cell>
          <cell r="E67">
            <v>2302</v>
          </cell>
          <cell r="F67" t="str">
            <v>N/A</v>
          </cell>
          <cell r="G67" t="str">
            <v>-</v>
          </cell>
          <cell r="H67" t="str">
            <v>N/A</v>
          </cell>
        </row>
        <row r="68">
          <cell r="B68" t="str">
            <v>Construction and Real Estate</v>
          </cell>
          <cell r="C68">
            <v>23</v>
          </cell>
          <cell r="D68" t="str">
            <v>Acquisition and ownership</v>
          </cell>
          <cell r="E68">
            <v>2304</v>
          </cell>
          <cell r="F68" t="str">
            <v xml:space="preserve">Spain - Acquisition of residential buildings </v>
          </cell>
          <cell r="G68">
            <v>230401</v>
          </cell>
          <cell r="H68" t="str">
            <v xml:space="preserve">A.3.7. Spain - Acquisition of residential buildings </v>
          </cell>
        </row>
        <row r="69">
          <cell r="B69" t="str">
            <v>Construction and Real Estate</v>
          </cell>
          <cell r="C69">
            <v>23</v>
          </cell>
          <cell r="D69" t="str">
            <v>Acquisition and ownership</v>
          </cell>
          <cell r="E69">
            <v>2304</v>
          </cell>
          <cell r="F69" t="str">
            <v xml:space="preserve">Spain - Acquisition of commercial buildings </v>
          </cell>
          <cell r="G69">
            <v>230402</v>
          </cell>
          <cell r="H69" t="str">
            <v xml:space="preserve">A.3.7. Spain - Acquisition of commercial buildings </v>
          </cell>
        </row>
        <row r="70">
          <cell r="B70" t="str">
            <v>Construction and Real Estate</v>
          </cell>
          <cell r="C70">
            <v>23</v>
          </cell>
          <cell r="D70" t="str">
            <v>Acquisition and ownership</v>
          </cell>
          <cell r="E70">
            <v>2304</v>
          </cell>
          <cell r="F70" t="str">
            <v xml:space="preserve">Portugal - Acquisition of residential buildings </v>
          </cell>
          <cell r="G70">
            <v>230403</v>
          </cell>
          <cell r="H70" t="str">
            <v xml:space="preserve">A.3.7. Portugal - Acquisition of residential buildings </v>
          </cell>
        </row>
        <row r="71">
          <cell r="B71" t="str">
            <v>Construction and Real Estate</v>
          </cell>
          <cell r="C71">
            <v>23</v>
          </cell>
          <cell r="D71" t="str">
            <v>Acquisition and ownership</v>
          </cell>
          <cell r="E71">
            <v>2304</v>
          </cell>
          <cell r="F71" t="str">
            <v xml:space="preserve">Portugal - Acquisition of commercial buildings </v>
          </cell>
          <cell r="G71">
            <v>230404</v>
          </cell>
          <cell r="H71" t="str">
            <v xml:space="preserve">A.3.7. Portugal - Acquisition of commercial buildings </v>
          </cell>
        </row>
        <row r="72">
          <cell r="B72" t="str">
            <v>Construction and Real Estate</v>
          </cell>
          <cell r="C72">
            <v>23</v>
          </cell>
          <cell r="D72" t="str">
            <v>Acquisition and ownership</v>
          </cell>
          <cell r="E72">
            <v>2304</v>
          </cell>
          <cell r="F72" t="str">
            <v>Poland – Acquisition of residential buildings</v>
          </cell>
          <cell r="G72">
            <v>230405</v>
          </cell>
          <cell r="H72" t="str">
            <v xml:space="preserve"> A.3.7 Poland – Acquisition of residential buildings</v>
          </cell>
        </row>
        <row r="73">
          <cell r="B73" t="str">
            <v>Construction and Real Estate</v>
          </cell>
          <cell r="C73">
            <v>23</v>
          </cell>
          <cell r="D73" t="str">
            <v>Acquisition and ownership</v>
          </cell>
          <cell r="E73">
            <v>2304</v>
          </cell>
          <cell r="F73" t="str">
            <v xml:space="preserve">Poland - Acquisition of commercial buildings </v>
          </cell>
          <cell r="G73">
            <v>230406</v>
          </cell>
          <cell r="H73" t="str">
            <v xml:space="preserve"> A.3.7 Poland - Acquisition of commercial buildings </v>
          </cell>
        </row>
        <row r="74">
          <cell r="B74" t="str">
            <v>Construction and Real Estate</v>
          </cell>
          <cell r="C74">
            <v>23</v>
          </cell>
          <cell r="D74" t="str">
            <v>Acquisition and ownership</v>
          </cell>
          <cell r="E74">
            <v>2304</v>
          </cell>
          <cell r="F74" t="str">
            <v>UK – Acquisition of residential buildings</v>
          </cell>
          <cell r="G74">
            <v>230407</v>
          </cell>
          <cell r="H74" t="str">
            <v>A.3.7. UK – Acquisition of residential buildings</v>
          </cell>
        </row>
        <row r="75">
          <cell r="B75" t="str">
            <v>Construction and Real Estate</v>
          </cell>
          <cell r="C75">
            <v>23</v>
          </cell>
          <cell r="D75" t="str">
            <v>Acquisition and ownership</v>
          </cell>
          <cell r="E75">
            <v>2304</v>
          </cell>
          <cell r="F75" t="str">
            <v>Rest of countries - Acquisition of residential buildings</v>
          </cell>
          <cell r="G75">
            <v>230408</v>
          </cell>
          <cell r="H75" t="str">
            <v>A.3.7. Rest of countries - Acquisition of residential buildings</v>
          </cell>
        </row>
        <row r="76">
          <cell r="B76" t="str">
            <v>Construction and Real Estate</v>
          </cell>
          <cell r="C76">
            <v>23</v>
          </cell>
          <cell r="D76" t="str">
            <v>Acquisition and ownership</v>
          </cell>
          <cell r="E76">
            <v>2304</v>
          </cell>
          <cell r="F76" t="str">
            <v>Rest of countries &amp; UK - Acquisition of commercial buildings</v>
          </cell>
          <cell r="G76">
            <v>230409</v>
          </cell>
          <cell r="H76" t="str">
            <v xml:space="preserve"> A.3.7 Rest of countries &amp; UK - Acquisition of commercial buildings</v>
          </cell>
        </row>
        <row r="77">
          <cell r="B77" t="str">
            <v>Construction and Real Estate</v>
          </cell>
          <cell r="C77">
            <v>23</v>
          </cell>
          <cell r="D77" t="str">
            <v>Civil engineering</v>
          </cell>
          <cell r="E77">
            <v>2306</v>
          </cell>
          <cell r="F77" t="str">
            <v>Maintenance of roads and motorways</v>
          </cell>
          <cell r="G77">
            <v>230601</v>
          </cell>
          <cell r="H77" t="str">
            <v>A.3.9. Maintenance of roads and motorways</v>
          </cell>
        </row>
        <row r="78">
          <cell r="B78" t="str">
            <v>Construction and Real Estate</v>
          </cell>
          <cell r="C78">
            <v>23</v>
          </cell>
          <cell r="D78" t="str">
            <v>Civil engineering</v>
          </cell>
          <cell r="E78">
            <v>2306</v>
          </cell>
          <cell r="F78" t="str">
            <v>Use of concrete in civil engineering</v>
          </cell>
          <cell r="G78">
            <v>230602</v>
          </cell>
          <cell r="H78" t="str">
            <v>A.3.10 Use of concrete in civil engineering</v>
          </cell>
        </row>
        <row r="79">
          <cell r="B79" t="str">
            <v>Construction and Real Estate</v>
          </cell>
          <cell r="C79">
            <v>23</v>
          </cell>
          <cell r="D79" t="str">
            <v>Installation, maintenance and repair</v>
          </cell>
          <cell r="E79">
            <v>2303</v>
          </cell>
          <cell r="F79" t="str">
            <v>Energy efficiency equipment</v>
          </cell>
          <cell r="G79">
            <v>230301</v>
          </cell>
          <cell r="H79" t="str">
            <v>A.3.3. Energy efficiency equipment</v>
          </cell>
        </row>
        <row r="80">
          <cell r="B80" t="str">
            <v>Construction and Real Estate</v>
          </cell>
          <cell r="C80">
            <v>23</v>
          </cell>
          <cell r="D80" t="str">
            <v>Installation, maintenance and repair</v>
          </cell>
          <cell r="E80">
            <v>2303</v>
          </cell>
          <cell r="F80" t="str">
            <v>Electric vehicles Charging stations (buildings &amp; parking spaces)</v>
          </cell>
          <cell r="G80">
            <v>230302</v>
          </cell>
          <cell r="H80" t="str">
            <v>A.3.4. Electric vehicles Charging stations (buildings &amp; parking spaces)</v>
          </cell>
        </row>
        <row r="81">
          <cell r="B81" t="str">
            <v>Construction and Real Estate</v>
          </cell>
          <cell r="C81">
            <v>23</v>
          </cell>
          <cell r="D81" t="str">
            <v>Installation, maintenance and repair</v>
          </cell>
          <cell r="E81">
            <v>2303</v>
          </cell>
          <cell r="F81" t="str">
            <v xml:space="preserve">Instruments and devices for energy performance of buildings </v>
          </cell>
          <cell r="G81">
            <v>230303</v>
          </cell>
          <cell r="H81" t="str">
            <v xml:space="preserve">A.3.5. Instruments and devices for energy performance of buildings </v>
          </cell>
        </row>
        <row r="82">
          <cell r="B82" t="str">
            <v>Construction and Real Estate</v>
          </cell>
          <cell r="C82">
            <v>23</v>
          </cell>
          <cell r="D82" t="str">
            <v>Installation, maintenance and repair</v>
          </cell>
          <cell r="E82">
            <v>2303</v>
          </cell>
          <cell r="F82" t="str">
            <v>Renewable energy technologies</v>
          </cell>
          <cell r="G82">
            <v>230304</v>
          </cell>
          <cell r="H82" t="str">
            <v>A.3.6. Renewable energy technologies</v>
          </cell>
        </row>
        <row r="83">
          <cell r="B83" t="str">
            <v>Construction and Real Estate</v>
          </cell>
          <cell r="C83">
            <v>23</v>
          </cell>
          <cell r="D83" t="str">
            <v>A.3.8. Demolition and wreckling</v>
          </cell>
          <cell r="E83">
            <v>2305</v>
          </cell>
          <cell r="F83" t="str">
            <v>N/A</v>
          </cell>
          <cell r="G83" t="str">
            <v>N/A</v>
          </cell>
          <cell r="H83" t="str">
            <v>N/A</v>
          </cell>
        </row>
        <row r="84">
          <cell r="B84" t="str">
            <v>Water and Waste</v>
          </cell>
          <cell r="C84">
            <v>26</v>
          </cell>
          <cell r="D84" t="str">
            <v>Wastewater</v>
          </cell>
          <cell r="E84">
            <v>2602</v>
          </cell>
          <cell r="F84" t="str">
            <v>Waste water collection and treatment</v>
          </cell>
          <cell r="G84">
            <v>260201</v>
          </cell>
          <cell r="H84" t="str">
            <v>A.6.3. Waste water collection and treatment</v>
          </cell>
        </row>
        <row r="85">
          <cell r="B85" t="str">
            <v>Water and Waste</v>
          </cell>
          <cell r="C85">
            <v>26</v>
          </cell>
          <cell r="D85" t="str">
            <v>Wastewater</v>
          </cell>
          <cell r="E85">
            <v>2602</v>
          </cell>
          <cell r="F85" t="str">
            <v>Urban Waste Water Treatment</v>
          </cell>
          <cell r="G85">
            <v>260202</v>
          </cell>
          <cell r="H85" t="str">
            <v>A.6.14 Urban Waste Water Treatment</v>
          </cell>
        </row>
        <row r="86">
          <cell r="B86" t="str">
            <v>Water and Waste</v>
          </cell>
          <cell r="C86">
            <v>26</v>
          </cell>
          <cell r="D86" t="str">
            <v>Wastewater</v>
          </cell>
          <cell r="E86">
            <v>2602</v>
          </cell>
          <cell r="F86" t="str">
            <v>Sustainable urban drainage systems (SUDS)</v>
          </cell>
          <cell r="G86">
            <v>260203</v>
          </cell>
          <cell r="H86" t="str">
            <v>A.6.15 Sustainable urban drainage systems (SUDS)</v>
          </cell>
        </row>
        <row r="87">
          <cell r="B87" t="str">
            <v>Water and Waste</v>
          </cell>
          <cell r="C87">
            <v>26</v>
          </cell>
          <cell r="D87" t="str">
            <v>Wastewater</v>
          </cell>
          <cell r="E87">
            <v>2602</v>
          </cell>
          <cell r="F87" t="str">
            <v>Phosphorus recovery from waste water</v>
          </cell>
          <cell r="G87">
            <v>260204</v>
          </cell>
          <cell r="H87" t="str">
            <v>A.6.16 Phosphorus recovery from waste water</v>
          </cell>
        </row>
        <row r="88">
          <cell r="B88" t="str">
            <v>Water and Waste</v>
          </cell>
          <cell r="C88">
            <v>26</v>
          </cell>
          <cell r="D88" t="str">
            <v>Wastewater</v>
          </cell>
          <cell r="E88">
            <v>2602</v>
          </cell>
          <cell r="F88" t="str">
            <v>Production alternative water resources (no human consumption)</v>
          </cell>
          <cell r="G88">
            <v>260205</v>
          </cell>
          <cell r="H88" t="str">
            <v>A.6.17 Production alternative water resources (no human consumption)</v>
          </cell>
        </row>
        <row r="89">
          <cell r="B89" t="str">
            <v>Water and Waste</v>
          </cell>
          <cell r="C89">
            <v>26</v>
          </cell>
          <cell r="D89" t="str">
            <v>Waste management</v>
          </cell>
          <cell r="E89">
            <v>2604</v>
          </cell>
          <cell r="F89" t="str">
            <v>Non-hazardous waste - Collection/transport (source segregated fractions)</v>
          </cell>
          <cell r="G89">
            <v>260401</v>
          </cell>
          <cell r="H89" t="str">
            <v>A.6.4. Non-hazardous waste - Collection/transport (source segregated fractions)</v>
          </cell>
        </row>
        <row r="90">
          <cell r="B90" t="str">
            <v>Water and Waste</v>
          </cell>
          <cell r="C90">
            <v>26</v>
          </cell>
          <cell r="D90" t="str">
            <v>Waste management</v>
          </cell>
          <cell r="E90">
            <v>2604</v>
          </cell>
          <cell r="F90" t="str">
            <v>Non-hazardous waste - Material recovery</v>
          </cell>
          <cell r="G90">
            <v>260402</v>
          </cell>
          <cell r="H90" t="str">
            <v>A.6.8. Non-hazardous waste - Material recovery</v>
          </cell>
        </row>
        <row r="91">
          <cell r="B91" t="str">
            <v>Water and Waste</v>
          </cell>
          <cell r="C91">
            <v>26</v>
          </cell>
          <cell r="D91" t="str">
            <v>Waste management</v>
          </cell>
          <cell r="E91">
            <v>2604</v>
          </cell>
          <cell r="F91" t="str">
            <v xml:space="preserve">Non-hazardous &amp; hazardous waste - Collection/transport </v>
          </cell>
          <cell r="G91">
            <v>260403</v>
          </cell>
          <cell r="H91" t="str">
            <v xml:space="preserve">A.6.18 Non-hazardous &amp; hazardous waste - Collection/transport </v>
          </cell>
        </row>
        <row r="92">
          <cell r="B92" t="str">
            <v>Water and Waste</v>
          </cell>
          <cell r="C92">
            <v>26</v>
          </cell>
          <cell r="D92" t="str">
            <v>Waste management</v>
          </cell>
          <cell r="E92">
            <v>2604</v>
          </cell>
          <cell r="F92" t="str">
            <v>Hazardous waste - Treatment</v>
          </cell>
          <cell r="G92">
            <v>260404</v>
          </cell>
          <cell r="H92" t="str">
            <v>A.6.19 Hazardous waste - Treatment</v>
          </cell>
        </row>
        <row r="93">
          <cell r="B93" t="str">
            <v>Water and Waste</v>
          </cell>
          <cell r="C93">
            <v>26</v>
          </cell>
          <cell r="D93" t="str">
            <v>Waste management</v>
          </cell>
          <cell r="E93">
            <v>2604</v>
          </cell>
          <cell r="F93" t="str">
            <v>Depollution/dismantling end-of-life products</v>
          </cell>
          <cell r="G93">
            <v>260405</v>
          </cell>
          <cell r="H93" t="str">
            <v>A.6.22 Depollution/dismantling end-of-life products</v>
          </cell>
        </row>
        <row r="94">
          <cell r="B94" t="str">
            <v>Water and Waste</v>
          </cell>
          <cell r="C94">
            <v>26</v>
          </cell>
          <cell r="D94" t="str">
            <v>Waste management</v>
          </cell>
          <cell r="E94">
            <v>2604</v>
          </cell>
          <cell r="F94" t="str">
            <v>Non-hazardous waste - Sorting</v>
          </cell>
          <cell r="G94">
            <v>260406</v>
          </cell>
          <cell r="H94" t="str">
            <v>A.6.21 Non-hazardous waste - Sorting</v>
          </cell>
        </row>
        <row r="95">
          <cell r="B95" t="str">
            <v>Water and Waste</v>
          </cell>
          <cell r="C95">
            <v>26</v>
          </cell>
          <cell r="D95" t="str">
            <v>Waste management</v>
          </cell>
          <cell r="E95">
            <v>2604</v>
          </cell>
          <cell r="F95" t="str">
            <v>Hazardous waste - Collection/transport</v>
          </cell>
          <cell r="G95">
            <v>260407</v>
          </cell>
          <cell r="H95" t="str">
            <v>A.6.23 Hazardous waste - Collection/transport</v>
          </cell>
        </row>
        <row r="96">
          <cell r="B96" t="str">
            <v>Water and Waste</v>
          </cell>
          <cell r="C96">
            <v>26</v>
          </cell>
          <cell r="D96" t="str">
            <v>Bio-Waste management</v>
          </cell>
          <cell r="E96">
            <v>2603</v>
          </cell>
          <cell r="F96" t="str">
            <v>Sewage sludge - anaerobic digestion</v>
          </cell>
          <cell r="G96">
            <v>260301</v>
          </cell>
          <cell r="H96" t="str">
            <v>A.6.5. Sewage sludge - anaerobic digestion</v>
          </cell>
        </row>
        <row r="97">
          <cell r="B97" t="str">
            <v>Water and Waste</v>
          </cell>
          <cell r="C97">
            <v>26</v>
          </cell>
          <cell r="D97" t="str">
            <v>Bio-Waste management</v>
          </cell>
          <cell r="E97">
            <v>2603</v>
          </cell>
          <cell r="F97" t="str">
            <v>Bio-waste - anaerobic digestion</v>
          </cell>
          <cell r="G97">
            <v>260302</v>
          </cell>
          <cell r="H97" t="str">
            <v>A.6.6. Bio-waste - anaerobic digestion</v>
          </cell>
        </row>
        <row r="98">
          <cell r="B98" t="str">
            <v>Water and Waste</v>
          </cell>
          <cell r="C98">
            <v>26</v>
          </cell>
          <cell r="D98" t="str">
            <v>Bio-Waste management</v>
          </cell>
          <cell r="E98">
            <v>2603</v>
          </cell>
          <cell r="F98" t="str">
            <v>Bio-waste - composting</v>
          </cell>
          <cell r="G98">
            <v>260303</v>
          </cell>
          <cell r="H98" t="str">
            <v>A.6.7. Bio-waste - composting</v>
          </cell>
        </row>
        <row r="99">
          <cell r="B99" t="str">
            <v>Water and Waste</v>
          </cell>
          <cell r="C99">
            <v>26</v>
          </cell>
          <cell r="D99" t="str">
            <v>Bio-Waste management</v>
          </cell>
          <cell r="E99">
            <v>2603</v>
          </cell>
          <cell r="F99" t="str">
            <v>Bio-gas capture and utilisation</v>
          </cell>
          <cell r="G99">
            <v>260304</v>
          </cell>
          <cell r="H99" t="str">
            <v>A.6.9. Bio-gas capture and utilisation</v>
          </cell>
        </row>
        <row r="100">
          <cell r="B100" t="str">
            <v>Water and Waste</v>
          </cell>
          <cell r="C100">
            <v>26</v>
          </cell>
          <cell r="D100" t="str">
            <v>Bio-Waste management</v>
          </cell>
          <cell r="E100">
            <v>2603</v>
          </cell>
          <cell r="F100" t="str">
            <v>Bio-waste - recovery</v>
          </cell>
          <cell r="G100">
            <v>260305</v>
          </cell>
          <cell r="H100" t="str">
            <v>A.6.20 Bio-waste - recovery</v>
          </cell>
        </row>
        <row r="101">
          <cell r="B101" t="str">
            <v>Water and Waste</v>
          </cell>
          <cell r="C101">
            <v>26</v>
          </cell>
          <cell r="D101" t="str">
            <v>Water supply</v>
          </cell>
          <cell r="E101">
            <v>2601</v>
          </cell>
          <cell r="F101" t="str">
            <v>Water collection, treatment and supply systems</v>
          </cell>
          <cell r="G101">
            <v>260101</v>
          </cell>
          <cell r="H101" t="str">
            <v>A.6.1. Water collection, treatment and supply systems</v>
          </cell>
        </row>
        <row r="102">
          <cell r="B102" t="str">
            <v>Water and Waste</v>
          </cell>
          <cell r="C102">
            <v>26</v>
          </cell>
          <cell r="D102" t="str">
            <v>Water supply</v>
          </cell>
          <cell r="E102">
            <v>2601</v>
          </cell>
          <cell r="F102" t="str">
            <v xml:space="preserve">Desalination </v>
          </cell>
          <cell r="G102">
            <v>260102</v>
          </cell>
          <cell r="H102" t="str">
            <v xml:space="preserve">A.6.12 Desalination </v>
          </cell>
        </row>
        <row r="103">
          <cell r="B103" t="str">
            <v>Water and Waste</v>
          </cell>
          <cell r="C103">
            <v>26</v>
          </cell>
          <cell r="D103" t="str">
            <v>Water supply</v>
          </cell>
          <cell r="E103">
            <v>2601</v>
          </cell>
          <cell r="F103" t="str">
            <v>Water Supply</v>
          </cell>
          <cell r="G103">
            <v>260103</v>
          </cell>
          <cell r="H103" t="str">
            <v>A.6.13 Water Supply</v>
          </cell>
        </row>
        <row r="104">
          <cell r="B104" t="str">
            <v>Water and Waste</v>
          </cell>
          <cell r="C104">
            <v>26</v>
          </cell>
          <cell r="D104" t="str">
            <v>Water supply</v>
          </cell>
          <cell r="E104">
            <v>2601</v>
          </cell>
          <cell r="F104" t="str">
            <v>Sustainable Water Management</v>
          </cell>
          <cell r="G104">
            <v>260104</v>
          </cell>
          <cell r="H104" t="str">
            <v>A.6.2. Sustainable Water Management</v>
          </cell>
        </row>
        <row r="105">
          <cell r="B105" t="str">
            <v>Water and Waste</v>
          </cell>
          <cell r="C105">
            <v>26</v>
          </cell>
          <cell r="D105" t="str">
            <v>Remediation</v>
          </cell>
          <cell r="E105">
            <v>2605</v>
          </cell>
          <cell r="F105" t="str">
            <v>Remediation - legally non-conforming landfills, abandoned/illegal waste dumps</v>
          </cell>
          <cell r="G105">
            <v>260501</v>
          </cell>
          <cell r="H105" t="str">
            <v>A.6.24 Remediation - legally non-conforming landfills, abandoned/illegal waste dumps</v>
          </cell>
        </row>
        <row r="106">
          <cell r="B106" t="str">
            <v>Water and Waste</v>
          </cell>
          <cell r="C106">
            <v>26</v>
          </cell>
          <cell r="D106" t="str">
            <v>Remediation</v>
          </cell>
          <cell r="E106">
            <v>2605</v>
          </cell>
          <cell r="F106" t="str">
            <v>Remediation - contaminated sites and areas</v>
          </cell>
          <cell r="G106">
            <v>260502</v>
          </cell>
          <cell r="H106" t="str">
            <v>A.6.25 Remediation - contaminated sites and areas</v>
          </cell>
        </row>
        <row r="107">
          <cell r="B107" t="str">
            <v>Water and Waste</v>
          </cell>
          <cell r="C107">
            <v>26</v>
          </cell>
          <cell r="D107" t="str">
            <v>Carbon Transport and Storage</v>
          </cell>
          <cell r="E107">
            <v>2606</v>
          </cell>
          <cell r="F107" t="str">
            <v>Transport of CO2</v>
          </cell>
          <cell r="G107">
            <v>260601</v>
          </cell>
          <cell r="H107" t="str">
            <v>A.6.10 Transport of CO2</v>
          </cell>
        </row>
        <row r="108">
          <cell r="B108" t="str">
            <v>Water and Waste</v>
          </cell>
          <cell r="C108">
            <v>26</v>
          </cell>
          <cell r="D108" t="str">
            <v>Carbon Transport and Storage</v>
          </cell>
          <cell r="E108">
            <v>2606</v>
          </cell>
          <cell r="F108" t="str">
            <v>Underground storage of CO2</v>
          </cell>
          <cell r="G108">
            <v>260602</v>
          </cell>
          <cell r="H108" t="str">
            <v>A.6.11 Underground storage of CO2</v>
          </cell>
        </row>
        <row r="109">
          <cell r="B109" t="str">
            <v>Water and Waste</v>
          </cell>
          <cell r="C109">
            <v>26</v>
          </cell>
          <cell r="D109" t="str">
            <v>Waste management</v>
          </cell>
          <cell r="E109">
            <v>2604</v>
          </cell>
          <cell r="F109" t="str">
            <v>Use of recycled materials</v>
          </cell>
          <cell r="G109">
            <v>260408</v>
          </cell>
          <cell r="H109" t="str">
            <v>A.6.26. Recycled materials</v>
          </cell>
        </row>
        <row r="110">
          <cell r="B110" t="str">
            <v>Agriculture</v>
          </cell>
          <cell r="C110">
            <v>27</v>
          </cell>
          <cell r="D110" t="str">
            <v>Sustainable agriculture</v>
          </cell>
          <cell r="E110">
            <v>2703</v>
          </cell>
          <cell r="F110" t="str">
            <v>Sustainable growing of crops</v>
          </cell>
          <cell r="G110">
            <v>270301</v>
          </cell>
          <cell r="H110" t="str">
            <v>A.7.7. Sustainable growing of crops</v>
          </cell>
        </row>
        <row r="111">
          <cell r="B111" t="str">
            <v>Agriculture</v>
          </cell>
          <cell r="C111">
            <v>27</v>
          </cell>
          <cell r="D111" t="str">
            <v>Sustainable agriculture</v>
          </cell>
          <cell r="E111">
            <v>2703</v>
          </cell>
          <cell r="F111" t="str">
            <v>Soil Remediation</v>
          </cell>
          <cell r="G111">
            <v>270302</v>
          </cell>
          <cell r="H111" t="str">
            <v>A.7.8. Soil Remediation</v>
          </cell>
        </row>
        <row r="112">
          <cell r="B112" t="str">
            <v>Agriculture</v>
          </cell>
          <cell r="C112">
            <v>27</v>
          </cell>
          <cell r="D112" t="str">
            <v>Sustainable agriculture</v>
          </cell>
          <cell r="E112">
            <v>2703</v>
          </cell>
          <cell r="F112" t="str">
            <v xml:space="preserve">Low-carbon agricultural technologies </v>
          </cell>
          <cell r="G112">
            <v>270303</v>
          </cell>
          <cell r="H112" t="str">
            <v xml:space="preserve">A.7.9. Low-carbon agricultural technologies </v>
          </cell>
        </row>
        <row r="113">
          <cell r="B113" t="str">
            <v>Agriculture</v>
          </cell>
          <cell r="C113">
            <v>27</v>
          </cell>
          <cell r="D113" t="str">
            <v>Sustainable agriculture</v>
          </cell>
          <cell r="E113">
            <v>2703</v>
          </cell>
          <cell r="F113" t="str">
            <v>Efficient electric machinery (excl. tech for livestock production)</v>
          </cell>
          <cell r="G113">
            <v>270304</v>
          </cell>
          <cell r="H113" t="str">
            <v>A.7.10 Efficient electric machinery (excl. tech for livestock production)</v>
          </cell>
        </row>
        <row r="114">
          <cell r="B114" t="str">
            <v>Agriculture</v>
          </cell>
          <cell r="C114">
            <v>27</v>
          </cell>
          <cell r="D114" t="str">
            <v>Sustainable agriculture</v>
          </cell>
          <cell r="E114">
            <v>2703</v>
          </cell>
          <cell r="F114" t="str">
            <v>Regenerative Farming</v>
          </cell>
          <cell r="G114">
            <v>270305</v>
          </cell>
          <cell r="H114" t="str">
            <v>A.7.11 Regenerative Farming</v>
          </cell>
        </row>
        <row r="115">
          <cell r="B115" t="str">
            <v>Agriculture</v>
          </cell>
          <cell r="C115">
            <v>27</v>
          </cell>
          <cell r="D115" t="str">
            <v>Sustainable agriculture</v>
          </cell>
          <cell r="E115">
            <v>2703</v>
          </cell>
          <cell r="F115" t="str">
            <v>Agricultural Structures</v>
          </cell>
          <cell r="G115">
            <v>270306</v>
          </cell>
          <cell r="H115" t="str">
            <v>A.7.12 Agricultural Structures</v>
          </cell>
        </row>
        <row r="116">
          <cell r="B116" t="str">
            <v>Agriculture</v>
          </cell>
          <cell r="C116">
            <v>27</v>
          </cell>
          <cell r="D116" t="str">
            <v>Sustainable agriculture</v>
          </cell>
          <cell r="E116">
            <v>2703</v>
          </cell>
          <cell r="F116" t="str">
            <v>Integrated Crop-Livestock-Forestry Systems (ICLFS)</v>
          </cell>
          <cell r="G116">
            <v>270307</v>
          </cell>
          <cell r="H116" t="str">
            <v>A.7.13 Integrated Crop-Livestock-Forestry Systems (ICLFS)</v>
          </cell>
        </row>
        <row r="117">
          <cell r="B117" t="str">
            <v>Agriculture</v>
          </cell>
          <cell r="C117">
            <v>27</v>
          </cell>
          <cell r="D117" t="str">
            <v>Sustainable agriculture</v>
          </cell>
          <cell r="E117">
            <v>2703</v>
          </cell>
          <cell r="F117" t="str">
            <v xml:space="preserve">Sustainable Feed Production </v>
          </cell>
          <cell r="G117">
            <v>270308</v>
          </cell>
          <cell r="H117" t="str">
            <v xml:space="preserve">A.7.14 Sustainable Feed Production </v>
          </cell>
        </row>
        <row r="118">
          <cell r="B118" t="str">
            <v>Agriculture</v>
          </cell>
          <cell r="C118">
            <v>27</v>
          </cell>
          <cell r="D118" t="str">
            <v>Sustainable agriculture</v>
          </cell>
          <cell r="E118">
            <v>2703</v>
          </cell>
          <cell r="F118" t="str">
            <v>Sustainable Agricultural Production</v>
          </cell>
          <cell r="G118">
            <v>270309</v>
          </cell>
          <cell r="H118" t="str">
            <v>A.7.18 Sustainable Agricultural Production</v>
          </cell>
        </row>
        <row r="119">
          <cell r="B119" t="str">
            <v>Agriculture</v>
          </cell>
          <cell r="C119">
            <v>27</v>
          </cell>
          <cell r="D119" t="str">
            <v>Sustainable agriculture</v>
          </cell>
          <cell r="E119">
            <v>2703</v>
          </cell>
          <cell r="F119" t="str">
            <v>Organic Farming</v>
          </cell>
          <cell r="G119">
            <v>270310</v>
          </cell>
          <cell r="H119" t="str">
            <v>A.7.19 Organic Farming</v>
          </cell>
        </row>
        <row r="120">
          <cell r="B120" t="str">
            <v>Agriculture</v>
          </cell>
          <cell r="C120">
            <v>27</v>
          </cell>
          <cell r="D120" t="str">
            <v>Sustainable agriculture</v>
          </cell>
          <cell r="E120">
            <v>2703</v>
          </cell>
          <cell r="F120" t="str">
            <v>Sustainable Land Purchase and Transformation</v>
          </cell>
          <cell r="G120">
            <v>270311</v>
          </cell>
          <cell r="H120" t="str">
            <v>A.7.20 Sustainable Land Purchase and Transformation</v>
          </cell>
        </row>
        <row r="121">
          <cell r="B121" t="str">
            <v>Agriculture</v>
          </cell>
          <cell r="C121">
            <v>27</v>
          </cell>
          <cell r="D121" t="str">
            <v>Afforestation / Reforestation</v>
          </cell>
          <cell r="E121">
            <v>2701</v>
          </cell>
          <cell r="F121" t="str">
            <v>Afforestation</v>
          </cell>
          <cell r="G121">
            <v>270101</v>
          </cell>
          <cell r="H121" t="str">
            <v>A.7.1. Afforestation</v>
          </cell>
        </row>
        <row r="122">
          <cell r="B122" t="str">
            <v>Agriculture</v>
          </cell>
          <cell r="C122">
            <v>27</v>
          </cell>
          <cell r="D122" t="str">
            <v>Afforestation / Reforestation</v>
          </cell>
          <cell r="E122">
            <v>2701</v>
          </cell>
          <cell r="F122" t="str">
            <v>Forest management</v>
          </cell>
          <cell r="G122">
            <v>270102</v>
          </cell>
          <cell r="H122" t="str">
            <v>A.7.3. Forest management</v>
          </cell>
        </row>
        <row r="123">
          <cell r="B123" t="str">
            <v>Agriculture</v>
          </cell>
          <cell r="C123">
            <v>27</v>
          </cell>
          <cell r="D123" t="str">
            <v>Land conservation, restoration, soil remediation</v>
          </cell>
          <cell r="E123">
            <v>2702</v>
          </cell>
          <cell r="F123" t="str">
            <v>Rehabilitation and restoration of forests</v>
          </cell>
          <cell r="G123">
            <v>270201</v>
          </cell>
          <cell r="H123" t="str">
            <v>A.7.2. Rehabilitation and restoration of forests</v>
          </cell>
        </row>
        <row r="124">
          <cell r="B124" t="str">
            <v>Agriculture</v>
          </cell>
          <cell r="C124">
            <v>27</v>
          </cell>
          <cell r="D124" t="str">
            <v>Land conservation, restoration, soil remediation</v>
          </cell>
          <cell r="E124">
            <v>2702</v>
          </cell>
          <cell r="F124" t="str">
            <v>Conservation forestry</v>
          </cell>
          <cell r="G124">
            <v>270202</v>
          </cell>
          <cell r="H124" t="str">
            <v>A.7.4. Conservation forestry</v>
          </cell>
        </row>
        <row r="125">
          <cell r="B125" t="str">
            <v>Agriculture</v>
          </cell>
          <cell r="C125">
            <v>27</v>
          </cell>
          <cell r="D125" t="str">
            <v>Land conservation, restoration, soil remediation</v>
          </cell>
          <cell r="E125">
            <v>2702</v>
          </cell>
          <cell r="F125" t="str">
            <v>Restoration of wetlands</v>
          </cell>
          <cell r="G125">
            <v>270203</v>
          </cell>
          <cell r="H125" t="str">
            <v>A.7.5. Restoration of wetlands</v>
          </cell>
        </row>
        <row r="126">
          <cell r="B126" t="str">
            <v>Agriculture</v>
          </cell>
          <cell r="C126">
            <v>27</v>
          </cell>
          <cell r="D126" t="str">
            <v>Land conservation, restoration, soil remediation</v>
          </cell>
          <cell r="E126">
            <v>2702</v>
          </cell>
          <cell r="F126" t="str">
            <v>Conservation/restoration habitats, ecosystems, species</v>
          </cell>
          <cell r="G126">
            <v>270204</v>
          </cell>
          <cell r="H126" t="str">
            <v>A.7.6. Conservation/restoration habitats, ecosystems, species</v>
          </cell>
        </row>
        <row r="127">
          <cell r="B127" t="str">
            <v>Agriculture</v>
          </cell>
          <cell r="C127">
            <v>27</v>
          </cell>
          <cell r="D127" t="str">
            <v>A.7.17. Carbon Sequestration</v>
          </cell>
          <cell r="E127">
            <v>2706</v>
          </cell>
          <cell r="F127" t="str">
            <v>N/A</v>
          </cell>
          <cell r="G127" t="str">
            <v>-</v>
          </cell>
          <cell r="H127" t="str">
            <v>N/A</v>
          </cell>
        </row>
        <row r="128">
          <cell r="B128" t="str">
            <v>Agriculture</v>
          </cell>
          <cell r="C128">
            <v>27</v>
          </cell>
          <cell r="D128" t="str">
            <v>A.7.15. Livestock Management</v>
          </cell>
          <cell r="E128">
            <v>2704</v>
          </cell>
          <cell r="F128" t="str">
            <v>N/A</v>
          </cell>
          <cell r="G128" t="str">
            <v>-</v>
          </cell>
          <cell r="H128" t="str">
            <v>N/A</v>
          </cell>
        </row>
        <row r="129">
          <cell r="B129" t="str">
            <v>Agriculture</v>
          </cell>
          <cell r="C129">
            <v>27</v>
          </cell>
          <cell r="D129" t="str">
            <v>A.7.16. Sustainable aquaculture and fishing</v>
          </cell>
          <cell r="E129">
            <v>2705</v>
          </cell>
          <cell r="F129" t="str">
            <v>N/A</v>
          </cell>
          <cell r="G129" t="str">
            <v>-</v>
          </cell>
          <cell r="H129" t="str">
            <v>N/A</v>
          </cell>
        </row>
        <row r="130">
          <cell r="B130" t="str">
            <v>Manufacturing</v>
          </cell>
          <cell r="C130">
            <v>28</v>
          </cell>
          <cell r="D130" t="str">
            <v>Transport</v>
          </cell>
          <cell r="E130">
            <v>2803</v>
          </cell>
          <cell r="F130" t="str">
            <v>Low carbon technologies for transport</v>
          </cell>
          <cell r="G130">
            <v>280301</v>
          </cell>
          <cell r="H130" t="str">
            <v>A.8.4. Low carbon technologies for transport</v>
          </cell>
        </row>
        <row r="131">
          <cell r="B131" t="str">
            <v>Manufacturing</v>
          </cell>
          <cell r="C131">
            <v>28</v>
          </cell>
          <cell r="D131" t="str">
            <v>Transport</v>
          </cell>
          <cell r="E131">
            <v>2803</v>
          </cell>
          <cell r="F131" t="str">
            <v>Automotive and mobility components</v>
          </cell>
          <cell r="G131">
            <v>280302</v>
          </cell>
          <cell r="H131" t="str">
            <v>A.8.18 Automotive and mobility components</v>
          </cell>
        </row>
        <row r="132">
          <cell r="B132" t="str">
            <v>Manufacturing</v>
          </cell>
          <cell r="C132">
            <v>28</v>
          </cell>
          <cell r="D132" t="str">
            <v>Transport</v>
          </cell>
          <cell r="E132">
            <v>2803</v>
          </cell>
          <cell r="F132" t="str">
            <v>Rail rolling stock constituents</v>
          </cell>
          <cell r="G132">
            <v>280303</v>
          </cell>
          <cell r="H132" t="str">
            <v>A.8.19 Rail rolling stock constituents</v>
          </cell>
        </row>
        <row r="133">
          <cell r="B133" t="str">
            <v>Manufacturing</v>
          </cell>
          <cell r="C133">
            <v>28</v>
          </cell>
          <cell r="D133" t="str">
            <v>Transport</v>
          </cell>
          <cell r="E133">
            <v>2803</v>
          </cell>
          <cell r="F133" t="str">
            <v>Aircraft</v>
          </cell>
          <cell r="G133">
            <v>280304</v>
          </cell>
          <cell r="H133" t="str">
            <v>A.8.21 Aircraft</v>
          </cell>
        </row>
        <row r="134">
          <cell r="B134" t="str">
            <v>Manufacturing</v>
          </cell>
          <cell r="C134">
            <v>28</v>
          </cell>
          <cell r="D134" t="str">
            <v>Renewable energy &amp; hydrogen technologies</v>
          </cell>
          <cell r="E134">
            <v>2802</v>
          </cell>
          <cell r="F134" t="str">
            <v>Renewable energy technologies</v>
          </cell>
          <cell r="G134">
            <v>280201</v>
          </cell>
          <cell r="H134" t="str">
            <v>A.8.1. Renewable energy technologies</v>
          </cell>
        </row>
        <row r="135">
          <cell r="B135" t="str">
            <v>Manufacturing</v>
          </cell>
          <cell r="C135">
            <v>28</v>
          </cell>
          <cell r="D135" t="str">
            <v>Renewable energy &amp; hydrogen technologies</v>
          </cell>
          <cell r="E135">
            <v>2802</v>
          </cell>
          <cell r="F135" t="str">
            <v>Equipment for production and use of hydrogen</v>
          </cell>
          <cell r="G135">
            <v>280202</v>
          </cell>
          <cell r="H135" t="str">
            <v>A.8.2. Equipment for production and use of hydrogen</v>
          </cell>
        </row>
        <row r="136">
          <cell r="B136" t="str">
            <v>Manufacturing</v>
          </cell>
          <cell r="C136">
            <v>28</v>
          </cell>
          <cell r="D136" t="str">
            <v>Renewable energy &amp; hydrogen technologies</v>
          </cell>
          <cell r="E136">
            <v>2802</v>
          </cell>
          <cell r="F136" t="str">
            <v>Manufacture of hydrogen</v>
          </cell>
          <cell r="G136">
            <v>280203</v>
          </cell>
          <cell r="H136" t="str">
            <v>A.8.3. Manufacture of hydrogen</v>
          </cell>
        </row>
        <row r="137">
          <cell r="B137" t="str">
            <v>Manufacturing</v>
          </cell>
          <cell r="C137">
            <v>28</v>
          </cell>
          <cell r="D137" t="str">
            <v>Efficiency equipment &amp; technologies</v>
          </cell>
          <cell r="E137">
            <v>2805</v>
          </cell>
          <cell r="F137" t="str">
            <v>Energy efficiency equipment for buildings</v>
          </cell>
          <cell r="G137">
            <v>280501</v>
          </cell>
          <cell r="H137" t="str">
            <v>A.8.6. Energy efficiency equipment for buildings</v>
          </cell>
        </row>
        <row r="138">
          <cell r="B138" t="str">
            <v>Manufacturing</v>
          </cell>
          <cell r="C138">
            <v>28</v>
          </cell>
          <cell r="D138" t="str">
            <v>Efficiency equipment &amp; technologies</v>
          </cell>
          <cell r="E138">
            <v>2805</v>
          </cell>
          <cell r="F138" t="str">
            <v>Other low carbon technologies</v>
          </cell>
          <cell r="G138">
            <v>280502</v>
          </cell>
          <cell r="H138" t="str">
            <v>A.8.7. Other low carbon technologies</v>
          </cell>
        </row>
        <row r="139">
          <cell r="B139" t="str">
            <v>Manufacturing</v>
          </cell>
          <cell r="C139">
            <v>28</v>
          </cell>
          <cell r="D139" t="str">
            <v>Efficiency equipment &amp; technologies</v>
          </cell>
          <cell r="E139">
            <v>2805</v>
          </cell>
          <cell r="F139" t="str">
            <v>Equipment for electrical transmission and distribution</v>
          </cell>
          <cell r="G139">
            <v>280503</v>
          </cell>
          <cell r="H139" t="str">
            <v>A.8.20 Equipment for electrical transmission and distribution</v>
          </cell>
        </row>
        <row r="140">
          <cell r="B140" t="str">
            <v>Manufacturing</v>
          </cell>
          <cell r="C140">
            <v>28</v>
          </cell>
          <cell r="D140" t="str">
            <v>Efficiency equipment &amp; technologies</v>
          </cell>
          <cell r="E140">
            <v>2805</v>
          </cell>
          <cell r="F140" t="str">
            <v>Equipment efficient in terms of energy consumption</v>
          </cell>
          <cell r="G140">
            <v>280504</v>
          </cell>
          <cell r="H140" t="str">
            <v>A.8.27 Equipment efficient in terms of energy consumption</v>
          </cell>
        </row>
        <row r="141">
          <cell r="B141" t="str">
            <v>Manufacturing</v>
          </cell>
          <cell r="C141">
            <v>28</v>
          </cell>
          <cell r="D141" t="str">
            <v>Efficiency equipment &amp; technologies</v>
          </cell>
          <cell r="E141">
            <v>2805</v>
          </cell>
          <cell r="F141" t="str">
            <v>Leakage control technologies</v>
          </cell>
          <cell r="G141">
            <v>280505</v>
          </cell>
          <cell r="H141" t="str">
            <v>A.8.22 Leakage control technologies</v>
          </cell>
        </row>
        <row r="142">
          <cell r="B142" t="str">
            <v>Manufacturing</v>
          </cell>
          <cell r="C142">
            <v>28</v>
          </cell>
          <cell r="D142" t="str">
            <v>Circular economy</v>
          </cell>
          <cell r="E142">
            <v>2801</v>
          </cell>
          <cell r="F142" t="str">
            <v>Repair, refurbishment and remanufacturing</v>
          </cell>
          <cell r="G142">
            <v>280101</v>
          </cell>
          <cell r="H142" t="str">
            <v>A.8.29 Repair, refurbishment and remanufacturing</v>
          </cell>
        </row>
        <row r="143">
          <cell r="B143" t="str">
            <v>Manufacturing</v>
          </cell>
          <cell r="C143">
            <v>28</v>
          </cell>
          <cell r="D143" t="str">
            <v>Circular economy</v>
          </cell>
          <cell r="E143">
            <v>2801</v>
          </cell>
          <cell r="F143" t="str">
            <v>Sale of spare parts</v>
          </cell>
          <cell r="G143">
            <v>280102</v>
          </cell>
          <cell r="H143" t="str">
            <v>A.8.30 Sale of spare parts</v>
          </cell>
        </row>
        <row r="144">
          <cell r="B144" t="str">
            <v>Manufacturing</v>
          </cell>
          <cell r="C144">
            <v>28</v>
          </cell>
          <cell r="D144" t="str">
            <v>Circular economy</v>
          </cell>
          <cell r="E144">
            <v>2801</v>
          </cell>
          <cell r="F144" t="str">
            <v>Re-use of end-of-life products and components</v>
          </cell>
          <cell r="G144">
            <v>280103</v>
          </cell>
          <cell r="H144" t="str">
            <v>A.8.31 Re-use of end-of-life products and components</v>
          </cell>
        </row>
        <row r="145">
          <cell r="B145" t="str">
            <v>Manufacturing</v>
          </cell>
          <cell r="C145">
            <v>28</v>
          </cell>
          <cell r="D145" t="str">
            <v>Circular economy</v>
          </cell>
          <cell r="E145">
            <v>2801</v>
          </cell>
          <cell r="F145" t="str">
            <v>Sale of second-hand goods</v>
          </cell>
          <cell r="G145">
            <v>280104</v>
          </cell>
          <cell r="H145" t="str">
            <v>A.8.32 Sale of second-hand goods</v>
          </cell>
        </row>
        <row r="146">
          <cell r="B146" t="str">
            <v>Manufacturing</v>
          </cell>
          <cell r="C146">
            <v>28</v>
          </cell>
          <cell r="D146" t="str">
            <v>Circular economy</v>
          </cell>
          <cell r="E146">
            <v>2801</v>
          </cell>
          <cell r="F146" t="str">
            <v>Product-as-a-service and other circular use</v>
          </cell>
          <cell r="G146">
            <v>280105</v>
          </cell>
          <cell r="H146" t="str">
            <v>A.8.33 Product-as-a-service and other circular use</v>
          </cell>
        </row>
        <row r="147">
          <cell r="B147" t="str">
            <v>Manufacturing</v>
          </cell>
          <cell r="C147">
            <v>28</v>
          </cell>
          <cell r="D147" t="str">
            <v>Circular economy</v>
          </cell>
          <cell r="E147">
            <v>2801</v>
          </cell>
          <cell r="F147" t="str">
            <v>Marketplace second-hand goods</v>
          </cell>
          <cell r="G147">
            <v>280106</v>
          </cell>
          <cell r="H147" t="str">
            <v>A.8.34 Marketplace second-hand goods</v>
          </cell>
        </row>
        <row r="148">
          <cell r="B148" t="str">
            <v>Manufacturing</v>
          </cell>
          <cell r="C148">
            <v>28</v>
          </cell>
          <cell r="D148" t="str">
            <v>Fuel and chemicals</v>
          </cell>
          <cell r="E148">
            <v>2807</v>
          </cell>
          <cell r="F148" t="str">
            <v>Soda Ash</v>
          </cell>
          <cell r="G148">
            <v>280701</v>
          </cell>
          <cell r="H148" t="str">
            <v>A.8.12 Soda Ash</v>
          </cell>
        </row>
        <row r="149">
          <cell r="B149" t="str">
            <v>Manufacturing</v>
          </cell>
          <cell r="C149">
            <v>28</v>
          </cell>
          <cell r="D149" t="str">
            <v>Fuel and chemicals</v>
          </cell>
          <cell r="E149">
            <v>2807</v>
          </cell>
          <cell r="F149" t="str">
            <v>Chlorine</v>
          </cell>
          <cell r="G149">
            <v>280702</v>
          </cell>
          <cell r="H149" t="str">
            <v>A.8.15 Chlorine</v>
          </cell>
        </row>
        <row r="150">
          <cell r="B150" t="str">
            <v>Manufacturing</v>
          </cell>
          <cell r="C150">
            <v>28</v>
          </cell>
          <cell r="D150" t="str">
            <v>Fuel and chemicals</v>
          </cell>
          <cell r="E150">
            <v>2807</v>
          </cell>
          <cell r="F150" t="str">
            <v>Organic basic materials</v>
          </cell>
          <cell r="G150">
            <v>280703</v>
          </cell>
          <cell r="H150" t="str">
            <v>A.8.13 Organic basic materials</v>
          </cell>
        </row>
        <row r="151">
          <cell r="B151" t="str">
            <v>Manufacturing</v>
          </cell>
          <cell r="C151">
            <v>28</v>
          </cell>
          <cell r="D151" t="str">
            <v>Fuel and chemicals</v>
          </cell>
          <cell r="E151">
            <v>2807</v>
          </cell>
          <cell r="F151" t="str">
            <v>Ammonia</v>
          </cell>
          <cell r="G151">
            <v>280704</v>
          </cell>
          <cell r="H151" t="str">
            <v>A.8.16 Ammonia</v>
          </cell>
        </row>
        <row r="152">
          <cell r="B152" t="str">
            <v>Manufacturing</v>
          </cell>
          <cell r="C152">
            <v>28</v>
          </cell>
          <cell r="D152" t="str">
            <v>Fuel and chemicals</v>
          </cell>
          <cell r="E152">
            <v>2807</v>
          </cell>
          <cell r="F152" t="str">
            <v>Nitric acid</v>
          </cell>
          <cell r="G152">
            <v>280705</v>
          </cell>
          <cell r="H152" t="str">
            <v>A.8.14 Nitric acid</v>
          </cell>
        </row>
        <row r="153">
          <cell r="B153" t="str">
            <v>Manufacturing</v>
          </cell>
          <cell r="C153">
            <v>28</v>
          </cell>
          <cell r="D153" t="str">
            <v>Fuel and chemicals</v>
          </cell>
          <cell r="E153">
            <v>2807</v>
          </cell>
          <cell r="F153" t="str">
            <v>Clean Naphtha</v>
          </cell>
          <cell r="G153">
            <v>280706</v>
          </cell>
          <cell r="H153" t="str">
            <v>A.8.26 Clean Naphtha</v>
          </cell>
        </row>
        <row r="154">
          <cell r="B154" t="str">
            <v>Manufacturing</v>
          </cell>
          <cell r="C154">
            <v>28</v>
          </cell>
          <cell r="D154" t="str">
            <v>Circular economy</v>
          </cell>
          <cell r="E154">
            <v>2801</v>
          </cell>
          <cell r="F154" t="str">
            <v>Electrical and electronic equipment</v>
          </cell>
          <cell r="G154">
            <v>280107</v>
          </cell>
          <cell r="H154" t="str">
            <v>A.8.35 Electrical and electronic equipment</v>
          </cell>
        </row>
        <row r="155">
          <cell r="B155" t="str">
            <v>Manufacturing</v>
          </cell>
          <cell r="C155">
            <v>28</v>
          </cell>
          <cell r="D155" t="str">
            <v>Cement, aluminium, iron, steel &amp; others</v>
          </cell>
          <cell r="E155">
            <v>2806</v>
          </cell>
          <cell r="F155" t="str">
            <v>Cement</v>
          </cell>
          <cell r="G155">
            <v>280601</v>
          </cell>
          <cell r="H155" t="str">
            <v>A.8.8. Cement</v>
          </cell>
        </row>
        <row r="156">
          <cell r="B156" t="str">
            <v>Manufacturing</v>
          </cell>
          <cell r="C156">
            <v>28</v>
          </cell>
          <cell r="D156" t="str">
            <v>Cement, aluminium, iron, steel &amp; others</v>
          </cell>
          <cell r="E156">
            <v>2806</v>
          </cell>
          <cell r="F156" t="str">
            <v>Aluminium</v>
          </cell>
          <cell r="G156">
            <v>280602</v>
          </cell>
          <cell r="H156" t="str">
            <v>A.8.9. Aluminium</v>
          </cell>
        </row>
        <row r="157">
          <cell r="B157" t="str">
            <v>Manufacturing</v>
          </cell>
          <cell r="C157">
            <v>28</v>
          </cell>
          <cell r="D157" t="str">
            <v>Cement, aluminium, iron, steel &amp; others</v>
          </cell>
          <cell r="E157">
            <v>2806</v>
          </cell>
          <cell r="F157" t="str">
            <v>Iron and Steel</v>
          </cell>
          <cell r="G157">
            <v>280603</v>
          </cell>
          <cell r="H157" t="str">
            <v>A.8.10 Iron and Steel</v>
          </cell>
        </row>
        <row r="158">
          <cell r="B158" t="str">
            <v>Manufacturing</v>
          </cell>
          <cell r="C158">
            <v>28</v>
          </cell>
          <cell r="D158" t="str">
            <v>Cement, aluminium, iron, steel &amp; others</v>
          </cell>
          <cell r="E158">
            <v>2806</v>
          </cell>
          <cell r="F158" t="str">
            <v>Carbon black</v>
          </cell>
          <cell r="G158">
            <v>280604</v>
          </cell>
          <cell r="H158" t="str">
            <v>A.8.11 Carbon black</v>
          </cell>
        </row>
        <row r="159">
          <cell r="B159" t="str">
            <v>Manufacturing</v>
          </cell>
          <cell r="C159">
            <v>28</v>
          </cell>
          <cell r="D159" t="str">
            <v>Plastics</v>
          </cell>
          <cell r="E159">
            <v>2808</v>
          </cell>
          <cell r="F159" t="str">
            <v>Plastics in primary form</v>
          </cell>
          <cell r="G159">
            <v>280801</v>
          </cell>
          <cell r="H159" t="str">
            <v>A.8.17 Plastics in primary form</v>
          </cell>
        </row>
        <row r="160">
          <cell r="B160" t="str">
            <v>Manufacturing</v>
          </cell>
          <cell r="C160">
            <v>28</v>
          </cell>
          <cell r="D160" t="str">
            <v>Plastics</v>
          </cell>
          <cell r="E160">
            <v>2808</v>
          </cell>
          <cell r="F160" t="str">
            <v>Plastic packaging goods</v>
          </cell>
          <cell r="G160">
            <v>280802</v>
          </cell>
          <cell r="H160" t="str">
            <v>A.8.23 Plastic packaging goods</v>
          </cell>
        </row>
        <row r="161">
          <cell r="B161" t="str">
            <v>Manufacturing</v>
          </cell>
          <cell r="C161">
            <v>28</v>
          </cell>
          <cell r="D161" t="str">
            <v>Pharmaceutical &amp; Medicinal</v>
          </cell>
          <cell r="E161">
            <v>2809</v>
          </cell>
          <cell r="F161" t="str">
            <v>Active pharmaceutical ingredients (API) or substances</v>
          </cell>
          <cell r="G161">
            <v>280901</v>
          </cell>
          <cell r="H161" t="str">
            <v>A.8.24 Active pharmaceutical ingredients (API) or substances</v>
          </cell>
        </row>
        <row r="162">
          <cell r="B162" t="str">
            <v>Manufacturing</v>
          </cell>
          <cell r="C162">
            <v>28</v>
          </cell>
          <cell r="D162" t="str">
            <v>Pharmaceutical &amp; Medicinal</v>
          </cell>
          <cell r="E162">
            <v>2809</v>
          </cell>
          <cell r="F162" t="str">
            <v xml:space="preserve">Medicinal products </v>
          </cell>
          <cell r="G162">
            <v>280902</v>
          </cell>
          <cell r="H162" t="str">
            <v xml:space="preserve">A.8.25 Medicinal products </v>
          </cell>
        </row>
        <row r="163">
          <cell r="B163" t="str">
            <v>Manufacturing</v>
          </cell>
          <cell r="C163">
            <v>28</v>
          </cell>
          <cell r="D163" t="str">
            <v>A.8.5. Batteries</v>
          </cell>
          <cell r="E163">
            <v>2804</v>
          </cell>
          <cell r="F163" t="str">
            <v>N/A</v>
          </cell>
          <cell r="G163" t="str">
            <v>-</v>
          </cell>
          <cell r="H163" t="str">
            <v>N/A</v>
          </cell>
        </row>
        <row r="164">
          <cell r="B164" t="str">
            <v>Accommodation</v>
          </cell>
          <cell r="C164">
            <v>29</v>
          </cell>
          <cell r="D164" t="str">
            <v>A.9.1.Hotels, holiday, camping and similar</v>
          </cell>
          <cell r="E164">
            <v>2901</v>
          </cell>
          <cell r="F164" t="str">
            <v>N/A</v>
          </cell>
          <cell r="G164" t="str">
            <v>-</v>
          </cell>
          <cell r="H164" t="str">
            <v>N/A</v>
          </cell>
        </row>
        <row r="165">
          <cell r="B165" t="str">
            <v>IT &amp; Communications</v>
          </cell>
          <cell r="C165">
            <v>30</v>
          </cell>
          <cell r="D165" t="str">
            <v>Data-driven solutions &amp; software</v>
          </cell>
          <cell r="E165">
            <v>3002</v>
          </cell>
          <cell r="F165" t="str">
            <v>GHG emissions reductions</v>
          </cell>
          <cell r="G165">
            <v>300201</v>
          </cell>
          <cell r="H165" t="str">
            <v>A.10.2 GHG emissions reductions</v>
          </cell>
        </row>
        <row r="166">
          <cell r="B166" t="str">
            <v>IT &amp; Communications</v>
          </cell>
          <cell r="C166">
            <v>30</v>
          </cell>
          <cell r="D166" t="str">
            <v>Data-driven solutions &amp; software</v>
          </cell>
          <cell r="E166">
            <v>3002</v>
          </cell>
          <cell r="F166" t="str">
            <v>Physical climate risk management and adaptation</v>
          </cell>
          <cell r="G166">
            <v>300202</v>
          </cell>
          <cell r="H166" t="str">
            <v>A.10.3 Physical climate risk management and adaptation</v>
          </cell>
        </row>
        <row r="167">
          <cell r="B167" t="str">
            <v>IT &amp; Communications</v>
          </cell>
          <cell r="C167">
            <v>30</v>
          </cell>
          <cell r="D167" t="str">
            <v>Data-driven solutions &amp; software</v>
          </cell>
          <cell r="E167">
            <v>3002</v>
          </cell>
          <cell r="F167" t="str">
            <v>Leakage reduction</v>
          </cell>
          <cell r="G167">
            <v>300203</v>
          </cell>
          <cell r="H167" t="str">
            <v>A.10.4 Leakage reduction</v>
          </cell>
        </row>
        <row r="168">
          <cell r="B168" t="str">
            <v>IT &amp; Communications</v>
          </cell>
          <cell r="C168">
            <v>30</v>
          </cell>
          <cell r="D168" t="str">
            <v>Data-driven solutions &amp; software</v>
          </cell>
          <cell r="E168">
            <v>3002</v>
          </cell>
          <cell r="F168" t="str">
            <v>Others</v>
          </cell>
          <cell r="G168">
            <v>300204</v>
          </cell>
          <cell r="H168" t="str">
            <v>A.10.5 Others</v>
          </cell>
        </row>
        <row r="169">
          <cell r="B169" t="str">
            <v>IT &amp; Communications</v>
          </cell>
          <cell r="C169">
            <v>30</v>
          </cell>
          <cell r="D169" t="str">
            <v>A.10.1. Data processing, hosting and related activities</v>
          </cell>
          <cell r="E169">
            <v>3001</v>
          </cell>
          <cell r="F169" t="str">
            <v>N/A</v>
          </cell>
          <cell r="G169" t="str">
            <v>-</v>
          </cell>
          <cell r="H169" t="str">
            <v>A.10.1. Data processing, hosting and related activities</v>
          </cell>
        </row>
        <row r="170">
          <cell r="B170" t="str">
            <v>IT &amp; Communications</v>
          </cell>
          <cell r="C170">
            <v>30</v>
          </cell>
          <cell r="D170" t="str">
            <v>A.10.6. Research, development and innovation</v>
          </cell>
          <cell r="E170">
            <v>3003</v>
          </cell>
          <cell r="F170" t="str">
            <v>N/A</v>
          </cell>
          <cell r="G170" t="str">
            <v>-</v>
          </cell>
          <cell r="H170" t="str">
            <v>N/A</v>
          </cell>
        </row>
        <row r="171">
          <cell r="B171" t="str">
            <v>Manufacturing</v>
          </cell>
          <cell r="C171">
            <v>28</v>
          </cell>
          <cell r="D171" t="str">
            <v>Air capture of CO2</v>
          </cell>
          <cell r="E171">
            <v>2810</v>
          </cell>
          <cell r="F171" t="str">
            <v>Direct air capture of CO2 (Research, development and innovation)</v>
          </cell>
          <cell r="G171">
            <v>281001</v>
          </cell>
          <cell r="H171" t="str">
            <v>A.8.28 Direct air capture of CO2 (Research, development and innovation)</v>
          </cell>
        </row>
        <row r="172">
          <cell r="B172" t="str">
            <v>Professional, scientific and technical activities</v>
          </cell>
          <cell r="C172">
            <v>24</v>
          </cell>
          <cell r="D172" t="str">
            <v>A.4.1. Energy performance of buildings professional services</v>
          </cell>
          <cell r="E172">
            <v>2401</v>
          </cell>
          <cell r="F172" t="str">
            <v>N/A</v>
          </cell>
          <cell r="G172" t="str">
            <v>-</v>
          </cell>
          <cell r="H172" t="str">
            <v>N/A</v>
          </cell>
        </row>
        <row r="173">
          <cell r="B173" t="str">
            <v>Disaster Risk Management</v>
          </cell>
          <cell r="C173">
            <v>25</v>
          </cell>
          <cell r="D173" t="str">
            <v>A.5.1. Flood/drought prevention and protection solutions</v>
          </cell>
          <cell r="E173">
            <v>2501</v>
          </cell>
          <cell r="F173" t="str">
            <v>N/A</v>
          </cell>
          <cell r="G173" t="str">
            <v>-</v>
          </cell>
          <cell r="H173" t="str">
            <v>N/A</v>
          </cell>
        </row>
        <row r="174">
          <cell r="B174" t="str">
            <v>Disaster Risk Management</v>
          </cell>
          <cell r="C174">
            <v>25</v>
          </cell>
          <cell r="D174" t="str">
            <v>A.5.2. Emergency services</v>
          </cell>
          <cell r="E174">
            <v>2502</v>
          </cell>
          <cell r="F174" t="str">
            <v>N/A</v>
          </cell>
          <cell r="G174" t="str">
            <v>-</v>
          </cell>
          <cell r="H174" t="str">
            <v>N/A</v>
          </cell>
        </row>
        <row r="175">
          <cell r="B175" t="str">
            <v>Disaster Risk Management</v>
          </cell>
          <cell r="C175">
            <v>25</v>
          </cell>
          <cell r="D175" t="str">
            <v>A.5.3. Flood prevention and protection infrastructure</v>
          </cell>
          <cell r="E175">
            <v>2503</v>
          </cell>
          <cell r="F175" t="str">
            <v>N/A</v>
          </cell>
          <cell r="G175" t="str">
            <v>-</v>
          </cell>
          <cell r="H175" t="str">
            <v>N/A</v>
          </cell>
        </row>
        <row r="176">
          <cell r="B176" t="str">
            <v>Other sectors</v>
          </cell>
          <cell r="C176">
            <v>31</v>
          </cell>
          <cell r="D176" t="str">
            <v>A.11.2. Non-life insurance</v>
          </cell>
          <cell r="E176">
            <v>3102</v>
          </cell>
          <cell r="F176" t="str">
            <v>N/A</v>
          </cell>
          <cell r="G176" t="str">
            <v>-</v>
          </cell>
          <cell r="H176" t="str">
            <v>N/A</v>
          </cell>
        </row>
        <row r="177">
          <cell r="B177" t="str">
            <v>Other sectors</v>
          </cell>
          <cell r="C177">
            <v>31</v>
          </cell>
          <cell r="D177" t="str">
            <v>A.11.3. Re-insurance</v>
          </cell>
          <cell r="E177">
            <v>3103</v>
          </cell>
          <cell r="F177" t="str">
            <v>N/A</v>
          </cell>
          <cell r="G177" t="str">
            <v>-</v>
          </cell>
          <cell r="H177" t="str">
            <v>N/A</v>
          </cell>
        </row>
        <row r="178">
          <cell r="B178" t="str">
            <v>Other sectors</v>
          </cell>
          <cell r="C178">
            <v>31</v>
          </cell>
          <cell r="D178" t="str">
            <v>A.11.1. Carbon Market</v>
          </cell>
          <cell r="E178">
            <v>3101</v>
          </cell>
          <cell r="F178" t="str">
            <v>N/A</v>
          </cell>
          <cell r="G178" t="str">
            <v>-</v>
          </cell>
          <cell r="H178" t="str">
            <v>N/A</v>
          </cell>
        </row>
        <row r="179">
          <cell r="B179" t="str">
            <v>Other sectors</v>
          </cell>
          <cell r="C179">
            <v>31</v>
          </cell>
          <cell r="D179" t="str">
            <v>A.11.4. Climate adaptation</v>
          </cell>
          <cell r="E179">
            <v>3104</v>
          </cell>
          <cell r="F179" t="str">
            <v>N/A</v>
          </cell>
          <cell r="G179" t="str">
            <v>-</v>
          </cell>
          <cell r="H179" t="str">
            <v>N/A</v>
          </cell>
        </row>
        <row r="180">
          <cell r="B180" t="str">
            <v>Other sectors</v>
          </cell>
          <cell r="C180">
            <v>31</v>
          </cell>
          <cell r="D180" t="str">
            <v>A.11.5. Mining of raw materials supporting the transition</v>
          </cell>
          <cell r="E180">
            <v>3105</v>
          </cell>
          <cell r="F180" t="str">
            <v>N/A</v>
          </cell>
          <cell r="G180" t="str">
            <v>-</v>
          </cell>
          <cell r="H180" t="str">
            <v>N/A</v>
          </cell>
        </row>
        <row r="181">
          <cell r="B181" t="str">
            <v xml:space="preserve">Education </v>
          </cell>
          <cell r="C181" t="str">
            <v>35</v>
          </cell>
          <cell r="D181" t="str">
            <v>B.1.1. Public centres for educational services and assets (nursery, primary and secondary schools, university, insertion and reintegration of people into the job market).</v>
          </cell>
          <cell r="E181">
            <v>3501</v>
          </cell>
          <cell r="F181" t="str">
            <v>N/A</v>
          </cell>
          <cell r="G181" t="str">
            <v>-</v>
          </cell>
          <cell r="H181" t="str">
            <v>N/A</v>
          </cell>
        </row>
        <row r="182">
          <cell r="B182" t="str">
            <v xml:space="preserve">Education </v>
          </cell>
          <cell r="C182" t="str">
            <v>35</v>
          </cell>
          <cell r="D182" t="str">
            <v>B.1.2. Public sports and cultural education centres  / provision of services and assets, including arts, dance, sports, drama, music, etc.</v>
          </cell>
          <cell r="E182">
            <v>3502</v>
          </cell>
          <cell r="F182" t="str">
            <v>N/A</v>
          </cell>
          <cell r="G182" t="str">
            <v>-</v>
          </cell>
          <cell r="H182" t="str">
            <v>N/A</v>
          </cell>
        </row>
        <row r="183">
          <cell r="B183" t="str">
            <v xml:space="preserve">Education </v>
          </cell>
          <cell r="C183" t="str">
            <v>35</v>
          </cell>
          <cell r="D183" t="str">
            <v>B.1.3. Public centres for other activities including academic tutoring, learning centres, preparation for professional exams, languages skills, computer training, innovation.</v>
          </cell>
          <cell r="E183">
            <v>3503</v>
          </cell>
          <cell r="F183" t="str">
            <v>N/A</v>
          </cell>
          <cell r="G183" t="str">
            <v>-</v>
          </cell>
          <cell r="H183" t="str">
            <v>N/A</v>
          </cell>
        </row>
        <row r="184">
          <cell r="B184" t="str">
            <v xml:space="preserve">Education </v>
          </cell>
          <cell r="C184" t="str">
            <v>35</v>
          </cell>
          <cell r="D184" t="str">
            <v>B.1.4. Student loans if the terms and conditions offer preferential financial or payment terms to target population.</v>
          </cell>
          <cell r="E184">
            <v>3504</v>
          </cell>
          <cell r="F184" t="str">
            <v>N/A</v>
          </cell>
          <cell r="G184" t="str">
            <v>-</v>
          </cell>
          <cell r="H184" t="str">
            <v>N/A</v>
          </cell>
        </row>
        <row r="185">
          <cell r="B185" t="str">
            <v xml:space="preserve">Education </v>
          </cell>
          <cell r="C185" t="str">
            <v>35</v>
          </cell>
          <cell r="D185" t="str">
            <v>B.1.5. Loans to finance reskilling / upskilling for adults or elderly, with preferential financial or payment terms to target populations.</v>
          </cell>
          <cell r="E185">
            <v>3505</v>
          </cell>
          <cell r="F185" t="str">
            <v>N/A</v>
          </cell>
          <cell r="G185" t="str">
            <v>-</v>
          </cell>
          <cell r="H185" t="str">
            <v>N/A</v>
          </cell>
        </row>
        <row r="186">
          <cell r="B186" t="str">
            <v xml:space="preserve">Healthcare </v>
          </cell>
          <cell r="C186" t="str">
            <v>36</v>
          </cell>
          <cell r="D186" t="str">
            <v>B.2.1. Research and development (R&amp;D) for, and manufacture of:
-Basic and generic type pharmaceutical products
-Medical equipment and other supplies.</v>
          </cell>
          <cell r="E186">
            <v>3601</v>
          </cell>
          <cell r="F186" t="str">
            <v>N/A</v>
          </cell>
          <cell r="G186" t="str">
            <v>-</v>
          </cell>
          <cell r="H186" t="str">
            <v>N/A</v>
          </cell>
        </row>
        <row r="187">
          <cell r="B187" t="str">
            <v xml:space="preserve">Healthcare </v>
          </cell>
          <cell r="C187" t="str">
            <v>36</v>
          </cell>
          <cell r="D187" t="str">
            <v>B.2.2. Healthcare services (including prescribed medication at a discounted/subsidized/affordable price) and assetts in public hospitals; centres for general healthcare, specialized medicine physiotherapy, diagnostics, family planning and speech therapy; laboratories; pharmacies (that satisfy clear, social and/or public health purposes) and field hospitals</v>
          </cell>
          <cell r="E187">
            <v>3602</v>
          </cell>
          <cell r="F187" t="str">
            <v>N/A</v>
          </cell>
          <cell r="G187" t="str">
            <v>-</v>
          </cell>
          <cell r="H187" t="str">
            <v>N/A</v>
          </cell>
        </row>
        <row r="188">
          <cell r="B188" t="str">
            <v xml:space="preserve">Healthcare </v>
          </cell>
          <cell r="C188" t="str">
            <v>36</v>
          </cell>
          <cell r="D188" t="str">
            <v>B.2.3. -Public health services at specialized residential care/social work facilities to target populations, such as:
-Specialized residential care facilities.
-Non-residential social work facilities.</v>
          </cell>
          <cell r="E188">
            <v>3603</v>
          </cell>
          <cell r="F188" t="str">
            <v>N/A</v>
          </cell>
          <cell r="G188" t="str">
            <v>-</v>
          </cell>
          <cell r="H188" t="str">
            <v>N/A</v>
          </cell>
        </row>
        <row r="189">
          <cell r="B189" t="str">
            <v xml:space="preserve">Transport </v>
          </cell>
          <cell r="C189" t="str">
            <v>37</v>
          </cell>
          <cell r="D189" t="str">
            <v>B.3.1. Roads and related infrastructure for improving transport links to underdeveloped rural areas, or where road connectivity does not exist or is clearly inadequate.</v>
          </cell>
          <cell r="E189">
            <v>3701</v>
          </cell>
          <cell r="F189" t="str">
            <v>N/A</v>
          </cell>
          <cell r="G189" t="str">
            <v>-</v>
          </cell>
          <cell r="H189" t="str">
            <v>N/A</v>
          </cell>
        </row>
        <row r="190">
          <cell r="B190" t="str">
            <v xml:space="preserve">Transport </v>
          </cell>
          <cell r="C190" t="str">
            <v>37</v>
          </cell>
          <cell r="D190" t="str">
            <v>B.3.2. Public transportation infrastructure, including over- and underground railways to bring socio-economic development in target population areas.</v>
          </cell>
          <cell r="E190">
            <v>3702</v>
          </cell>
          <cell r="F190" t="str">
            <v>N/A</v>
          </cell>
          <cell r="G190" t="str">
            <v>-</v>
          </cell>
          <cell r="H190" t="str">
            <v>N/A</v>
          </cell>
        </row>
        <row r="191">
          <cell r="B191" t="str">
            <v xml:space="preserve">Transport </v>
          </cell>
          <cell r="C191" t="str">
            <v>37</v>
          </cell>
          <cell r="D191" t="str">
            <v>B.3.3. Transport infrastructure to help people with disabilities move around more easily.</v>
          </cell>
          <cell r="E191">
            <v>3703</v>
          </cell>
          <cell r="F191" t="str">
            <v>N/A</v>
          </cell>
          <cell r="G191" t="str">
            <v>-</v>
          </cell>
          <cell r="H191" t="str">
            <v>N/A</v>
          </cell>
        </row>
        <row r="192">
          <cell r="B192" t="str">
            <v xml:space="preserve">Energy </v>
          </cell>
          <cell r="C192" t="str">
            <v>38</v>
          </cell>
          <cell r="D192" t="str">
            <v xml:space="preserve">B.4.1.  -Clean (renewable) energy production and distribution in target population areas.
 -All transmission and distribution infrastructure dedicated to connecting fossil or nuclear power plants to the grid are excluded. </v>
          </cell>
          <cell r="E192">
            <v>3801</v>
          </cell>
          <cell r="F192" t="str">
            <v>N/A</v>
          </cell>
          <cell r="G192" t="str">
            <v>-</v>
          </cell>
          <cell r="H192" t="str">
            <v>N/A</v>
          </cell>
        </row>
        <row r="193">
          <cell r="B193" t="str">
            <v>Water and waste</v>
          </cell>
          <cell r="C193" t="str">
            <v>39</v>
          </cell>
          <cell r="D193" t="str">
            <v>B.5.1. Water collection, treatment and distribution infrastructure in target population areas.</v>
          </cell>
          <cell r="E193">
            <v>3901</v>
          </cell>
          <cell r="F193" t="str">
            <v>N/A</v>
          </cell>
          <cell r="G193" t="str">
            <v>-</v>
          </cell>
          <cell r="H193" t="str">
            <v>N/A</v>
          </cell>
        </row>
        <row r="194">
          <cell r="B194" t="str">
            <v>Water and waste</v>
          </cell>
          <cell r="C194" t="str">
            <v>39</v>
          </cell>
          <cell r="D194" t="str">
            <v>B.5.2. Sewage, wastewater (not derived from fossil fuel sources) treatment and collection infrastructure and of supporting integral buildings and structures in target population areas.</v>
          </cell>
          <cell r="E194">
            <v>3902</v>
          </cell>
          <cell r="F194" t="str">
            <v>N/A</v>
          </cell>
          <cell r="G194" t="str">
            <v>-</v>
          </cell>
          <cell r="H194" t="str">
            <v>N/A</v>
          </cell>
        </row>
        <row r="195">
          <cell r="B195" t="str">
            <v>Water and waste</v>
          </cell>
          <cell r="C195" t="str">
            <v>39</v>
          </cell>
          <cell r="D195" t="str">
            <v>B.5.3. Hazardous and non-hazardous waste collection, sorting, disposal, treatment and recycling in target population areas.</v>
          </cell>
          <cell r="E195">
            <v>3903</v>
          </cell>
          <cell r="F195" t="str">
            <v>N/A</v>
          </cell>
          <cell r="G195" t="str">
            <v>-</v>
          </cell>
          <cell r="H195" t="str">
            <v>N/A</v>
          </cell>
        </row>
        <row r="196">
          <cell r="B196" t="str">
            <v xml:space="preserve">Real estate </v>
          </cell>
          <cell r="C196" t="str">
            <v>40</v>
          </cell>
          <cell r="D196" t="str">
            <v>B.6.1. Affordable housing: granting of loans for housing (mortgages) for own residence purposes. Considered a social activity if the loan the bank provides has preferential financial or payment terms so that housing will remain affordable over time.</v>
          </cell>
          <cell r="E196">
            <v>4001</v>
          </cell>
          <cell r="F196" t="str">
            <v>N/A</v>
          </cell>
          <cell r="G196" t="str">
            <v>-</v>
          </cell>
          <cell r="H196" t="str">
            <v>N/A</v>
          </cell>
        </row>
        <row r="197">
          <cell r="B197" t="str">
            <v xml:space="preserve">Real estate </v>
          </cell>
          <cell r="C197" t="str">
            <v>40</v>
          </cell>
          <cell r="D197" t="str">
            <v>B.6.2. Affordable housing and associated infrastructure that meets authorities socio-economic requirements.</v>
          </cell>
          <cell r="E197">
            <v>4002</v>
          </cell>
          <cell r="F197" t="str">
            <v>N/A</v>
          </cell>
          <cell r="G197" t="str">
            <v>-</v>
          </cell>
          <cell r="H197" t="str">
            <v>N/A</v>
          </cell>
        </row>
        <row r="198">
          <cell r="B198" t="str">
            <v xml:space="preserve">Finance and insurance </v>
          </cell>
          <cell r="C198" t="str">
            <v>41</v>
          </cell>
          <cell r="D198" t="str">
            <v>B.7.1 Investment to increase access to a wide range of micro insurance and transactional banking products and services to the target population.</v>
          </cell>
          <cell r="E198">
            <v>4101</v>
          </cell>
          <cell r="F198" t="str">
            <v>N/A</v>
          </cell>
          <cell r="G198" t="str">
            <v>-</v>
          </cell>
          <cell r="H198" t="str">
            <v>N/A</v>
          </cell>
        </row>
        <row r="199">
          <cell r="B199" t="str">
            <v xml:space="preserve">Finance and insurance </v>
          </cell>
          <cell r="C199" t="str">
            <v>41</v>
          </cell>
          <cell r="D199" t="str">
            <v>B.7.2. Financing with preferential financial or payment terms to entities and individuals that have been impacted by natural, armed, health and/or human-made disasters, as well as severe socioeconomic situations.</v>
          </cell>
          <cell r="E199">
            <v>4102</v>
          </cell>
          <cell r="F199" t="str">
            <v>N/A</v>
          </cell>
          <cell r="G199" t="str">
            <v>-</v>
          </cell>
          <cell r="H199" t="str">
            <v>N/A</v>
          </cell>
        </row>
        <row r="200">
          <cell r="B200" t="str">
            <v xml:space="preserve">IT &amp; Communications </v>
          </cell>
          <cell r="C200" t="str">
            <v>42</v>
          </cell>
          <cell r="D200" t="str">
            <v>B.8.1. Telecommunications infrastructure I n target population areas.</v>
          </cell>
          <cell r="E200">
            <v>4201</v>
          </cell>
          <cell r="F200" t="str">
            <v>N/A</v>
          </cell>
          <cell r="G200" t="str">
            <v>-</v>
          </cell>
          <cell r="H200" t="str">
            <v>N/A</v>
          </cell>
        </row>
        <row r="201">
          <cell r="B201" t="str">
            <v xml:space="preserve">Non-profit organizations </v>
          </cell>
          <cell r="C201" t="str">
            <v>43</v>
          </cell>
          <cell r="D201" t="str">
            <v>B.9.1. Lending to non-profit organizations and/or registered charities.</v>
          </cell>
          <cell r="E201">
            <v>4301</v>
          </cell>
          <cell r="F201" t="str">
            <v>N/A</v>
          </cell>
          <cell r="G201" t="str">
            <v>-</v>
          </cell>
          <cell r="H201" t="str">
            <v>N/A</v>
          </cell>
        </row>
        <row r="202">
          <cell r="B202" t="str">
            <v>Special Employment Centres</v>
          </cell>
          <cell r="C202" t="str">
            <v>44</v>
          </cell>
          <cell r="D202" t="str">
            <v xml:space="preserve">B.10.1. Companies whose main objective is to provide workers with disabilities with productive and remunerated work appropriate to their personal characteristics and to facilitate their integration into the labor market. </v>
          </cell>
          <cell r="E202">
            <v>4401</v>
          </cell>
          <cell r="F202" t="str">
            <v>N/A</v>
          </cell>
          <cell r="G202" t="str">
            <v>-</v>
          </cell>
          <cell r="H202" t="str">
            <v>N/A</v>
          </cell>
        </row>
        <row r="203">
          <cell r="B203" t="str">
            <v>Food Security</v>
          </cell>
          <cell r="C203">
            <v>45</v>
          </cell>
          <cell r="D203" t="str">
            <v>B.11. Food security and sustainable food systems, including physical, social and economic access to safe, nutricious, and sufficient food that meets dietary needs and requirements, as per dietary reference values attending local criteria or international criteria</v>
          </cell>
          <cell r="E203">
            <v>4501</v>
          </cell>
          <cell r="F203" t="str">
            <v>N/A</v>
          </cell>
          <cell r="G203" t="str">
            <v>-</v>
          </cell>
          <cell r="H203" t="str">
            <v>N/A</v>
          </cell>
        </row>
      </sheetData>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ch SFICS vs EU Taxo_"/>
      <sheetName val="Match SFICS vs EU Taxo"/>
      <sheetName val="Mitigation"/>
      <sheetName val="Adaptation"/>
      <sheetName val="Water"/>
      <sheetName val="Circ. Economy"/>
      <sheetName val="Pollution"/>
      <sheetName val="Biodiversity"/>
      <sheetName val="Matriz EU Taxo"/>
      <sheetName val="Dismatch Activities"/>
      <sheetName val="Match SFICS vs UoP"/>
      <sheetName val="Hoja2"/>
    </sheetNames>
    <sheetDataSet>
      <sheetData sheetId="0" refreshError="1"/>
      <sheetData sheetId="1" refreshError="1"/>
      <sheetData sheetId="2" refreshError="1">
        <row r="1">
          <cell r="B1" t="str">
            <v>Mitigación al cambio climático</v>
          </cell>
          <cell r="C1"/>
          <cell r="D1" t="str">
            <v>Adaptación</v>
          </cell>
        </row>
        <row r="2">
          <cell r="B2" t="str">
            <v>Afforestation</v>
          </cell>
          <cell r="C2">
            <v>1</v>
          </cell>
          <cell r="D2">
            <v>1</v>
          </cell>
        </row>
        <row r="3">
          <cell r="B3" t="str">
            <v>Rehabilitation and restoration of forests, including reforestation and natural forest regeneration after an extreme event</v>
          </cell>
          <cell r="C3">
            <v>1</v>
          </cell>
          <cell r="D3">
            <v>1</v>
          </cell>
        </row>
        <row r="4">
          <cell r="B4" t="str">
            <v>Forest management</v>
          </cell>
          <cell r="C4">
            <v>1</v>
          </cell>
          <cell r="D4">
            <v>1</v>
          </cell>
        </row>
        <row r="5">
          <cell r="B5" t="str">
            <v>Conservation forestry</v>
          </cell>
          <cell r="C5">
            <v>1</v>
          </cell>
          <cell r="D5">
            <v>1</v>
          </cell>
        </row>
        <row r="6">
          <cell r="B6" t="str">
            <v>Restoration of wetlands</v>
          </cell>
          <cell r="C6">
            <v>1</v>
          </cell>
          <cell r="D6">
            <v>1</v>
          </cell>
        </row>
        <row r="7">
          <cell r="B7" t="str">
            <v>Manufacture of renewable energy technologies</v>
          </cell>
          <cell r="C7">
            <v>1</v>
          </cell>
          <cell r="D7">
            <v>1</v>
          </cell>
        </row>
        <row r="8">
          <cell r="B8" t="str">
            <v>Manufacture of equipment for the production and use of hydrogen</v>
          </cell>
          <cell r="C8">
            <v>1</v>
          </cell>
          <cell r="D8">
            <v>1</v>
          </cell>
        </row>
        <row r="9">
          <cell r="B9" t="str">
            <v>Manufacture of low carbon technologies for transport</v>
          </cell>
          <cell r="C9">
            <v>1</v>
          </cell>
          <cell r="D9">
            <v>1</v>
          </cell>
        </row>
        <row r="10">
          <cell r="B10" t="str">
            <v>Manufacture of batteries and accumulators</v>
          </cell>
          <cell r="C10">
            <v>1</v>
          </cell>
          <cell r="D10">
            <v>0</v>
          </cell>
        </row>
        <row r="11">
          <cell r="B11" t="str">
            <v>Manufacture of energy efficiency equipment for buildings</v>
          </cell>
          <cell r="C11">
            <v>1</v>
          </cell>
          <cell r="D11">
            <v>1</v>
          </cell>
        </row>
        <row r="12">
          <cell r="B12" t="str">
            <v>Manufacture of other low carbon technologies</v>
          </cell>
          <cell r="C12">
            <v>1</v>
          </cell>
          <cell r="D12">
            <v>1</v>
          </cell>
        </row>
        <row r="13">
          <cell r="B13" t="str">
            <v>Manufacture of cement</v>
          </cell>
          <cell r="C13">
            <v>1</v>
          </cell>
          <cell r="D13">
            <v>1</v>
          </cell>
        </row>
        <row r="14">
          <cell r="B14" t="str">
            <v>Manufacture of aluminium</v>
          </cell>
          <cell r="C14">
            <v>1</v>
          </cell>
          <cell r="D14">
            <v>1</v>
          </cell>
        </row>
        <row r="15">
          <cell r="B15" t="str">
            <v>Manufacture of iron and steel</v>
          </cell>
          <cell r="C15">
            <v>1</v>
          </cell>
          <cell r="D15">
            <v>1</v>
          </cell>
        </row>
        <row r="16">
          <cell r="B16" t="str">
            <v>Manufacture of hydrogen</v>
          </cell>
          <cell r="C16">
            <v>1</v>
          </cell>
          <cell r="D16">
            <v>1</v>
          </cell>
        </row>
        <row r="17">
          <cell r="B17" t="str">
            <v>Manufacture of carbon black</v>
          </cell>
          <cell r="C17">
            <v>1</v>
          </cell>
          <cell r="D17">
            <v>1</v>
          </cell>
        </row>
        <row r="18">
          <cell r="B18" t="str">
            <v>Manufacture of soda ash</v>
          </cell>
          <cell r="C18">
            <v>1</v>
          </cell>
          <cell r="D18">
            <v>1</v>
          </cell>
        </row>
        <row r="19">
          <cell r="B19" t="str">
            <v>Manufacture of chlorine</v>
          </cell>
          <cell r="C19">
            <v>1</v>
          </cell>
          <cell r="D19">
            <v>1</v>
          </cell>
        </row>
        <row r="20">
          <cell r="B20" t="str">
            <v>Manufacture of organic basic chemicals</v>
          </cell>
          <cell r="C20">
            <v>1</v>
          </cell>
          <cell r="D20">
            <v>1</v>
          </cell>
        </row>
        <row r="21">
          <cell r="B21" t="str">
            <v>Manufacture of anhydrous ammonia</v>
          </cell>
          <cell r="C21">
            <v>1</v>
          </cell>
          <cell r="D21">
            <v>1</v>
          </cell>
        </row>
        <row r="22">
          <cell r="B22" t="str">
            <v>Manufacture of nitric acid</v>
          </cell>
          <cell r="C22">
            <v>1</v>
          </cell>
          <cell r="D22">
            <v>1</v>
          </cell>
        </row>
        <row r="23">
          <cell r="B23" t="str">
            <v>Manufacture of plastics in primary form</v>
          </cell>
          <cell r="C23">
            <v>1</v>
          </cell>
          <cell r="D23">
            <v>1</v>
          </cell>
        </row>
        <row r="24">
          <cell r="B24" t="str">
            <v>Manufacture of automotive and mobility components</v>
          </cell>
          <cell r="C24">
            <v>1</v>
          </cell>
          <cell r="D24">
            <v>0</v>
          </cell>
        </row>
        <row r="25">
          <cell r="B25" t="str">
            <v>Manufacture of rail rolling stock constituents</v>
          </cell>
          <cell r="C25">
            <v>1</v>
          </cell>
          <cell r="D25">
            <v>0</v>
          </cell>
        </row>
        <row r="26">
          <cell r="B26" t="str">
            <v>Manufacture, installation, and servicing of high, medium and low voltage electrical equipment for electrical transmission and distribution that result in or enable a substantial contribution to climate change mitigation</v>
          </cell>
          <cell r="C26">
            <v>1</v>
          </cell>
          <cell r="D26">
            <v>0</v>
          </cell>
        </row>
        <row r="27">
          <cell r="B27" t="str">
            <v>Manufacturing of aircraft</v>
          </cell>
          <cell r="C27">
            <v>1</v>
          </cell>
          <cell r="D27">
            <v>0</v>
          </cell>
        </row>
        <row r="28">
          <cell r="B28" t="str">
            <v>Electricity generation using solar photovoltaic technology</v>
          </cell>
          <cell r="C28">
            <v>1</v>
          </cell>
          <cell r="D28">
            <v>0</v>
          </cell>
        </row>
        <row r="29">
          <cell r="B29" t="str">
            <v>Electricity generation using concentrated solar power (CSP) technology</v>
          </cell>
          <cell r="C29">
            <v>1</v>
          </cell>
          <cell r="D29">
            <v>0</v>
          </cell>
        </row>
        <row r="30">
          <cell r="B30" t="str">
            <v>Electricity generation from wind power</v>
          </cell>
          <cell r="C30">
            <v>1</v>
          </cell>
          <cell r="D30">
            <v>0</v>
          </cell>
        </row>
        <row r="31">
          <cell r="B31" t="str">
            <v>Electricity generation from ocean energy technologies</v>
          </cell>
          <cell r="C31">
            <v>1</v>
          </cell>
          <cell r="D31">
            <v>0</v>
          </cell>
        </row>
        <row r="32">
          <cell r="B32" t="str">
            <v>Electricity generation from hydropower</v>
          </cell>
          <cell r="C32">
            <v>1</v>
          </cell>
          <cell r="D32">
            <v>0</v>
          </cell>
        </row>
        <row r="33">
          <cell r="B33" t="str">
            <v>Electricity generation from geothermal energy</v>
          </cell>
          <cell r="C33">
            <v>1</v>
          </cell>
          <cell r="D33">
            <v>0</v>
          </cell>
        </row>
        <row r="34">
          <cell r="B34" t="str">
            <v>Electricity generation from renewable non-fossil gaseous and liquid fuels</v>
          </cell>
          <cell r="C34">
            <v>1</v>
          </cell>
          <cell r="D34">
            <v>0</v>
          </cell>
        </row>
        <row r="35">
          <cell r="B35" t="str">
            <v>Electricity generation from bioenergy</v>
          </cell>
          <cell r="C35">
            <v>1</v>
          </cell>
          <cell r="D35">
            <v>0</v>
          </cell>
        </row>
        <row r="36">
          <cell r="B36" t="str">
            <v>Transmission and distribution of electricity</v>
          </cell>
          <cell r="C36">
            <v>1</v>
          </cell>
          <cell r="D36">
            <v>0</v>
          </cell>
        </row>
        <row r="37">
          <cell r="B37" t="str">
            <v>Storage of electricity</v>
          </cell>
          <cell r="C37">
            <v>1</v>
          </cell>
          <cell r="D37">
            <v>0</v>
          </cell>
        </row>
        <row r="38">
          <cell r="B38" t="str">
            <v>Storage of thermal energy</v>
          </cell>
          <cell r="C38">
            <v>1</v>
          </cell>
          <cell r="D38">
            <v>0</v>
          </cell>
        </row>
        <row r="39">
          <cell r="B39" t="str">
            <v>Storage of hydrogen</v>
          </cell>
          <cell r="C39">
            <v>1</v>
          </cell>
          <cell r="D39">
            <v>0</v>
          </cell>
        </row>
        <row r="40">
          <cell r="B40" t="str">
            <v>Manufacture of biogas and biofuels for use in transport and of bioliquids</v>
          </cell>
          <cell r="C40">
            <v>1</v>
          </cell>
          <cell r="D40">
            <v>0</v>
          </cell>
        </row>
        <row r="41">
          <cell r="B41" t="str">
            <v>Transmission and distribution networks for renewable and low-carbon gases</v>
          </cell>
          <cell r="C41">
            <v>1</v>
          </cell>
          <cell r="D41">
            <v>0</v>
          </cell>
        </row>
        <row r="42">
          <cell r="B42" t="str">
            <v>District heating/cooling distribution</v>
          </cell>
          <cell r="C42">
            <v>1</v>
          </cell>
          <cell r="D42">
            <v>0</v>
          </cell>
        </row>
        <row r="43">
          <cell r="B43" t="str">
            <v>Installation and operation of electric heat pumps</v>
          </cell>
          <cell r="C43">
            <v>1</v>
          </cell>
          <cell r="D43">
            <v>0</v>
          </cell>
        </row>
        <row r="44">
          <cell r="B44" t="str">
            <v>Cogeneration of heat/cool and power from solar energy</v>
          </cell>
          <cell r="C44">
            <v>1</v>
          </cell>
          <cell r="D44">
            <v>0</v>
          </cell>
        </row>
        <row r="45">
          <cell r="B45" t="str">
            <v>Cogeneration of heat/cool and power from geothermal energy</v>
          </cell>
          <cell r="C45">
            <v>1</v>
          </cell>
          <cell r="D45">
            <v>0</v>
          </cell>
        </row>
        <row r="46">
          <cell r="B46" t="str">
            <v>Cogeneration of heat/cool and power from renewable non-fossil gaseous and liquid fuels</v>
          </cell>
          <cell r="C46">
            <v>1</v>
          </cell>
          <cell r="D46">
            <v>0</v>
          </cell>
        </row>
        <row r="47">
          <cell r="B47" t="str">
            <v>Cogeneration of heat/cool and power from bioenergy</v>
          </cell>
          <cell r="C47">
            <v>1</v>
          </cell>
          <cell r="D47">
            <v>0</v>
          </cell>
        </row>
        <row r="48">
          <cell r="B48" t="str">
            <v>Production of heat/cool from solar thermal heating</v>
          </cell>
          <cell r="C48">
            <v>1</v>
          </cell>
          <cell r="D48">
            <v>0</v>
          </cell>
        </row>
        <row r="49">
          <cell r="B49" t="str">
            <v>Production of heat/cool from geothermal energy</v>
          </cell>
          <cell r="C49">
            <v>1</v>
          </cell>
          <cell r="D49">
            <v>0</v>
          </cell>
        </row>
        <row r="50">
          <cell r="B50" t="str">
            <v>Production of heat/cool from renewable non-fossil gaseous and liquid fuels</v>
          </cell>
          <cell r="C50">
            <v>1</v>
          </cell>
          <cell r="D50">
            <v>0</v>
          </cell>
        </row>
        <row r="51">
          <cell r="B51" t="str">
            <v>Production of heat/cool from bioenergy</v>
          </cell>
          <cell r="C51">
            <v>1</v>
          </cell>
          <cell r="D51">
            <v>0</v>
          </cell>
        </row>
        <row r="52">
          <cell r="B52" t="str">
            <v>Production of heat/cool using waste/heat</v>
          </cell>
          <cell r="C52">
            <v>1</v>
          </cell>
          <cell r="D52">
            <v>0</v>
          </cell>
        </row>
        <row r="53">
          <cell r="B53" t="str">
            <v>Pre-commercial stages of advanced technologies to produce energy from nuclear processes with minimal waste from the fuel cycle</v>
          </cell>
          <cell r="C53">
            <v>1</v>
          </cell>
          <cell r="D53">
            <v>0</v>
          </cell>
        </row>
        <row r="54">
          <cell r="B54" t="str">
            <v>Construction and safe operation of new nuclear power plants for the generation of electricity and/or heat, including for hydrogen production using best available technologies</v>
          </cell>
          <cell r="C54">
            <v>1</v>
          </cell>
          <cell r="D54">
            <v>0</v>
          </cell>
        </row>
        <row r="55">
          <cell r="B55" t="str">
            <v>Electricity generation from nuclear energy in existing installations</v>
          </cell>
          <cell r="C55">
            <v>1</v>
          </cell>
          <cell r="D55">
            <v>0</v>
          </cell>
        </row>
        <row r="56">
          <cell r="B56" t="str">
            <v>Electricity generation from fossil gaseous fuels</v>
          </cell>
          <cell r="C56">
            <v>1</v>
          </cell>
          <cell r="D56">
            <v>0</v>
          </cell>
        </row>
        <row r="57">
          <cell r="B57" t="str">
            <v>High-efficiency co-generation of heat/cool and power from fossil gaseous fuels</v>
          </cell>
          <cell r="C57">
            <v>1</v>
          </cell>
          <cell r="D57">
            <v>0</v>
          </cell>
        </row>
        <row r="58">
          <cell r="B58" t="str">
            <v>Production of heat/cool from fossil gaseous fuels in an efficient district heating and cooling system</v>
          </cell>
          <cell r="C58">
            <v>1</v>
          </cell>
          <cell r="D58">
            <v>0</v>
          </cell>
        </row>
        <row r="59">
          <cell r="B59" t="str">
            <v>Construction, extension and operation of water collection, treatment and supply systems</v>
          </cell>
          <cell r="C59" t="str">
            <v>Construction, extension and operation of water collection, treatment and supply systems</v>
          </cell>
          <cell r="D59">
            <v>0</v>
          </cell>
        </row>
        <row r="60">
          <cell r="B60" t="str">
            <v>Renewal of water collection, treatment and supply systems</v>
          </cell>
          <cell r="C60">
            <v>1</v>
          </cell>
          <cell r="D60">
            <v>0</v>
          </cell>
        </row>
        <row r="61">
          <cell r="B61" t="str">
            <v>Construction, extension and operation of waste water collection and treatment</v>
          </cell>
          <cell r="C61">
            <v>1</v>
          </cell>
          <cell r="D61">
            <v>0</v>
          </cell>
        </row>
        <row r="62">
          <cell r="B62" t="str">
            <v>Renewal of waste water collection and treatment</v>
          </cell>
          <cell r="C62">
            <v>1</v>
          </cell>
          <cell r="D62">
            <v>0</v>
          </cell>
        </row>
        <row r="63">
          <cell r="B63" t="str">
            <v>Collection and transport of non-hazardous waste in source segregated fractions</v>
          </cell>
          <cell r="C63">
            <v>1</v>
          </cell>
          <cell r="D63">
            <v>0</v>
          </cell>
        </row>
        <row r="64">
          <cell r="B64" t="str">
            <v>Anaerobic digestion of sewage sludge</v>
          </cell>
          <cell r="C64">
            <v>1</v>
          </cell>
          <cell r="D64">
            <v>0</v>
          </cell>
        </row>
        <row r="65">
          <cell r="B65" t="str">
            <v>Anaerobic digestion of bio-waste</v>
          </cell>
          <cell r="C65">
            <v>1</v>
          </cell>
          <cell r="D65">
            <v>0</v>
          </cell>
        </row>
        <row r="66">
          <cell r="B66" t="str">
            <v>Composting of bio-waste</v>
          </cell>
          <cell r="C66">
            <v>1</v>
          </cell>
          <cell r="D66">
            <v>0</v>
          </cell>
        </row>
        <row r="67">
          <cell r="B67" t="str">
            <v>Material recovery from non-hazardous waste</v>
          </cell>
          <cell r="C67">
            <v>1</v>
          </cell>
          <cell r="D67">
            <v>0</v>
          </cell>
        </row>
        <row r="68">
          <cell r="B68" t="str">
            <v>Landfill gas capture and utilisation</v>
          </cell>
          <cell r="C68">
            <v>1</v>
          </cell>
          <cell r="D68">
            <v>0</v>
          </cell>
        </row>
        <row r="69">
          <cell r="B69" t="str">
            <v>Transport of CO2</v>
          </cell>
          <cell r="C69">
            <v>1</v>
          </cell>
          <cell r="D69">
            <v>0</v>
          </cell>
        </row>
        <row r="70">
          <cell r="B70" t="str">
            <v>Underground permanent geological storage of CO2</v>
          </cell>
          <cell r="C70">
            <v>1</v>
          </cell>
          <cell r="D70">
            <v>0</v>
          </cell>
        </row>
        <row r="71">
          <cell r="B71" t="str">
            <v>Passenger interurban rail transport</v>
          </cell>
          <cell r="C71">
            <v>1</v>
          </cell>
          <cell r="D71">
            <v>0</v>
          </cell>
        </row>
        <row r="72">
          <cell r="B72" t="str">
            <v>Freight rail transport</v>
          </cell>
          <cell r="C72">
            <v>1</v>
          </cell>
          <cell r="D72">
            <v>0</v>
          </cell>
        </row>
        <row r="73">
          <cell r="B73" t="str">
            <v>Urban and suburban transport, road passenger transport</v>
          </cell>
          <cell r="C73">
            <v>1</v>
          </cell>
          <cell r="D73">
            <v>0</v>
          </cell>
        </row>
        <row r="74">
          <cell r="B74" t="str">
            <v>Operation of personal mobility devices, cycle logistics</v>
          </cell>
          <cell r="C74">
            <v>1</v>
          </cell>
          <cell r="D74">
            <v>0</v>
          </cell>
        </row>
        <row r="75">
          <cell r="B75" t="str">
            <v>Manufacture of batteries and accumulators</v>
          </cell>
          <cell r="C75">
            <v>1</v>
          </cell>
          <cell r="D75">
            <v>0</v>
          </cell>
        </row>
        <row r="76">
          <cell r="B76" t="str">
            <v>Freight transport services by road</v>
          </cell>
          <cell r="C76">
            <v>1</v>
          </cell>
          <cell r="D76">
            <v>0</v>
          </cell>
        </row>
        <row r="77">
          <cell r="B77" t="str">
            <v>Inland passenger water transport</v>
          </cell>
          <cell r="C77">
            <v>1</v>
          </cell>
          <cell r="D77">
            <v>0</v>
          </cell>
        </row>
        <row r="78">
          <cell r="B78" t="str">
            <v>Inland freight water transport</v>
          </cell>
          <cell r="C78">
            <v>1</v>
          </cell>
          <cell r="D78">
            <v>0</v>
          </cell>
        </row>
        <row r="79">
          <cell r="B79" t="str">
            <v>Retrofitting of inland water passenger and freight transport</v>
          </cell>
          <cell r="C79">
            <v>1</v>
          </cell>
          <cell r="D79">
            <v>0</v>
          </cell>
        </row>
        <row r="80">
          <cell r="B80" t="str">
            <v>Sea and coastal freight water transport, vessels for port operations and auxiliary activities</v>
          </cell>
          <cell r="C80">
            <v>1</v>
          </cell>
          <cell r="D80">
            <v>0</v>
          </cell>
        </row>
        <row r="81">
          <cell r="B81" t="str">
            <v>Sea and coastal passenger water transport</v>
          </cell>
          <cell r="C81">
            <v>1</v>
          </cell>
          <cell r="D81">
            <v>0</v>
          </cell>
        </row>
        <row r="82">
          <cell r="B82" t="str">
            <v>Retrofitting of sea and coastal freight and passenger water transport</v>
          </cell>
          <cell r="C82">
            <v>1</v>
          </cell>
          <cell r="D82">
            <v>0</v>
          </cell>
        </row>
        <row r="83">
          <cell r="B83" t="str">
            <v>Infrastructure for personal mobility, cycle logistics</v>
          </cell>
          <cell r="C83">
            <v>1</v>
          </cell>
          <cell r="D83">
            <v>0</v>
          </cell>
        </row>
        <row r="84">
          <cell r="B84" t="str">
            <v>Infrastructure for rail transport</v>
          </cell>
          <cell r="C84">
            <v>1</v>
          </cell>
          <cell r="D84">
            <v>0</v>
          </cell>
        </row>
        <row r="85">
          <cell r="B85" t="str">
            <v>Infrastructure enabling low-carbon road transport and public transport</v>
          </cell>
          <cell r="C85">
            <v>1</v>
          </cell>
          <cell r="D85">
            <v>0</v>
          </cell>
        </row>
        <row r="86">
          <cell r="B86" t="str">
            <v>Infrastructure enabling low carbon water transport</v>
          </cell>
          <cell r="C86">
            <v>1</v>
          </cell>
          <cell r="D86">
            <v>0</v>
          </cell>
        </row>
        <row r="87">
          <cell r="B87" t="str">
            <v>Low carbon airport infrastructure</v>
          </cell>
          <cell r="C87">
            <v>1</v>
          </cell>
          <cell r="D87">
            <v>0</v>
          </cell>
        </row>
        <row r="88">
          <cell r="B88" t="str">
            <v>Leasing of aircraft</v>
          </cell>
          <cell r="C88">
            <v>1</v>
          </cell>
          <cell r="D88">
            <v>0</v>
          </cell>
        </row>
        <row r="89">
          <cell r="B89" t="str">
            <v>Passenger and freight air transport</v>
          </cell>
          <cell r="C89">
            <v>1</v>
          </cell>
          <cell r="D89">
            <v>0</v>
          </cell>
        </row>
        <row r="90">
          <cell r="B90" t="str">
            <v>Air transport ground handling operations</v>
          </cell>
          <cell r="C90">
            <v>1</v>
          </cell>
          <cell r="D90">
            <v>0</v>
          </cell>
        </row>
        <row r="91">
          <cell r="B91" t="str">
            <v>Construction of new buildings</v>
          </cell>
          <cell r="C91">
            <v>1</v>
          </cell>
          <cell r="D91">
            <v>0</v>
          </cell>
        </row>
        <row r="92">
          <cell r="B92" t="str">
            <v>Renovation of existing buildings</v>
          </cell>
          <cell r="C92">
            <v>1</v>
          </cell>
          <cell r="D92">
            <v>0</v>
          </cell>
        </row>
        <row r="93">
          <cell r="B93" t="str">
            <v>Installation, maintenance and repair of energy efficiency equipment</v>
          </cell>
          <cell r="C93">
            <v>1</v>
          </cell>
          <cell r="D93">
            <v>0</v>
          </cell>
        </row>
        <row r="94">
          <cell r="B94" t="str">
            <v>Installation, maintenance and repair of charging stations for electric vehicles in buildings (and parking spaces attached to buildings)</v>
          </cell>
          <cell r="C94">
            <v>1</v>
          </cell>
          <cell r="D94">
            <v>0</v>
          </cell>
        </row>
        <row r="95">
          <cell r="B95" t="str">
            <v>Installation, maintenance and repair of instruments and devices for measuring, regulation and controlling energy performance of buildings</v>
          </cell>
          <cell r="C95">
            <v>1</v>
          </cell>
          <cell r="D95">
            <v>0</v>
          </cell>
        </row>
        <row r="96">
          <cell r="B96" t="str">
            <v>Installation, maintenance and repair of renewable energy technologies</v>
          </cell>
          <cell r="C96">
            <v>1</v>
          </cell>
          <cell r="D96">
            <v>0</v>
          </cell>
        </row>
        <row r="97">
          <cell r="B97" t="str">
            <v>Acquisition and ownership of buildings</v>
          </cell>
          <cell r="C97">
            <v>1</v>
          </cell>
          <cell r="D97">
            <v>0</v>
          </cell>
        </row>
        <row r="98">
          <cell r="B98" t="str">
            <v>Data processing, hosting and related activities</v>
          </cell>
          <cell r="C98">
            <v>1</v>
          </cell>
          <cell r="D98">
            <v>0</v>
          </cell>
        </row>
        <row r="99">
          <cell r="B99" t="str">
            <v>Data-driven solutions for GHG emissions reductions</v>
          </cell>
          <cell r="C99">
            <v>1</v>
          </cell>
          <cell r="D99">
            <v>0</v>
          </cell>
        </row>
        <row r="100">
          <cell r="B100" t="str">
            <v>Close to market research, development and innovation</v>
          </cell>
          <cell r="C100">
            <v>1</v>
          </cell>
          <cell r="D100">
            <v>0</v>
          </cell>
        </row>
        <row r="101">
          <cell r="B101" t="str">
            <v>Research, development and innovation for direct air capture of CO2</v>
          </cell>
          <cell r="C101">
            <v>1</v>
          </cell>
          <cell r="D101">
            <v>0</v>
          </cell>
        </row>
        <row r="102">
          <cell r="B102" t="str">
            <v>Professional services related to energy performance of buildings</v>
          </cell>
          <cell r="C102">
            <v>1</v>
          </cell>
          <cell r="D102">
            <v>0</v>
          </cell>
        </row>
      </sheetData>
      <sheetData sheetId="3" refreshError="1">
        <row r="1">
          <cell r="B1" t="str">
            <v>Adaptación al cambio climático</v>
          </cell>
          <cell r="D1" t="str">
            <v>Mitigación</v>
          </cell>
        </row>
        <row r="2">
          <cell r="B2" t="str">
            <v>Afforestation</v>
          </cell>
          <cell r="C2">
            <v>1</v>
          </cell>
          <cell r="D2">
            <v>1</v>
          </cell>
        </row>
        <row r="3">
          <cell r="B3" t="str">
            <v>Rehabilitation and restoration of forests, including reforestation and natural forest regeneration after an extreme event</v>
          </cell>
          <cell r="C3">
            <v>1</v>
          </cell>
          <cell r="D3">
            <v>1</v>
          </cell>
        </row>
        <row r="4">
          <cell r="B4" t="str">
            <v>Forest management</v>
          </cell>
          <cell r="C4">
            <v>1</v>
          </cell>
          <cell r="D4">
            <v>1</v>
          </cell>
        </row>
        <row r="5">
          <cell r="B5" t="str">
            <v>Conservation forestry</v>
          </cell>
          <cell r="C5">
            <v>1</v>
          </cell>
          <cell r="D5">
            <v>1</v>
          </cell>
        </row>
        <row r="6">
          <cell r="B6" t="str">
            <v>Restoration of wetlands</v>
          </cell>
          <cell r="C6">
            <v>1</v>
          </cell>
          <cell r="D6">
            <v>1</v>
          </cell>
        </row>
        <row r="7">
          <cell r="B7" t="str">
            <v>Manufacture of renewable energy technologies</v>
          </cell>
          <cell r="C7">
            <v>1</v>
          </cell>
          <cell r="D7">
            <v>1</v>
          </cell>
        </row>
        <row r="8">
          <cell r="B8" t="str">
            <v>Manufacture of equipment for the production and use of hydrogen</v>
          </cell>
          <cell r="C8">
            <v>1</v>
          </cell>
          <cell r="D8">
            <v>1</v>
          </cell>
        </row>
        <row r="9">
          <cell r="B9" t="str">
            <v>Manufacture of low carbon technologies for transport</v>
          </cell>
          <cell r="C9">
            <v>1</v>
          </cell>
          <cell r="D9">
            <v>1</v>
          </cell>
        </row>
        <row r="10">
          <cell r="B10" t="str">
            <v>Manufacture of batteries</v>
          </cell>
          <cell r="C10">
            <v>1</v>
          </cell>
          <cell r="D10">
            <v>0</v>
          </cell>
        </row>
        <row r="11">
          <cell r="B11" t="str">
            <v>Manufacture of energy efficiency equipment for buildings</v>
          </cell>
          <cell r="C11">
            <v>1</v>
          </cell>
          <cell r="D11">
            <v>1</v>
          </cell>
        </row>
        <row r="12">
          <cell r="B12" t="str">
            <v>Manufacture of other low carbon technologies</v>
          </cell>
          <cell r="C12">
            <v>1</v>
          </cell>
          <cell r="D12">
            <v>1</v>
          </cell>
        </row>
        <row r="13">
          <cell r="B13" t="str">
            <v>Manufacture of cement</v>
          </cell>
          <cell r="C13">
            <v>1</v>
          </cell>
          <cell r="D13">
            <v>1</v>
          </cell>
        </row>
        <row r="14">
          <cell r="B14" t="str">
            <v>Manufacture of aluminium</v>
          </cell>
          <cell r="C14">
            <v>1</v>
          </cell>
          <cell r="D14">
            <v>1</v>
          </cell>
        </row>
        <row r="15">
          <cell r="B15" t="str">
            <v>Manufacture of iron and steel</v>
          </cell>
          <cell r="C15">
            <v>1</v>
          </cell>
          <cell r="D15">
            <v>1</v>
          </cell>
        </row>
        <row r="16">
          <cell r="B16" t="str">
            <v>Manufacture of hydrogen</v>
          </cell>
          <cell r="C16">
            <v>1</v>
          </cell>
          <cell r="D16">
            <v>1</v>
          </cell>
        </row>
        <row r="17">
          <cell r="B17" t="str">
            <v>Manufacture of carbon black</v>
          </cell>
          <cell r="C17">
            <v>1</v>
          </cell>
          <cell r="D17">
            <v>1</v>
          </cell>
        </row>
        <row r="18">
          <cell r="B18" t="str">
            <v>Manufacture of soda ash</v>
          </cell>
          <cell r="C18">
            <v>1</v>
          </cell>
          <cell r="D18">
            <v>1</v>
          </cell>
        </row>
        <row r="19">
          <cell r="B19" t="str">
            <v>Manufacture of chlorine</v>
          </cell>
          <cell r="C19">
            <v>1</v>
          </cell>
          <cell r="D19">
            <v>1</v>
          </cell>
        </row>
        <row r="20">
          <cell r="B20" t="str">
            <v>Manufacture of organic basic chemicals</v>
          </cell>
          <cell r="C20">
            <v>1</v>
          </cell>
          <cell r="D20">
            <v>1</v>
          </cell>
        </row>
        <row r="21">
          <cell r="B21" t="str">
            <v>Manufacture of anhydrous ammonia</v>
          </cell>
          <cell r="C21">
            <v>1</v>
          </cell>
          <cell r="D21">
            <v>1</v>
          </cell>
        </row>
        <row r="22">
          <cell r="B22" t="str">
            <v>Manufacture of nitric acid</v>
          </cell>
          <cell r="C22">
            <v>1</v>
          </cell>
          <cell r="D22">
            <v>1</v>
          </cell>
        </row>
        <row r="23">
          <cell r="B23" t="str">
            <v>Manufacture of plastics in primary form</v>
          </cell>
          <cell r="C23">
            <v>1</v>
          </cell>
          <cell r="D23">
            <v>1</v>
          </cell>
        </row>
        <row r="24">
          <cell r="B24" t="str">
            <v>Electricity generation using solar photovoltaic technology</v>
          </cell>
          <cell r="C24">
            <v>1</v>
          </cell>
          <cell r="D24">
            <v>1</v>
          </cell>
        </row>
        <row r="25">
          <cell r="B25" t="str">
            <v>Electricity generation using concentrated solar power (CSP) technology</v>
          </cell>
          <cell r="C25">
            <v>1</v>
          </cell>
          <cell r="D25">
            <v>1</v>
          </cell>
        </row>
        <row r="26">
          <cell r="B26" t="str">
            <v>Electricity generation from wind power</v>
          </cell>
          <cell r="C26">
            <v>1</v>
          </cell>
          <cell r="D26">
            <v>1</v>
          </cell>
        </row>
        <row r="27">
          <cell r="B27" t="str">
            <v>Electricity generation from ocean energy technologies</v>
          </cell>
          <cell r="C27">
            <v>1</v>
          </cell>
          <cell r="D27">
            <v>1</v>
          </cell>
        </row>
        <row r="28">
          <cell r="B28" t="str">
            <v>Electricity generation from hydropower</v>
          </cell>
          <cell r="C28">
            <v>1</v>
          </cell>
          <cell r="D28">
            <v>1</v>
          </cell>
        </row>
        <row r="29">
          <cell r="B29" t="str">
            <v>Electricity generation from geothermal energy</v>
          </cell>
          <cell r="C29">
            <v>1</v>
          </cell>
          <cell r="D29">
            <v>1</v>
          </cell>
        </row>
        <row r="30">
          <cell r="B30" t="str">
            <v>Electricity generation from renewable non-fossil gaseous and liquid fuels</v>
          </cell>
          <cell r="C30">
            <v>1</v>
          </cell>
          <cell r="D30">
            <v>1</v>
          </cell>
        </row>
        <row r="31">
          <cell r="B31" t="str">
            <v>Electricity generation from bioenergy</v>
          </cell>
          <cell r="C31">
            <v>1</v>
          </cell>
          <cell r="D31">
            <v>1</v>
          </cell>
        </row>
        <row r="32">
          <cell r="B32" t="str">
            <v>Transmission and distribution of electricity</v>
          </cell>
          <cell r="C32">
            <v>1</v>
          </cell>
          <cell r="D32">
            <v>1</v>
          </cell>
        </row>
        <row r="33">
          <cell r="B33" t="str">
            <v>Storage of electricity</v>
          </cell>
          <cell r="C33">
            <v>1</v>
          </cell>
          <cell r="D33">
            <v>1</v>
          </cell>
        </row>
        <row r="34">
          <cell r="B34" t="str">
            <v>Storage of thermal energy</v>
          </cell>
          <cell r="C34">
            <v>1</v>
          </cell>
          <cell r="D34">
            <v>1</v>
          </cell>
        </row>
        <row r="35">
          <cell r="B35" t="str">
            <v>Storage of hydrogen</v>
          </cell>
          <cell r="C35">
            <v>1</v>
          </cell>
          <cell r="D35">
            <v>1</v>
          </cell>
        </row>
        <row r="36">
          <cell r="B36" t="str">
            <v>Manufacture of biogas and biofuels for use in transport and of bioliquids</v>
          </cell>
          <cell r="C36">
            <v>1</v>
          </cell>
          <cell r="D36">
            <v>1</v>
          </cell>
        </row>
        <row r="37">
          <cell r="B37" t="str">
            <v>Transmission and distribution networks for renewable and low-carbon gases</v>
          </cell>
          <cell r="C37">
            <v>1</v>
          </cell>
          <cell r="D37">
            <v>1</v>
          </cell>
        </row>
        <row r="38">
          <cell r="B38" t="str">
            <v>District heating/cooling distribution</v>
          </cell>
          <cell r="C38">
            <v>1</v>
          </cell>
          <cell r="D38">
            <v>1</v>
          </cell>
        </row>
        <row r="39">
          <cell r="B39" t="str">
            <v>Installation and operation of electric heat pumps</v>
          </cell>
          <cell r="C39">
            <v>1</v>
          </cell>
          <cell r="D39">
            <v>1</v>
          </cell>
        </row>
        <row r="40">
          <cell r="B40" t="str">
            <v>Cogeneration of heat/cool and power from solar energy</v>
          </cell>
          <cell r="C40">
            <v>1</v>
          </cell>
          <cell r="D40">
            <v>1</v>
          </cell>
        </row>
        <row r="41">
          <cell r="B41" t="str">
            <v>Cogeneration of heat/cool and power from geothermal energy</v>
          </cell>
          <cell r="C41">
            <v>1</v>
          </cell>
          <cell r="D41">
            <v>1</v>
          </cell>
        </row>
        <row r="42">
          <cell r="B42" t="str">
            <v>Cogeneration of heat/cool and power from renewable non-fossil gaseous and liquid fuels</v>
          </cell>
          <cell r="C42">
            <v>1</v>
          </cell>
          <cell r="D42">
            <v>1</v>
          </cell>
        </row>
        <row r="43">
          <cell r="B43" t="str">
            <v>Cogeneration of heat/cool and power from bioenergy</v>
          </cell>
          <cell r="C43">
            <v>1</v>
          </cell>
          <cell r="D43">
            <v>1</v>
          </cell>
        </row>
        <row r="44">
          <cell r="B44" t="str">
            <v>Production of heat/cool from solar thermal heating</v>
          </cell>
          <cell r="C44">
            <v>1</v>
          </cell>
          <cell r="D44">
            <v>1</v>
          </cell>
        </row>
        <row r="45">
          <cell r="B45" t="str">
            <v>Production of heat/cool from geothermal energy</v>
          </cell>
          <cell r="C45">
            <v>1</v>
          </cell>
          <cell r="D45">
            <v>1</v>
          </cell>
        </row>
        <row r="46">
          <cell r="B46" t="str">
            <v>Production of heat/cool from renewable non-fossil gaseous and liquid fuels</v>
          </cell>
          <cell r="C46">
            <v>1</v>
          </cell>
          <cell r="D46">
            <v>1</v>
          </cell>
        </row>
        <row r="47">
          <cell r="B47" t="str">
            <v>Production of heat/cool from bioenergy</v>
          </cell>
          <cell r="C47">
            <v>1</v>
          </cell>
          <cell r="D47">
            <v>1</v>
          </cell>
        </row>
        <row r="48">
          <cell r="B48" t="str">
            <v>Production of heat/cool using waste/heat</v>
          </cell>
          <cell r="C48">
            <v>1</v>
          </cell>
          <cell r="D48">
            <v>1</v>
          </cell>
        </row>
        <row r="49">
          <cell r="B49" t="str">
            <v>Pre-commercial stages of advanced technologies to produce energy from nuclear processes with minimal waste from the fuel cycle</v>
          </cell>
          <cell r="C49">
            <v>1</v>
          </cell>
          <cell r="D49">
            <v>1</v>
          </cell>
        </row>
        <row r="50">
          <cell r="B50" t="str">
            <v>Construction and safe operation of new nuclear power plants for the generation of electricity and/or heat, including for hydrogen production using best available technologies</v>
          </cell>
          <cell r="C50">
            <v>1</v>
          </cell>
          <cell r="D50">
            <v>1</v>
          </cell>
        </row>
        <row r="51">
          <cell r="B51" t="str">
            <v>Electricity generation from nuclear energy in existing installations</v>
          </cell>
          <cell r="C51">
            <v>1</v>
          </cell>
          <cell r="D51">
            <v>1</v>
          </cell>
        </row>
        <row r="52">
          <cell r="B52" t="str">
            <v>Electricity generation from fossil gaseous fuels</v>
          </cell>
          <cell r="C52">
            <v>1</v>
          </cell>
          <cell r="D52">
            <v>1</v>
          </cell>
        </row>
        <row r="53">
          <cell r="B53" t="str">
            <v>High-efficiency co-generation of heat/cool and power from fossil gaseous fuels</v>
          </cell>
          <cell r="C53">
            <v>1</v>
          </cell>
          <cell r="D53">
            <v>1</v>
          </cell>
        </row>
        <row r="54">
          <cell r="B54" t="str">
            <v>Production of heat/cool from fossil gaseous fuels in an efficient district heating and cooling system</v>
          </cell>
          <cell r="C54">
            <v>1</v>
          </cell>
          <cell r="D54">
            <v>1</v>
          </cell>
        </row>
        <row r="55">
          <cell r="B55" t="str">
            <v>Construction, extension and operation of water collection, treatment and supply systems</v>
          </cell>
          <cell r="C55">
            <v>1</v>
          </cell>
          <cell r="D55" t="str">
            <v>Construction, extension and operation of water collection, treatment and supply systems</v>
          </cell>
        </row>
        <row r="56">
          <cell r="B56" t="str">
            <v>Renewal of water collection, treatment and supply systems</v>
          </cell>
          <cell r="C56">
            <v>1</v>
          </cell>
          <cell r="D56">
            <v>1</v>
          </cell>
        </row>
        <row r="57">
          <cell r="B57" t="str">
            <v>Construction, extension and operation of waste water collection and treatment</v>
          </cell>
          <cell r="C57">
            <v>1</v>
          </cell>
          <cell r="D57">
            <v>1</v>
          </cell>
        </row>
        <row r="58">
          <cell r="B58" t="str">
            <v>Renewal of waste water collection and treatment</v>
          </cell>
          <cell r="C58">
            <v>1</v>
          </cell>
          <cell r="D58">
            <v>1</v>
          </cell>
        </row>
        <row r="59">
          <cell r="B59" t="str">
            <v>Collection and transport of non-hazardous waste in source segregated fractions</v>
          </cell>
          <cell r="C59">
            <v>1</v>
          </cell>
          <cell r="D59">
            <v>1</v>
          </cell>
        </row>
        <row r="60">
          <cell r="B60" t="str">
            <v>Anaerobic digestion of sewage sludge</v>
          </cell>
          <cell r="C60">
            <v>1</v>
          </cell>
          <cell r="D60">
            <v>1</v>
          </cell>
        </row>
        <row r="61">
          <cell r="B61" t="str">
            <v>Anaerobic digestion of bio-waste</v>
          </cell>
          <cell r="C61">
            <v>1</v>
          </cell>
          <cell r="D61">
            <v>1</v>
          </cell>
        </row>
        <row r="62">
          <cell r="B62" t="str">
            <v>Composting of bio-waste</v>
          </cell>
          <cell r="C62">
            <v>1</v>
          </cell>
          <cell r="D62">
            <v>1</v>
          </cell>
        </row>
        <row r="63">
          <cell r="B63" t="str">
            <v>Material recovery from non-hazardous waste</v>
          </cell>
          <cell r="C63">
            <v>1</v>
          </cell>
          <cell r="D63">
            <v>1</v>
          </cell>
        </row>
        <row r="64">
          <cell r="B64" t="str">
            <v>Landfill gas capture and utilisation</v>
          </cell>
          <cell r="C64">
            <v>1</v>
          </cell>
          <cell r="D64">
            <v>1</v>
          </cell>
        </row>
        <row r="65">
          <cell r="B65" t="str">
            <v>Transport of CO2</v>
          </cell>
          <cell r="C65">
            <v>1</v>
          </cell>
          <cell r="D65">
            <v>1</v>
          </cell>
        </row>
        <row r="66">
          <cell r="B66" t="str">
            <v>Underground permanent geological storage of CO2</v>
          </cell>
          <cell r="C66">
            <v>1</v>
          </cell>
          <cell r="D66">
            <v>1</v>
          </cell>
        </row>
        <row r="67">
          <cell r="B67" t="str">
            <v>Desalination</v>
          </cell>
          <cell r="C67">
            <v>1</v>
          </cell>
          <cell r="D67">
            <v>0</v>
          </cell>
        </row>
        <row r="68">
          <cell r="B68" t="str">
            <v>Passenger interurban rail transport</v>
          </cell>
          <cell r="C68">
            <v>1</v>
          </cell>
          <cell r="D68">
            <v>1</v>
          </cell>
        </row>
        <row r="69">
          <cell r="B69" t="str">
            <v>Freight rail transport</v>
          </cell>
          <cell r="C69">
            <v>1</v>
          </cell>
          <cell r="D69">
            <v>1</v>
          </cell>
        </row>
        <row r="70">
          <cell r="B70" t="str">
            <v>Urban and suburban transport, road passenger transport</v>
          </cell>
          <cell r="C70">
            <v>1</v>
          </cell>
          <cell r="D70">
            <v>1</v>
          </cell>
        </row>
        <row r="71">
          <cell r="B71" t="str">
            <v>Operation of personal mobility devices, cycle logistics</v>
          </cell>
          <cell r="C71">
            <v>1</v>
          </cell>
          <cell r="D71">
            <v>1</v>
          </cell>
        </row>
        <row r="72">
          <cell r="B72" t="str">
            <v>Transport by motorbikes, passenger cars and light commercial vehicles</v>
          </cell>
          <cell r="C72">
            <v>1</v>
          </cell>
          <cell r="D72">
            <v>0</v>
          </cell>
        </row>
        <row r="73">
          <cell r="B73" t="str">
            <v>Freight transport services by road</v>
          </cell>
          <cell r="C73">
            <v>1</v>
          </cell>
          <cell r="D73">
            <v>1</v>
          </cell>
        </row>
        <row r="74">
          <cell r="B74" t="str">
            <v>Inland passenger water transport</v>
          </cell>
          <cell r="C74">
            <v>1</v>
          </cell>
          <cell r="D74">
            <v>1</v>
          </cell>
        </row>
        <row r="75">
          <cell r="B75" t="str">
            <v>Inland freight water transport</v>
          </cell>
          <cell r="C75">
            <v>1</v>
          </cell>
          <cell r="D75">
            <v>1</v>
          </cell>
        </row>
        <row r="76">
          <cell r="B76" t="str">
            <v>Retrofitting of inland water passenger and freight transport</v>
          </cell>
          <cell r="C76">
            <v>1</v>
          </cell>
          <cell r="D76">
            <v>1</v>
          </cell>
        </row>
        <row r="77">
          <cell r="B77" t="str">
            <v>Sea and coastal freight water transport, vessels for port operations and auxiliary activities</v>
          </cell>
          <cell r="C77">
            <v>1</v>
          </cell>
          <cell r="D77">
            <v>1</v>
          </cell>
        </row>
        <row r="78">
          <cell r="B78" t="str">
            <v>Sea and coastal passenger water transport</v>
          </cell>
          <cell r="C78">
            <v>1</v>
          </cell>
          <cell r="D78">
            <v>1</v>
          </cell>
        </row>
        <row r="79">
          <cell r="B79" t="str">
            <v>Retrofitting of sea and coastal freight and passenger water transport</v>
          </cell>
          <cell r="C79">
            <v>1</v>
          </cell>
          <cell r="D79">
            <v>1</v>
          </cell>
        </row>
        <row r="80">
          <cell r="B80" t="str">
            <v>Infrastructure for personal mobility, cycle logistics</v>
          </cell>
          <cell r="C80">
            <v>1</v>
          </cell>
          <cell r="D80">
            <v>1</v>
          </cell>
        </row>
        <row r="81">
          <cell r="B81" t="str">
            <v>Infrastructure for rail transport</v>
          </cell>
          <cell r="C81">
            <v>1</v>
          </cell>
          <cell r="D81">
            <v>1</v>
          </cell>
        </row>
        <row r="82">
          <cell r="B82" t="str">
            <v>Infrastructure enabling road transport and public transport</v>
          </cell>
          <cell r="C82">
            <v>1</v>
          </cell>
          <cell r="D82">
            <v>0</v>
          </cell>
        </row>
        <row r="83">
          <cell r="B83" t="str">
            <v>Infrastructure for water transport</v>
          </cell>
          <cell r="C83">
            <v>1</v>
          </cell>
          <cell r="D83">
            <v>0</v>
          </cell>
        </row>
        <row r="84">
          <cell r="B84" t="str">
            <v>Airport infrastructure</v>
          </cell>
          <cell r="C84">
            <v>1</v>
          </cell>
          <cell r="D84">
            <v>0</v>
          </cell>
        </row>
        <row r="85">
          <cell r="B85" t="str">
            <v>Construction of new buildings</v>
          </cell>
          <cell r="C85">
            <v>1</v>
          </cell>
          <cell r="D85">
            <v>1</v>
          </cell>
        </row>
        <row r="86">
          <cell r="B86" t="str">
            <v>Renovation of existing buildings</v>
          </cell>
          <cell r="C86">
            <v>1</v>
          </cell>
          <cell r="D86">
            <v>1</v>
          </cell>
        </row>
        <row r="87">
          <cell r="B87" t="str">
            <v>Installation, maintenance and repair of energy efficiency equipment</v>
          </cell>
          <cell r="C87">
            <v>1</v>
          </cell>
          <cell r="D87">
            <v>1</v>
          </cell>
        </row>
        <row r="88">
          <cell r="B88" t="str">
            <v>Installation, maintenance and repair of charging stations for electric vehicles in buildings (and parking spaces attached to buildings)</v>
          </cell>
          <cell r="C88">
            <v>1</v>
          </cell>
          <cell r="D88">
            <v>1</v>
          </cell>
        </row>
        <row r="89">
          <cell r="B89" t="str">
            <v>Installation, maintenance and repair of instruments and devices for measuring, regulation and controlling energy performance of buildings</v>
          </cell>
          <cell r="C89">
            <v>1</v>
          </cell>
          <cell r="D89">
            <v>1</v>
          </cell>
        </row>
        <row r="90">
          <cell r="B90" t="str">
            <v>Installation, maintenance and repair of renewable energy technologies</v>
          </cell>
          <cell r="C90">
            <v>1</v>
          </cell>
          <cell r="D90">
            <v>1</v>
          </cell>
        </row>
        <row r="91">
          <cell r="B91" t="str">
            <v>Acquisition and ownership of buildings</v>
          </cell>
          <cell r="C91">
            <v>1</v>
          </cell>
          <cell r="D91">
            <v>1</v>
          </cell>
        </row>
        <row r="92">
          <cell r="B92" t="str">
            <v>Data processing, hosting and related activities</v>
          </cell>
          <cell r="C92">
            <v>1</v>
          </cell>
          <cell r="D92">
            <v>1</v>
          </cell>
        </row>
        <row r="93">
          <cell r="B93" t="str">
            <v>Computer programming, consultancy and related activities</v>
          </cell>
          <cell r="C93">
            <v>1</v>
          </cell>
          <cell r="D93">
            <v>0</v>
          </cell>
        </row>
        <row r="94">
          <cell r="B94" t="str">
            <v>Programming and broadcasting activities</v>
          </cell>
          <cell r="C94">
            <v>1</v>
          </cell>
          <cell r="D94">
            <v>0</v>
          </cell>
        </row>
        <row r="95">
          <cell r="B95" t="str">
            <v>Software enabling physical climate risk management and adaptation</v>
          </cell>
          <cell r="C95">
            <v>1</v>
          </cell>
          <cell r="D95">
            <v>0</v>
          </cell>
        </row>
        <row r="96">
          <cell r="B96" t="str">
            <v>Engineering activities and related technical consultancy dedicated to adaptation to climate change</v>
          </cell>
          <cell r="C96">
            <v>1</v>
          </cell>
          <cell r="D96">
            <v>0</v>
          </cell>
        </row>
        <row r="97">
          <cell r="B97" t="str">
            <v>Close to market research, development and innovation</v>
          </cell>
          <cell r="C97">
            <v>1</v>
          </cell>
          <cell r="D97">
            <v>1</v>
          </cell>
        </row>
        <row r="98">
          <cell r="B98" t="str">
            <v>Consultancy for physical climate risk management and adaptation</v>
          </cell>
          <cell r="C98">
            <v>1</v>
          </cell>
          <cell r="D98">
            <v>0</v>
          </cell>
        </row>
        <row r="99">
          <cell r="B99" t="str">
            <v>Non-life insurance: underwriting of climate-related perils</v>
          </cell>
          <cell r="C99">
            <v>1</v>
          </cell>
          <cell r="D99">
            <v>0</v>
          </cell>
        </row>
        <row r="100">
          <cell r="B100" t="str">
            <v>Reinsurance</v>
          </cell>
          <cell r="C100">
            <v>1</v>
          </cell>
          <cell r="D100">
            <v>0</v>
          </cell>
        </row>
        <row r="101">
          <cell r="B101" t="str">
            <v>Education</v>
          </cell>
          <cell r="C101">
            <v>1</v>
          </cell>
          <cell r="D101">
            <v>0</v>
          </cell>
        </row>
        <row r="102">
          <cell r="B102" t="str">
            <v>Residential care activities</v>
          </cell>
          <cell r="D102">
            <v>0</v>
          </cell>
        </row>
        <row r="103">
          <cell r="B103" t="str">
            <v>Creative, arts and entertainment activities</v>
          </cell>
          <cell r="D103">
            <v>0</v>
          </cell>
        </row>
        <row r="104">
          <cell r="B104" t="str">
            <v>Libraries, archives, museums and cultural activities</v>
          </cell>
          <cell r="D104">
            <v>0</v>
          </cell>
        </row>
        <row r="105">
          <cell r="B105" t="str">
            <v>Motion picture, video and television programme production, sound recording and music publishing activities</v>
          </cell>
          <cell r="D105">
            <v>0</v>
          </cell>
        </row>
        <row r="106">
          <cell r="B106" t="str">
            <v>Emergency Services</v>
          </cell>
          <cell r="C106">
            <v>1</v>
          </cell>
          <cell r="D106">
            <v>0</v>
          </cell>
        </row>
        <row r="107">
          <cell r="B107" t="str">
            <v>Flood risk prevention and protection infrastructure</v>
          </cell>
          <cell r="C107">
            <v>1</v>
          </cell>
          <cell r="D107">
            <v>0</v>
          </cell>
        </row>
      </sheetData>
      <sheetData sheetId="4" refreshError="1">
        <row r="1">
          <cell r="B1" t="str">
            <v>Uso sostenible y protección de los recursos hídricos y marinos</v>
          </cell>
          <cell r="D1" t="str">
            <v>Econ Circular</v>
          </cell>
        </row>
        <row r="2">
          <cell r="B2" t="str">
            <v>Manufacture, installation and associated services for leakage control technologies enabling leakage reduction and prevention in water supply systems</v>
          </cell>
          <cell r="C2">
            <v>1</v>
          </cell>
          <cell r="D2">
            <v>0</v>
          </cell>
        </row>
        <row r="3">
          <cell r="B3" t="str">
            <v>Water supply</v>
          </cell>
          <cell r="C3">
            <v>1</v>
          </cell>
          <cell r="D3">
            <v>0</v>
          </cell>
        </row>
        <row r="4">
          <cell r="B4" t="str">
            <v>Urban Waste Water Treatment</v>
          </cell>
          <cell r="C4">
            <v>1</v>
          </cell>
          <cell r="D4">
            <v>0</v>
          </cell>
        </row>
        <row r="5">
          <cell r="B5" t="str">
            <v>Sustainable urban drainage systems (SUDS)</v>
          </cell>
          <cell r="C5">
            <v>1</v>
          </cell>
          <cell r="D5">
            <v>0</v>
          </cell>
        </row>
        <row r="6">
          <cell r="B6" t="str">
            <v>Nature-based solutions for flood and drought risk prevention and protection</v>
          </cell>
          <cell r="C6">
            <v>1</v>
          </cell>
          <cell r="D6">
            <v>0</v>
          </cell>
        </row>
        <row r="7">
          <cell r="B7" t="str">
            <v>Provision of IT/OT data-driven solutions for leakage reduction</v>
          </cell>
          <cell r="C7">
            <v>1</v>
          </cell>
          <cell r="D7">
            <v>0</v>
          </cell>
        </row>
      </sheetData>
      <sheetData sheetId="5" refreshError="1">
        <row r="1">
          <cell r="B1" t="str">
            <v>Economía circular</v>
          </cell>
          <cell r="D1" t="str">
            <v>Contaminación</v>
          </cell>
        </row>
        <row r="2">
          <cell r="B2" t="str">
            <v>Manufacture of plastic packaging goods</v>
          </cell>
          <cell r="C2">
            <v>1</v>
          </cell>
          <cell r="D2">
            <v>0</v>
          </cell>
        </row>
        <row r="3">
          <cell r="B3" t="str">
            <v>Manufacture of electrical and electronic equipment</v>
          </cell>
          <cell r="C3">
            <v>1</v>
          </cell>
          <cell r="D3">
            <v>0</v>
          </cell>
        </row>
        <row r="4">
          <cell r="B4" t="str">
            <v>Phosphorus recovery from waste water</v>
          </cell>
          <cell r="C4">
            <v>1</v>
          </cell>
          <cell r="D4">
            <v>0</v>
          </cell>
        </row>
        <row r="5">
          <cell r="B5" t="str">
            <v>Production of alternative water resources for purposes other than human consumption</v>
          </cell>
          <cell r="C5">
            <v>1</v>
          </cell>
          <cell r="D5">
            <v>0</v>
          </cell>
        </row>
        <row r="6">
          <cell r="B6" t="str">
            <v>Collection and transport of non-hazardous and hazardous waste</v>
          </cell>
          <cell r="C6">
            <v>1</v>
          </cell>
          <cell r="D6">
            <v>0</v>
          </cell>
        </row>
        <row r="7">
          <cell r="B7" t="str">
            <v>Treatment of hazardous waste</v>
          </cell>
          <cell r="C7">
            <v>1</v>
          </cell>
          <cell r="D7">
            <v>1</v>
          </cell>
        </row>
        <row r="8">
          <cell r="B8" t="str">
            <v>Recovery of bio-waste by anaerobic digestion or composting</v>
          </cell>
          <cell r="C8">
            <v>1</v>
          </cell>
          <cell r="D8">
            <v>0</v>
          </cell>
        </row>
        <row r="9">
          <cell r="B9" t="str">
            <v>Depollution and dismantling of end-of-life products</v>
          </cell>
          <cell r="C9">
            <v>1</v>
          </cell>
          <cell r="D9">
            <v>0</v>
          </cell>
        </row>
        <row r="10">
          <cell r="B10" t="str">
            <v>Sorting and material recovery of non-hazardous waste</v>
          </cell>
          <cell r="C10">
            <v>1</v>
          </cell>
          <cell r="D10">
            <v>0</v>
          </cell>
        </row>
        <row r="11">
          <cell r="B11" t="str">
            <v>Construction of new buildings</v>
          </cell>
          <cell r="C11">
            <v>1</v>
          </cell>
          <cell r="D11">
            <v>0</v>
          </cell>
        </row>
        <row r="12">
          <cell r="B12" t="str">
            <v>Renovation of existing buildings</v>
          </cell>
          <cell r="C12">
            <v>1</v>
          </cell>
          <cell r="D12">
            <v>0</v>
          </cell>
        </row>
        <row r="13">
          <cell r="B13" t="str">
            <v>Demolition and wrecking of buildings and other structures</v>
          </cell>
          <cell r="C13">
            <v>1</v>
          </cell>
          <cell r="D13">
            <v>0</v>
          </cell>
        </row>
        <row r="14">
          <cell r="B14" t="str">
            <v>Maintenance of roads and motorways</v>
          </cell>
          <cell r="C14">
            <v>1</v>
          </cell>
          <cell r="D14">
            <v>0</v>
          </cell>
        </row>
        <row r="15">
          <cell r="B15" t="str">
            <v>Use of concrete in civil engineering</v>
          </cell>
          <cell r="C15">
            <v>1</v>
          </cell>
          <cell r="D15">
            <v>0</v>
          </cell>
        </row>
        <row r="16">
          <cell r="B16" t="str">
            <v>Provision of IT/OT data-driven solutions</v>
          </cell>
          <cell r="C16">
            <v>1</v>
          </cell>
          <cell r="D16">
            <v>0</v>
          </cell>
        </row>
        <row r="17">
          <cell r="B17" t="str">
            <v>Repair, refurbishment and remanufacturing</v>
          </cell>
          <cell r="C17">
            <v>1</v>
          </cell>
          <cell r="D17">
            <v>0</v>
          </cell>
        </row>
        <row r="18">
          <cell r="B18" t="str">
            <v>Sale of spare parts</v>
          </cell>
          <cell r="C18">
            <v>1</v>
          </cell>
          <cell r="D18">
            <v>0</v>
          </cell>
        </row>
        <row r="19">
          <cell r="B19" t="str">
            <v>Preparation for re-use of end-of-life products and product components</v>
          </cell>
          <cell r="C19">
            <v>1</v>
          </cell>
          <cell r="D19">
            <v>0</v>
          </cell>
        </row>
        <row r="20">
          <cell r="B20" t="str">
            <v>Sale of second-hand goods</v>
          </cell>
          <cell r="C20">
            <v>1</v>
          </cell>
          <cell r="D20">
            <v>0</v>
          </cell>
        </row>
        <row r="21">
          <cell r="B21" t="str">
            <v>Product-as-a-service and other circular use- and result-oriented service models</v>
          </cell>
          <cell r="C21">
            <v>1</v>
          </cell>
          <cell r="D21">
            <v>0</v>
          </cell>
        </row>
        <row r="22">
          <cell r="B22" t="str">
            <v>Marketplace for the trade of second-hand goods for reuse</v>
          </cell>
          <cell r="C22">
            <v>1</v>
          </cell>
          <cell r="D22">
            <v>0</v>
          </cell>
        </row>
      </sheetData>
      <sheetData sheetId="6" refreshError="1">
        <row r="1">
          <cell r="B1" t="str">
            <v>Prevención y control de la contaminación</v>
          </cell>
          <cell r="D1" t="str">
            <v>Biodiversidad</v>
          </cell>
        </row>
        <row r="2">
          <cell r="B2" t="str">
            <v>Manufacture of active pharmaceutical ingredients (API) or active substances</v>
          </cell>
          <cell r="C2">
            <v>1</v>
          </cell>
          <cell r="D2">
            <v>0</v>
          </cell>
        </row>
        <row r="3">
          <cell r="B3" t="str">
            <v>Manufacture of medicinal products</v>
          </cell>
          <cell r="C3">
            <v>1</v>
          </cell>
          <cell r="D3">
            <v>0</v>
          </cell>
        </row>
        <row r="4">
          <cell r="B4" t="str">
            <v>Collection and transport of hazardous waste</v>
          </cell>
          <cell r="C4">
            <v>1</v>
          </cell>
          <cell r="D4">
            <v>0</v>
          </cell>
        </row>
        <row r="5">
          <cell r="B5" t="str">
            <v>Treatment of hazardous waste</v>
          </cell>
          <cell r="C5">
            <v>1</v>
          </cell>
          <cell r="D5">
            <v>0</v>
          </cell>
        </row>
        <row r="6">
          <cell r="B6" t="str">
            <v>Remediation of legally non-conforming landfills and abandoned or illegal waste dumps</v>
          </cell>
          <cell r="C6">
            <v>1</v>
          </cell>
          <cell r="D6">
            <v>0</v>
          </cell>
        </row>
        <row r="7">
          <cell r="B7" t="str">
            <v>Remediation of contaminated sites and areas</v>
          </cell>
          <cell r="C7">
            <v>1</v>
          </cell>
          <cell r="D7">
            <v>0</v>
          </cell>
        </row>
      </sheetData>
      <sheetData sheetId="7" refreshError="1">
        <row r="1">
          <cell r="B1" t="str">
            <v>Protección y recuperación de la biodiversidad y los ecosistemas</v>
          </cell>
        </row>
        <row r="2">
          <cell r="B2" t="str">
            <v>Conservation, including restoration, of habitats, ecosystems and species</v>
          </cell>
          <cell r="C2">
            <v>1</v>
          </cell>
        </row>
        <row r="3">
          <cell r="B3" t="str">
            <v>Hotels, holiday, camping grounds and similar accommodation</v>
          </cell>
          <cell r="C3">
            <v>1</v>
          </cell>
        </row>
      </sheetData>
      <sheetData sheetId="8" refreshError="1"/>
      <sheetData sheetId="9" refreshError="1"/>
      <sheetData sheetId="10" refreshError="1"/>
      <sheetData sheetId="1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Elegibility Map &amp; Matching"/>
      <sheetName val="Hoja1"/>
      <sheetName val="Codes &amp; Descr. SFICS24"/>
      <sheetName val="Codes &amp; Descr. SFICS25"/>
    </sheetNames>
    <sheetDataSet>
      <sheetData sheetId="0"/>
      <sheetData sheetId="1"/>
      <sheetData sheetId="2"/>
      <sheetData sheetId="3">
        <row r="4">
          <cell r="B4" t="str">
            <v>LEVEL 1 DESCRIPTION</v>
          </cell>
          <cell r="C4" t="str">
            <v>LEVEL 1 CODE</v>
          </cell>
          <cell r="D4" t="str">
            <v>LEVEL 2 DESCRIPTION</v>
          </cell>
          <cell r="E4" t="str">
            <v>LEVEL 2 CODE</v>
          </cell>
          <cell r="F4" t="str">
            <v>LEVEL 3 DESCRIPTION</v>
          </cell>
          <cell r="G4" t="str">
            <v>LEVEL  CODE</v>
          </cell>
          <cell r="H4" t="str">
            <v>LEVEL 3 DESCRIPTION + CODE</v>
          </cell>
        </row>
        <row r="5">
          <cell r="B5" t="str">
            <v>Energía</v>
          </cell>
          <cell r="C5">
            <v>21</v>
          </cell>
          <cell r="D5" t="str">
            <v>Energías renovables</v>
          </cell>
          <cell r="E5">
            <v>2101</v>
          </cell>
          <cell r="F5" t="str">
            <v>Generación de electricidad con energía solar fotovoltaica</v>
          </cell>
          <cell r="G5">
            <v>210101</v>
          </cell>
          <cell r="H5" t="str">
            <v xml:space="preserve">A.1.1. Generación de electricidad mediante tecnología solar fotovoltaica </v>
          </cell>
        </row>
        <row r="6">
          <cell r="B6" t="str">
            <v>Energía</v>
          </cell>
          <cell r="C6">
            <v>21</v>
          </cell>
          <cell r="D6" t="str">
            <v>Energías renovables</v>
          </cell>
          <cell r="E6">
            <v>2101</v>
          </cell>
          <cell r="F6" t="str">
            <v>Generación de electricidad con energía solar concentrada (CSP)</v>
          </cell>
          <cell r="G6">
            <v>210102</v>
          </cell>
          <cell r="H6" t="str">
            <v xml:space="preserve">A.1.2. Generación de electricidad utilizando tecnología de energía solar concentrada (CSP) </v>
          </cell>
        </row>
        <row r="7">
          <cell r="B7" t="str">
            <v>Energía</v>
          </cell>
          <cell r="C7">
            <v>21</v>
          </cell>
          <cell r="D7" t="str">
            <v>Energías renovables</v>
          </cell>
          <cell r="E7">
            <v>2101</v>
          </cell>
          <cell r="F7" t="str">
            <v>Generación de electricidad con energía eólica</v>
          </cell>
          <cell r="G7">
            <v>210103</v>
          </cell>
          <cell r="H7" t="str">
            <v xml:space="preserve">A.1.3. Generación de electricidad a partir de energía eólica </v>
          </cell>
        </row>
        <row r="8">
          <cell r="B8" t="str">
            <v>Energía</v>
          </cell>
          <cell r="C8">
            <v>21</v>
          </cell>
          <cell r="D8" t="str">
            <v>Energías renovables</v>
          </cell>
          <cell r="E8">
            <v>2101</v>
          </cell>
          <cell r="F8" t="str">
            <v>Generación de electricidad con energía oceánica</v>
          </cell>
          <cell r="G8">
            <v>210104</v>
          </cell>
          <cell r="H8" t="str">
            <v xml:space="preserve">A.1.4. Generación de electricidad a partir de tecnologías de energía oceánica </v>
          </cell>
        </row>
        <row r="9">
          <cell r="B9" t="str">
            <v>Energía</v>
          </cell>
          <cell r="C9">
            <v>21</v>
          </cell>
          <cell r="D9" t="str">
            <v>Energías renovables</v>
          </cell>
          <cell r="E9">
            <v>2101</v>
          </cell>
          <cell r="F9" t="str">
            <v>Generación de electricidad con energía hidroelécrica</v>
          </cell>
          <cell r="G9">
            <v>210105</v>
          </cell>
          <cell r="H9" t="str">
            <v xml:space="preserve">A.1.5. Generación de electricidad a partir de energía hidroeléctrica </v>
          </cell>
        </row>
        <row r="10">
          <cell r="B10" t="str">
            <v>Energía</v>
          </cell>
          <cell r="C10">
            <v>21</v>
          </cell>
          <cell r="D10" t="str">
            <v>Energías renovables</v>
          </cell>
          <cell r="E10">
            <v>2101</v>
          </cell>
          <cell r="F10" t="str">
            <v>Generación de electricidad con energía geotérmica</v>
          </cell>
          <cell r="G10">
            <v>210106</v>
          </cell>
          <cell r="H10" t="str">
            <v xml:space="preserve">A.1.6. Generación de electricidad a partir de energía geotérmica </v>
          </cell>
        </row>
        <row r="11">
          <cell r="B11" t="str">
            <v>Energía</v>
          </cell>
          <cell r="C11">
            <v>21</v>
          </cell>
          <cell r="D11" t="str">
            <v>Energías renovables</v>
          </cell>
          <cell r="E11">
            <v>2101</v>
          </cell>
          <cell r="F11" t="str">
            <v xml:space="preserve">Energía solar – cogeneración de calor/frío/energía </v>
          </cell>
          <cell r="G11">
            <v>210107</v>
          </cell>
          <cell r="H11" t="str">
            <v xml:space="preserve">A.1.17. Cogeneración de calor/frío y energía a partir de energía solar </v>
          </cell>
        </row>
        <row r="12">
          <cell r="B12" t="str">
            <v>Energía</v>
          </cell>
          <cell r="C12">
            <v>21</v>
          </cell>
          <cell r="D12" t="str">
            <v>Energías renovables</v>
          </cell>
          <cell r="E12">
            <v>2101</v>
          </cell>
          <cell r="F12" t="str">
            <v xml:space="preserve">Energía geotérmica – cogeneración de calor/frío/energía </v>
          </cell>
          <cell r="G12">
            <v>210108</v>
          </cell>
          <cell r="H12" t="str">
            <v xml:space="preserve">A.1.18. Cogeneración de calor/frío y energía a partir de energía geotérmica </v>
          </cell>
        </row>
        <row r="13">
          <cell r="B13" t="str">
            <v>Energía</v>
          </cell>
          <cell r="C13">
            <v>21</v>
          </cell>
          <cell r="D13" t="str">
            <v>Energías renovables</v>
          </cell>
          <cell r="E13">
            <v>2101</v>
          </cell>
          <cell r="F13" t="str">
            <v xml:space="preserve">Solar térmica - producción de calor/frío </v>
          </cell>
          <cell r="G13">
            <v>210109</v>
          </cell>
          <cell r="H13" t="str">
            <v xml:space="preserve">A.1.21. Producción de calor/frío a partir de la calefacción solar térmica </v>
          </cell>
        </row>
        <row r="14">
          <cell r="B14" t="str">
            <v>Energía</v>
          </cell>
          <cell r="C14">
            <v>21</v>
          </cell>
          <cell r="D14" t="str">
            <v>Energías renovables</v>
          </cell>
          <cell r="E14">
            <v>2101</v>
          </cell>
          <cell r="F14" t="str">
            <v xml:space="preserve">Energía geotérmica - producción de calor/frío </v>
          </cell>
          <cell r="G14">
            <v>210110</v>
          </cell>
          <cell r="H14" t="str">
            <v xml:space="preserve">A.1.22. Producción de calor/frío a partir de energía geotérmica </v>
          </cell>
        </row>
        <row r="15">
          <cell r="B15" t="str">
            <v>Energía</v>
          </cell>
          <cell r="C15">
            <v>21</v>
          </cell>
          <cell r="D15" t="str">
            <v>Combustibles renovables, bioenergía y calor residual</v>
          </cell>
          <cell r="E15">
            <v>2102</v>
          </cell>
          <cell r="F15" t="str">
            <v>Generación de electricidad con combustibles renovables</v>
          </cell>
          <cell r="G15">
            <v>210201</v>
          </cell>
          <cell r="H15" t="str">
            <v xml:space="preserve">A.1.7. Generación de electricidad a partir de combustibles gaseosos y líquidos no fósiles renovables </v>
          </cell>
        </row>
        <row r="16">
          <cell r="B16" t="str">
            <v>Energía</v>
          </cell>
          <cell r="C16">
            <v>21</v>
          </cell>
          <cell r="D16" t="str">
            <v>Combustibles renovables, bioenergía y calor residual</v>
          </cell>
          <cell r="E16">
            <v>2102</v>
          </cell>
          <cell r="F16" t="str">
            <v>Generación de electricidad con bioenergía</v>
          </cell>
          <cell r="G16">
            <v>210202</v>
          </cell>
          <cell r="H16" t="str">
            <v xml:space="preserve">A.1.8. Generación de electricidad a partir de bioenergía </v>
          </cell>
        </row>
        <row r="17">
          <cell r="B17" t="str">
            <v>Energía</v>
          </cell>
          <cell r="C17">
            <v>21</v>
          </cell>
          <cell r="D17" t="str">
            <v>Combustibles renovables, bioenergía y calor residual</v>
          </cell>
          <cell r="E17">
            <v>2102</v>
          </cell>
          <cell r="F17" t="str">
            <v xml:space="preserve">Fabricación de biogás/biocarburantes para transporte </v>
          </cell>
          <cell r="G17">
            <v>210203</v>
          </cell>
          <cell r="H17" t="str">
            <v xml:space="preserve">A.1.13. Fabricación de biogás y biocombustibles para su uso en el transporte y de biolíquidos </v>
          </cell>
        </row>
        <row r="18">
          <cell r="B18" t="str">
            <v>Energía</v>
          </cell>
          <cell r="C18">
            <v>21</v>
          </cell>
          <cell r="D18" t="str">
            <v>Combustibles renovables, bioenergía y calor residual</v>
          </cell>
          <cell r="E18">
            <v>2102</v>
          </cell>
          <cell r="F18" t="str">
            <v xml:space="preserve">Combustibles renovables – cogeneración de calor/frío/energía </v>
          </cell>
          <cell r="G18">
            <v>210204</v>
          </cell>
          <cell r="H18" t="str">
            <v xml:space="preserve">A.1.19. Cogeneración de calor/frío y energía a partir de combustibles gaseosos y líquidos renovables no fósiles </v>
          </cell>
        </row>
        <row r="19">
          <cell r="B19" t="str">
            <v>Energía</v>
          </cell>
          <cell r="C19">
            <v>21</v>
          </cell>
          <cell r="D19" t="str">
            <v>Combustibles renovables, bioenergía y calor residual</v>
          </cell>
          <cell r="E19">
            <v>2102</v>
          </cell>
          <cell r="F19" t="str">
            <v xml:space="preserve">Bioenergía - Cogeneración de calor/frío/energía </v>
          </cell>
          <cell r="G19">
            <v>210205</v>
          </cell>
          <cell r="H19" t="str">
            <v xml:space="preserve">A.1.20. Cogeneración de calor/frío y energía a partir de bioenergía </v>
          </cell>
        </row>
        <row r="20">
          <cell r="B20" t="str">
            <v>Energía</v>
          </cell>
          <cell r="C20">
            <v>21</v>
          </cell>
          <cell r="D20" t="str">
            <v>Combustibles renovables, bioenergía y calor residual</v>
          </cell>
          <cell r="E20">
            <v>2102</v>
          </cell>
          <cell r="F20" t="str">
            <v xml:space="preserve">Combustibles renovables - producción de calor/frío </v>
          </cell>
          <cell r="G20">
            <v>210206</v>
          </cell>
          <cell r="H20" t="str">
            <v xml:space="preserve">A.1.23. Producción de calor/frío a partir de combustibles gaseosos y líquidos no fósiles renovables </v>
          </cell>
        </row>
        <row r="21">
          <cell r="B21" t="str">
            <v>Energía</v>
          </cell>
          <cell r="C21">
            <v>21</v>
          </cell>
          <cell r="D21" t="str">
            <v>Combustibles renovables, bioenergía y calor residual</v>
          </cell>
          <cell r="E21">
            <v>2102</v>
          </cell>
          <cell r="F21" t="str">
            <v xml:space="preserve">Bioenergía - producción de calor/frío </v>
          </cell>
          <cell r="G21">
            <v>210207</v>
          </cell>
          <cell r="H21" t="str">
            <v xml:space="preserve">A.1.24. Producción de calor/frío a partir de bioenergía </v>
          </cell>
        </row>
        <row r="22">
          <cell r="B22" t="str">
            <v>Energía</v>
          </cell>
          <cell r="C22">
            <v>21</v>
          </cell>
          <cell r="D22" t="str">
            <v>Combustibles renovables, bioenergía y calor residual</v>
          </cell>
          <cell r="E22">
            <v>2102</v>
          </cell>
          <cell r="F22" t="str">
            <v xml:space="preserve">Calor residual - producción de calor/frío </v>
          </cell>
          <cell r="G22">
            <v>210208</v>
          </cell>
          <cell r="H22" t="str">
            <v xml:space="preserve">A.1.25. Producción de calor/frío utilizando calor residual </v>
          </cell>
        </row>
        <row r="23">
          <cell r="B23" t="str">
            <v>Energía</v>
          </cell>
          <cell r="C23">
            <v>21</v>
          </cell>
          <cell r="D23" t="str">
            <v>Transmisión y distribución</v>
          </cell>
          <cell r="E23">
            <v>2104</v>
          </cell>
          <cell r="F23" t="str">
            <v>Transmisión y distribución de electricidad</v>
          </cell>
          <cell r="G23">
            <v>210419</v>
          </cell>
          <cell r="H23" t="str">
            <v xml:space="preserve">A.1.9. Transmisión y distribución de electricidad </v>
          </cell>
        </row>
        <row r="24">
          <cell r="B24" t="str">
            <v>Energía</v>
          </cell>
          <cell r="C24">
            <v>21</v>
          </cell>
          <cell r="D24" t="str">
            <v>Transmisión y distribución</v>
          </cell>
          <cell r="E24">
            <v>2104</v>
          </cell>
          <cell r="F24" t="str">
            <v xml:space="preserve">Redes para gases renovables/de bajo carbono </v>
          </cell>
          <cell r="G24">
            <v>210420</v>
          </cell>
          <cell r="H24" t="str">
            <v xml:space="preserve">A.1.14. Redes de transmisión y distribución de gases renovables y bajos en carbono </v>
          </cell>
        </row>
        <row r="25">
          <cell r="B25" t="str">
            <v>Energía</v>
          </cell>
          <cell r="C25">
            <v>21</v>
          </cell>
          <cell r="D25" t="str">
            <v>Transmisión y distribución</v>
          </cell>
          <cell r="E25">
            <v>2104</v>
          </cell>
          <cell r="F25" t="str">
            <v xml:space="preserve">Distribución de calefacción/refrigeración del distrito </v>
          </cell>
          <cell r="G25">
            <v>210421</v>
          </cell>
          <cell r="H25" t="str">
            <v xml:space="preserve">A.1.15. Distribución de calefacción/refrigeración urbana </v>
          </cell>
        </row>
        <row r="26">
          <cell r="B26" t="str">
            <v>Energía</v>
          </cell>
          <cell r="C26">
            <v>21</v>
          </cell>
          <cell r="D26" t="str">
            <v>Almacenamiento</v>
          </cell>
          <cell r="E26">
            <v>2106</v>
          </cell>
          <cell r="F26" t="str">
            <v>Almacenamiento de electricidad</v>
          </cell>
          <cell r="G26">
            <v>210601</v>
          </cell>
          <cell r="H26" t="str">
            <v xml:space="preserve">A.1.10. Almacenamiento de electricidad </v>
          </cell>
        </row>
        <row r="27">
          <cell r="B27" t="str">
            <v>Energía</v>
          </cell>
          <cell r="C27">
            <v>21</v>
          </cell>
          <cell r="D27" t="str">
            <v>Almacenamiento</v>
          </cell>
          <cell r="E27">
            <v>2106</v>
          </cell>
          <cell r="F27" t="str">
            <v>Almacenamiento de energía térmica</v>
          </cell>
          <cell r="G27">
            <v>210602</v>
          </cell>
          <cell r="H27" t="str">
            <v xml:space="preserve">A.1.11. Almacenamiento de energía térmica </v>
          </cell>
        </row>
        <row r="28">
          <cell r="B28" t="str">
            <v>Energía</v>
          </cell>
          <cell r="C28">
            <v>21</v>
          </cell>
          <cell r="D28" t="str">
            <v>Almacenamiento</v>
          </cell>
          <cell r="E28">
            <v>2106</v>
          </cell>
          <cell r="F28" t="str">
            <v>Almacenamiento de hidrógeno</v>
          </cell>
          <cell r="G28">
            <v>210603</v>
          </cell>
          <cell r="H28" t="str">
            <v xml:space="preserve">A.1.12. Almacenamiento de hidrógeno </v>
          </cell>
        </row>
        <row r="29">
          <cell r="B29" t="str">
            <v>Energía</v>
          </cell>
          <cell r="C29">
            <v>21</v>
          </cell>
          <cell r="D29" t="str">
            <v>Instalación y funcionamiento de bombas de calor eléctricas</v>
          </cell>
          <cell r="E29">
            <v>2105</v>
          </cell>
          <cell r="F29" t="str">
            <v xml:space="preserve">Bombas de calor eléctricas </v>
          </cell>
          <cell r="G29">
            <v>210501</v>
          </cell>
          <cell r="H29" t="str">
            <v xml:space="preserve">A.1.16. Instalación y operación de bombas de calor eléctricas </v>
          </cell>
        </row>
        <row r="30">
          <cell r="B30" t="str">
            <v>Energía</v>
          </cell>
          <cell r="C30">
            <v>21</v>
          </cell>
          <cell r="D30" t="str">
            <v>Combustibles gaseosos fósiles y nucleares</v>
          </cell>
          <cell r="E30">
            <v>2103</v>
          </cell>
          <cell r="F30" t="str">
            <v>Energía nuclear – producción de energía con un desperdicio mínimo</v>
          </cell>
          <cell r="G30">
            <v>210301</v>
          </cell>
          <cell r="H30" t="str">
            <v xml:space="preserve">A.1.26. Etapas precomerciales de tecnologías avanzadas para producir energía a partir de procesos nucleares con residuos mínimos del ciclo del combustible </v>
          </cell>
        </row>
        <row r="31">
          <cell r="B31" t="str">
            <v>Energía</v>
          </cell>
          <cell r="C31">
            <v>21</v>
          </cell>
          <cell r="D31" t="str">
            <v>Combustibles gaseosos fósiles y nucleares</v>
          </cell>
          <cell r="E31">
            <v>2103</v>
          </cell>
          <cell r="F31" t="str">
            <v xml:space="preserve">Energía nuclear - Construcción/operación segura </v>
          </cell>
          <cell r="G31">
            <v>210302</v>
          </cell>
          <cell r="H31" t="str">
            <v xml:space="preserve">A.1.27. Construcción y explotación segura de nuevas centrales nucleares. para la generación de electricidad y/o calor. incluida la producción de hidrógeno. utilizando las mejores tecnologías disponibles </v>
          </cell>
        </row>
        <row r="32">
          <cell r="B32" t="str">
            <v>Energía</v>
          </cell>
          <cell r="C32">
            <v>21</v>
          </cell>
          <cell r="D32" t="str">
            <v>Combustibles gaseosos fósiles y nucleares</v>
          </cell>
          <cell r="E32">
            <v>2103</v>
          </cell>
          <cell r="F32" t="str">
            <v xml:space="preserve">Energía nuclear - generación de electricidad </v>
          </cell>
          <cell r="G32">
            <v>210303</v>
          </cell>
          <cell r="H32" t="str">
            <v xml:space="preserve">A.1.28. Generación de electricidad a partir de energía nuclear en instalaciones existentes </v>
          </cell>
        </row>
        <row r="33">
          <cell r="B33" t="str">
            <v>Energía</v>
          </cell>
          <cell r="C33">
            <v>21</v>
          </cell>
          <cell r="D33" t="str">
            <v>Combustibles gaseosos fósiles y nucleares</v>
          </cell>
          <cell r="E33">
            <v>2103</v>
          </cell>
          <cell r="F33" t="str">
            <v xml:space="preserve">Combustibles fósiles - generación de electricidad </v>
          </cell>
          <cell r="G33">
            <v>210304</v>
          </cell>
          <cell r="H33" t="str">
            <v xml:space="preserve">A.1.29. Generación de electricidad a partir de combustibles fósiles gaseosos </v>
          </cell>
        </row>
        <row r="34">
          <cell r="B34" t="str">
            <v>Energía</v>
          </cell>
          <cell r="C34">
            <v>21</v>
          </cell>
          <cell r="D34" t="str">
            <v>Combustibles gaseosos fósiles y nucleares</v>
          </cell>
          <cell r="E34">
            <v>2103</v>
          </cell>
          <cell r="F34" t="str">
            <v xml:space="preserve">Combustibles fósiles - producción de calor/frío </v>
          </cell>
          <cell r="G34">
            <v>210305</v>
          </cell>
          <cell r="H34" t="str">
            <v xml:space="preserve">A.1.30. Producción de calor/frío a partir de combustibles fósiles gaseosos en un sistema eficiente de calefacción y refrigeración urbana </v>
          </cell>
        </row>
        <row r="35">
          <cell r="B35" t="str">
            <v>Energía</v>
          </cell>
          <cell r="C35">
            <v>21</v>
          </cell>
          <cell r="D35" t="str">
            <v>Combustibles gaseosos fósiles y nucleares</v>
          </cell>
          <cell r="E35">
            <v>2103</v>
          </cell>
          <cell r="F35" t="str">
            <v xml:space="preserve">Combustibles gaseosos fósiles - cogeneración de calor/frío y energía </v>
          </cell>
          <cell r="G35">
            <v>210306</v>
          </cell>
          <cell r="H35" t="str">
            <v xml:space="preserve">A.1.31. Cogeneración de alta eficiencia de calor/frío y energía a partir de combustibles gaseosos fósiles </v>
          </cell>
        </row>
        <row r="36">
          <cell r="B36" t="str">
            <v>Energía</v>
          </cell>
          <cell r="C36">
            <v>21</v>
          </cell>
          <cell r="D36" t="str">
            <v>Compra de energía renovable</v>
          </cell>
          <cell r="E36">
            <v>2107</v>
          </cell>
          <cell r="F36" t="str">
            <v xml:space="preserve">Adquisición de energía renovable </v>
          </cell>
          <cell r="G36">
            <v>210701</v>
          </cell>
          <cell r="H36" t="str">
            <v xml:space="preserve">A.1.32. Adquisición de energía renovable </v>
          </cell>
        </row>
        <row r="37">
          <cell r="B37" t="str">
            <v>Transporte</v>
          </cell>
          <cell r="C37">
            <v>22</v>
          </cell>
          <cell r="D37" t="str">
            <v>Transporte terrestre</v>
          </cell>
          <cell r="E37">
            <v>2201</v>
          </cell>
          <cell r="F37" t="str">
            <v xml:space="preserve">Transporte ferroviario interurbano de pasajeros </v>
          </cell>
          <cell r="G37">
            <v>220101</v>
          </cell>
          <cell r="H37" t="str">
            <v xml:space="preserve">A.2.1. Transporte ferroviario interurbano de pasajeros </v>
          </cell>
        </row>
        <row r="38">
          <cell r="B38" t="str">
            <v>Transporte</v>
          </cell>
          <cell r="C38">
            <v>22</v>
          </cell>
          <cell r="D38" t="str">
            <v>Transporte terrestre</v>
          </cell>
          <cell r="E38">
            <v>2201</v>
          </cell>
          <cell r="F38" t="str">
            <v xml:space="preserve">Transporte de mercancías por ferrocarril </v>
          </cell>
          <cell r="G38">
            <v>220102</v>
          </cell>
          <cell r="H38" t="str">
            <v xml:space="preserve">A.2.2. Transporte ferroviario de mercancías </v>
          </cell>
        </row>
        <row r="39">
          <cell r="B39" t="str">
            <v>Transporte</v>
          </cell>
          <cell r="C39">
            <v>22</v>
          </cell>
          <cell r="D39" t="str">
            <v>Transporte terrestre</v>
          </cell>
          <cell r="E39">
            <v>2201</v>
          </cell>
          <cell r="F39" t="str">
            <v xml:space="preserve">Transporte urbano y suburbano, transporte de pasajeros por carretera </v>
          </cell>
          <cell r="G39">
            <v>220103</v>
          </cell>
          <cell r="H39" t="str">
            <v xml:space="preserve">A.2.3. Transporte urbano y suburbano. transporte de viajeros por carretera </v>
          </cell>
        </row>
        <row r="40">
          <cell r="B40" t="str">
            <v>Transporte</v>
          </cell>
          <cell r="C40">
            <v>22</v>
          </cell>
          <cell r="D40" t="str">
            <v>Transporte terrestre</v>
          </cell>
          <cell r="E40">
            <v>2201</v>
          </cell>
          <cell r="F40" t="str">
            <v xml:space="preserve">Dispositivos de mobilidad personal, logística de ciclos </v>
          </cell>
          <cell r="G40">
            <v>220104</v>
          </cell>
          <cell r="H40" t="str">
            <v xml:space="preserve">A.2.4. Operación de dispositivos de movilidad personal. Logística de ciclo </v>
          </cell>
        </row>
        <row r="41">
          <cell r="B41" t="str">
            <v>Transporte</v>
          </cell>
          <cell r="C41">
            <v>22</v>
          </cell>
          <cell r="D41" t="str">
            <v>Transporte terrestre</v>
          </cell>
          <cell r="E41">
            <v>2201</v>
          </cell>
          <cell r="F41" t="str">
            <v xml:space="preserve">Motocicletas, coches de pasajeros y vehículos comerciales ligeros </v>
          </cell>
          <cell r="G41">
            <v>220105</v>
          </cell>
          <cell r="H41" t="str">
            <v xml:space="preserve">A.2.5. Transporte en motos. turismos y vehículos comerciales ligeros </v>
          </cell>
        </row>
        <row r="42">
          <cell r="B42" t="str">
            <v>Transporte</v>
          </cell>
          <cell r="C42">
            <v>22</v>
          </cell>
          <cell r="D42" t="str">
            <v>Transporte terrestre</v>
          </cell>
          <cell r="E42">
            <v>2201</v>
          </cell>
          <cell r="F42" t="str">
            <v xml:space="preserve">Transporte de mercancías por carretera </v>
          </cell>
          <cell r="G42">
            <v>220106</v>
          </cell>
          <cell r="H42" t="str">
            <v xml:space="preserve">A.2.6. Servicios de transporte de mercancías por carretera </v>
          </cell>
        </row>
        <row r="43">
          <cell r="B43" t="str">
            <v>Transporte</v>
          </cell>
          <cell r="C43">
            <v>22</v>
          </cell>
          <cell r="D43" t="str">
            <v>Transporte acuático</v>
          </cell>
          <cell r="E43">
            <v>2202</v>
          </cell>
          <cell r="F43" t="str">
            <v xml:space="preserve">Transporte acuático interior de pasajeros </v>
          </cell>
          <cell r="G43">
            <v>220201</v>
          </cell>
          <cell r="H43" t="str">
            <v xml:space="preserve">A.2.7. Transporte acuático interior de pasajeros </v>
          </cell>
        </row>
        <row r="44">
          <cell r="B44" t="str">
            <v>Transporte</v>
          </cell>
          <cell r="C44">
            <v>22</v>
          </cell>
          <cell r="D44" t="str">
            <v>Transporte acuático</v>
          </cell>
          <cell r="E44">
            <v>2202</v>
          </cell>
          <cell r="F44" t="str">
            <v xml:space="preserve">Transporte acuático interior de mercancías </v>
          </cell>
          <cell r="G44">
            <v>220202</v>
          </cell>
          <cell r="H44" t="str">
            <v xml:space="preserve">A.2.8. Transporte acuático interior de mercancías </v>
          </cell>
        </row>
        <row r="45">
          <cell r="B45" t="str">
            <v>Transporte</v>
          </cell>
          <cell r="C45">
            <v>22</v>
          </cell>
          <cell r="D45" t="str">
            <v>Transporte acuático</v>
          </cell>
          <cell r="E45">
            <v>2202</v>
          </cell>
          <cell r="F45" t="str">
            <v>Readaptación del transporte acuático interior</v>
          </cell>
          <cell r="G45">
            <v>220203</v>
          </cell>
          <cell r="H45" t="str">
            <v xml:space="preserve">A.2.9. Adaptación del transporte de pasajeros y mercancías en aguas interiores </v>
          </cell>
        </row>
        <row r="46">
          <cell r="B46" t="str">
            <v>Transporte</v>
          </cell>
          <cell r="C46">
            <v>22</v>
          </cell>
          <cell r="D46" t="str">
            <v>Transporte acuático</v>
          </cell>
          <cell r="E46">
            <v>2202</v>
          </cell>
          <cell r="F46" t="str">
            <v xml:space="preserve">Transporte marítimo y costero de mercancías, buques para operaciones portuarias y actividades auxiliares </v>
          </cell>
          <cell r="G46">
            <v>220204</v>
          </cell>
          <cell r="H46" t="str">
            <v xml:space="preserve">A.2.10. Transporte marítimo y costero de mercancías. buques para operaciones portuarias y actividades auxiliares </v>
          </cell>
        </row>
        <row r="47">
          <cell r="B47" t="str">
            <v>Transporte</v>
          </cell>
          <cell r="C47">
            <v>22</v>
          </cell>
          <cell r="D47" t="str">
            <v>Transporte acuático</v>
          </cell>
          <cell r="E47">
            <v>2202</v>
          </cell>
          <cell r="F47" t="str">
            <v xml:space="preserve">Transporte marítimo y costero de pasajeros </v>
          </cell>
          <cell r="G47">
            <v>220205</v>
          </cell>
          <cell r="H47" t="str">
            <v xml:space="preserve">A.2.11. Transporte marítimo y costero de pasajeros </v>
          </cell>
        </row>
        <row r="48">
          <cell r="B48" t="str">
            <v>Transporte</v>
          </cell>
          <cell r="C48">
            <v>22</v>
          </cell>
          <cell r="D48" t="str">
            <v>Transporte acuático</v>
          </cell>
          <cell r="E48">
            <v>2202</v>
          </cell>
          <cell r="F48" t="str">
            <v xml:space="preserve">Readaptación del transporte marítimo y costero de mercancías y pasajeros </v>
          </cell>
          <cell r="G48">
            <v>220206</v>
          </cell>
          <cell r="H48" t="str">
            <v xml:space="preserve">A.2.12. Adaptación del transporte marítimo y costero de mercancías y del transporte de pasajeros por agua </v>
          </cell>
        </row>
        <row r="49">
          <cell r="B49" t="str">
            <v>Transporte</v>
          </cell>
          <cell r="C49">
            <v>22</v>
          </cell>
          <cell r="D49" t="str">
            <v>Transporte aéreo</v>
          </cell>
          <cell r="E49">
            <v>2203</v>
          </cell>
          <cell r="F49" t="str">
            <v xml:space="preserve">Arrendamiento de aeronaves </v>
          </cell>
          <cell r="G49">
            <v>220301</v>
          </cell>
          <cell r="H49" t="str">
            <v xml:space="preserve">A.2.18. Arrendamiento de aeronaves </v>
          </cell>
        </row>
        <row r="50">
          <cell r="B50" t="str">
            <v>Transporte</v>
          </cell>
          <cell r="C50">
            <v>22</v>
          </cell>
          <cell r="D50" t="str">
            <v>Transporte aéreo</v>
          </cell>
          <cell r="E50">
            <v>2203</v>
          </cell>
          <cell r="F50" t="str">
            <v xml:space="preserve">Transporte aéreo de pasajeros y mercancías </v>
          </cell>
          <cell r="G50">
            <v>220302</v>
          </cell>
          <cell r="H50" t="str">
            <v xml:space="preserve">A.2.19. Transporte aéreo de pasajeros y mercancías </v>
          </cell>
        </row>
        <row r="51">
          <cell r="B51" t="str">
            <v>Transporte</v>
          </cell>
          <cell r="C51">
            <v>22</v>
          </cell>
          <cell r="D51" t="str">
            <v>Transporte aéreo</v>
          </cell>
          <cell r="E51">
            <v>2203</v>
          </cell>
          <cell r="F51" t="str">
            <v xml:space="preserve">Operaciones de transporte aéreo en tierra </v>
          </cell>
          <cell r="G51">
            <v>220303</v>
          </cell>
          <cell r="H51" t="str">
            <v xml:space="preserve">A.2.20. Operaciones de transporte aéreo en tierra </v>
          </cell>
        </row>
        <row r="52">
          <cell r="B52" t="str">
            <v>Transporte</v>
          </cell>
          <cell r="C52">
            <v>22</v>
          </cell>
          <cell r="D52" t="str">
            <v>Infrastructura</v>
          </cell>
          <cell r="E52">
            <v>2204</v>
          </cell>
          <cell r="F52" t="str">
            <v xml:space="preserve">Movilidad personal, logística de ciclos </v>
          </cell>
          <cell r="G52">
            <v>220401</v>
          </cell>
          <cell r="H52" t="str">
            <v xml:space="preserve">A.2.13. Infraestructura para movilidad personal. logística de ciclo </v>
          </cell>
        </row>
        <row r="53">
          <cell r="B53" t="str">
            <v>Transporte</v>
          </cell>
          <cell r="C53">
            <v>22</v>
          </cell>
          <cell r="D53" t="str">
            <v>Infrastructura</v>
          </cell>
          <cell r="E53">
            <v>2204</v>
          </cell>
          <cell r="F53" t="str">
            <v xml:space="preserve">Transporte por carretera de bajo carbono y transporte público </v>
          </cell>
          <cell r="G53">
            <v>220402</v>
          </cell>
          <cell r="H53" t="str">
            <v xml:space="preserve">A.2.15. Infraestructura que permita el transporte por carretera y el transporte público con bajas emisiones de carbono </v>
          </cell>
        </row>
        <row r="54">
          <cell r="B54" t="str">
            <v>Transporte</v>
          </cell>
          <cell r="C54">
            <v>22</v>
          </cell>
          <cell r="D54" t="str">
            <v>Infrastructura</v>
          </cell>
          <cell r="E54">
            <v>2204</v>
          </cell>
          <cell r="F54" t="str">
            <v xml:space="preserve">Infraestructura de transporte de agua </v>
          </cell>
          <cell r="G54">
            <v>220403</v>
          </cell>
          <cell r="H54" t="str">
            <v xml:space="preserve">A.2.16. Infraestructura que permite el transporte de agua con bajas emisiones de carbono </v>
          </cell>
        </row>
        <row r="55">
          <cell r="B55" t="str">
            <v>Transporte</v>
          </cell>
          <cell r="C55">
            <v>22</v>
          </cell>
          <cell r="D55" t="str">
            <v>Infrastructura</v>
          </cell>
          <cell r="E55">
            <v>2204</v>
          </cell>
          <cell r="F55" t="str">
            <v xml:space="preserve">Infraestructura aeroportuaria </v>
          </cell>
          <cell r="G55">
            <v>220404</v>
          </cell>
          <cell r="H55" t="str">
            <v xml:space="preserve">A.2.17. Infraestructura aeroportuaria de baja emisión de carbono </v>
          </cell>
        </row>
        <row r="56">
          <cell r="B56" t="str">
            <v>Transporte</v>
          </cell>
          <cell r="C56">
            <v>22</v>
          </cell>
          <cell r="D56" t="str">
            <v>Infrastructura</v>
          </cell>
          <cell r="E56">
            <v>2204</v>
          </cell>
          <cell r="F56" t="str">
            <v xml:space="preserve">Transporte ferroviario </v>
          </cell>
          <cell r="G56">
            <v>220405</v>
          </cell>
          <cell r="H56" t="str">
            <v xml:space="preserve">A.2.14. Infraestructura para el transporte ferroviario </v>
          </cell>
        </row>
        <row r="57">
          <cell r="B57" t="str">
            <v>Transporte</v>
          </cell>
          <cell r="C57">
            <v>22</v>
          </cell>
          <cell r="D57" t="str">
            <v>Vehículos de hidrógeno</v>
          </cell>
          <cell r="E57">
            <v>2205</v>
          </cell>
          <cell r="F57" t="str">
            <v xml:space="preserve">Vehículos impulsados por hidrógeno </v>
          </cell>
          <cell r="G57">
            <v>220501</v>
          </cell>
          <cell r="H57" t="str">
            <v xml:space="preserve">A.2.21. Vehículos propulsados por hidrógeno </v>
          </cell>
        </row>
        <row r="58">
          <cell r="B58" t="str">
            <v>Construcción &amp; Real Estate</v>
          </cell>
          <cell r="C58">
            <v>23</v>
          </cell>
          <cell r="D58" t="str">
            <v>Construcción de nuevos edificios</v>
          </cell>
          <cell r="E58">
            <v>2301</v>
          </cell>
          <cell r="F58" t="str">
            <v>España – Construcción de edificios residenciales</v>
          </cell>
          <cell r="G58">
            <v>230102</v>
          </cell>
          <cell r="H58" t="str">
            <v xml:space="preserve">A.3.1.1.1. Construcción de nuevos edificios residenciales o edificios de menos de 5.000 m2 en España </v>
          </cell>
        </row>
        <row r="59">
          <cell r="B59" t="str">
            <v>Construcción &amp; Real Estate</v>
          </cell>
          <cell r="C59">
            <v>23</v>
          </cell>
          <cell r="D59" t="str">
            <v>Construcción de nuevos edificios</v>
          </cell>
          <cell r="E59">
            <v>2301</v>
          </cell>
          <cell r="F59" t="str">
            <v>España – Construcción de edificios comerciales</v>
          </cell>
          <cell r="G59">
            <v>230103</v>
          </cell>
          <cell r="H59" t="str">
            <v xml:space="preserve">A.3.1.1.2. Construcción de nuevos edificios comerciales o edificios de más de 5.000 m2 en España </v>
          </cell>
        </row>
        <row r="60">
          <cell r="B60" t="str">
            <v>Construcción &amp; Real Estate</v>
          </cell>
          <cell r="C60">
            <v>23</v>
          </cell>
          <cell r="D60" t="str">
            <v>Construcción de nuevos edificios</v>
          </cell>
          <cell r="E60">
            <v>2301</v>
          </cell>
          <cell r="F60" t="str">
            <v>Portugal – Construcción de edificios residenciales</v>
          </cell>
          <cell r="G60">
            <v>230104</v>
          </cell>
          <cell r="H60" t="str">
            <v xml:space="preserve">A.3.1.2.1. Construcción de nuevos edificios residenciales o edificios de menos de 5.000 m2 en Portugal </v>
          </cell>
        </row>
        <row r="61">
          <cell r="B61" t="str">
            <v>Construcción &amp; Real Estate</v>
          </cell>
          <cell r="C61">
            <v>23</v>
          </cell>
          <cell r="D61" t="str">
            <v>Construcción de nuevos edificios</v>
          </cell>
          <cell r="E61">
            <v>2301</v>
          </cell>
          <cell r="F61" t="str">
            <v>Portugal – Construcción de edificios comerciales</v>
          </cell>
          <cell r="G61">
            <v>230105</v>
          </cell>
          <cell r="H61" t="str">
            <v xml:space="preserve">A.3.1.2.2. Construcción de nuevos edificios comerciales o edificios de más de 5.000 m2 en Portugal 
 </v>
          </cell>
        </row>
        <row r="62">
          <cell r="B62" t="str">
            <v>Construcción &amp; Real Estate</v>
          </cell>
          <cell r="C62">
            <v>23</v>
          </cell>
          <cell r="D62" t="str">
            <v>Construcción de nuevos edificios</v>
          </cell>
          <cell r="E62">
            <v>2301</v>
          </cell>
          <cell r="F62" t="str">
            <v>Polonia – Construcción de edificios residenciales</v>
          </cell>
          <cell r="G62">
            <v>230106</v>
          </cell>
          <cell r="H62" t="str">
            <v xml:space="preserve">A.3.1.3.1. Construcción de nuevos edificios residenciales o edificios de menos de 5.000 m2 en Polonia </v>
          </cell>
        </row>
        <row r="63">
          <cell r="B63" t="str">
            <v>Construcción &amp; Real Estate</v>
          </cell>
          <cell r="C63">
            <v>23</v>
          </cell>
          <cell r="D63" t="str">
            <v>Construcción de nuevos edificios</v>
          </cell>
          <cell r="E63">
            <v>2301</v>
          </cell>
          <cell r="F63" t="str">
            <v>Polonia – Construcción de edificios comerciales</v>
          </cell>
          <cell r="G63">
            <v>230107</v>
          </cell>
          <cell r="H63" t="str">
            <v xml:space="preserve">A.3.1.3.2. Construcción de nuevos edificios comerciales o edificios de más de 5.000 m2 
En Polonia 
 </v>
          </cell>
        </row>
        <row r="64">
          <cell r="B64" t="str">
            <v>Construcción &amp; Real Estate</v>
          </cell>
          <cell r="C64">
            <v>23</v>
          </cell>
          <cell r="D64" t="str">
            <v>Construcción de nuevos edificios</v>
          </cell>
          <cell r="E64">
            <v>2301</v>
          </cell>
          <cell r="F64" t="str">
            <v xml:space="preserve">Construcción de nuevos edifícios residenciales en Reino Unido </v>
          </cell>
          <cell r="G64">
            <v>230108</v>
          </cell>
          <cell r="H64" t="str">
            <v xml:space="preserve">A.3.1.4.1. Construcción de nuevos edificios residenciales o edificios de menos de 5.000 m2 en el Reino Unido </v>
          </cell>
        </row>
        <row r="65">
          <cell r="B65" t="str">
            <v>Construcción &amp; Real Estate</v>
          </cell>
          <cell r="C65">
            <v>23</v>
          </cell>
          <cell r="D65" t="str">
            <v>Construcción de nuevos edificios</v>
          </cell>
          <cell r="E65">
            <v>2301</v>
          </cell>
          <cell r="F65" t="str">
            <v>Resto de países – Construcción de edificios residenciales</v>
          </cell>
          <cell r="G65">
            <v>230109</v>
          </cell>
          <cell r="H65" t="str">
            <v xml:space="preserve">A.3.1.5.1. Construcción de nuevos edificios residenciales o edificios de menos de 5.000 m2 en total 
Otros países (incluidos los de la UE y de terceros países) 
 </v>
          </cell>
        </row>
        <row r="66">
          <cell r="B66" t="str">
            <v>Construcción &amp; Real Estate</v>
          </cell>
          <cell r="C66">
            <v>23</v>
          </cell>
          <cell r="D66" t="str">
            <v>Construcción de nuevos edificios</v>
          </cell>
          <cell r="E66">
            <v>2301</v>
          </cell>
          <cell r="F66" t="str">
            <v>Resto de países y Reino Unido- Construcción de edificios comerciales</v>
          </cell>
          <cell r="G66">
            <v>230110</v>
          </cell>
          <cell r="H66" t="str">
            <v xml:space="preserve">A.3.1.5.2. Construcción de nuevos edificios comerciales o edificios de más de 5.000 m2 en todos los demás países (incluidos los de la UE y de terceros países) </v>
          </cell>
        </row>
        <row r="67">
          <cell r="B67" t="str">
            <v>Construcción &amp; Real Estate</v>
          </cell>
          <cell r="C67">
            <v>23</v>
          </cell>
          <cell r="D67" t="str">
            <v>A.3.2. Renovación de edificios existentes</v>
          </cell>
          <cell r="E67">
            <v>2302</v>
          </cell>
          <cell r="F67" t="str">
            <v>N/A</v>
          </cell>
          <cell r="G67" t="str">
            <v>-</v>
          </cell>
          <cell r="H67" t="str">
            <v>N/A</v>
          </cell>
        </row>
        <row r="68">
          <cell r="B68" t="str">
            <v>Construcción &amp; Real Estate</v>
          </cell>
          <cell r="C68">
            <v>23</v>
          </cell>
          <cell r="D68" t="str">
            <v>Adquisición de edificios</v>
          </cell>
          <cell r="E68">
            <v>2304</v>
          </cell>
          <cell r="F68" t="str">
            <v>España – Adquisición de edificios residenciales</v>
          </cell>
          <cell r="G68">
            <v>230401</v>
          </cell>
          <cell r="H68" t="str">
            <v xml:space="preserve">A.3.7.1.1. Adquisición y propiedad de edificios residenciales o edificios de menos de 5.000m2 en España </v>
          </cell>
        </row>
        <row r="69">
          <cell r="B69" t="str">
            <v>Construcción &amp; Real Estate</v>
          </cell>
          <cell r="C69">
            <v>23</v>
          </cell>
          <cell r="D69" t="str">
            <v>Adquisición de edificios</v>
          </cell>
          <cell r="E69">
            <v>2304</v>
          </cell>
          <cell r="F69" t="str">
            <v>España – Adquisición de edificios comerciales</v>
          </cell>
          <cell r="G69">
            <v>230402</v>
          </cell>
          <cell r="H69" t="str">
            <v xml:space="preserve">A.3.7.1.2. Adquisición y propiedad de edificios comerciales o edificios de más de 5.000 m2 en España </v>
          </cell>
        </row>
        <row r="70">
          <cell r="B70" t="str">
            <v>Construcción &amp; Real Estate</v>
          </cell>
          <cell r="C70">
            <v>23</v>
          </cell>
          <cell r="D70" t="str">
            <v>Adquisición de edificios</v>
          </cell>
          <cell r="E70">
            <v>2304</v>
          </cell>
          <cell r="F70" t="str">
            <v>Portugal – Adquisición de edificios residenciales</v>
          </cell>
          <cell r="G70">
            <v>230403</v>
          </cell>
          <cell r="H70" t="str">
            <v xml:space="preserve">A.3.7.2.1. Adquisición y propiedad de edificios residenciales de edificios de menor tamaño de 5.000m2 en Portugal </v>
          </cell>
        </row>
        <row r="71">
          <cell r="B71" t="str">
            <v>Construcción &amp; Real Estate</v>
          </cell>
          <cell r="C71">
            <v>23</v>
          </cell>
          <cell r="D71" t="str">
            <v>Adquisición de edificios</v>
          </cell>
          <cell r="E71">
            <v>2304</v>
          </cell>
          <cell r="F71" t="str">
            <v>Portugal – Adquisición de edificios comerciales</v>
          </cell>
          <cell r="G71">
            <v>230404</v>
          </cell>
          <cell r="H71" t="str">
            <v xml:space="preserve">A.3.7.2.2. Adquisición y propiedad de edificios comerciales o edificios de más de 5.000 m2 en Portugal </v>
          </cell>
        </row>
        <row r="72">
          <cell r="B72" t="str">
            <v>Construcción &amp; Real Estate</v>
          </cell>
          <cell r="C72">
            <v>23</v>
          </cell>
          <cell r="D72" t="str">
            <v>Adquisición de edificios</v>
          </cell>
          <cell r="E72">
            <v>2304</v>
          </cell>
          <cell r="F72" t="str">
            <v>Polonia – Adquisición de edificios residenciales</v>
          </cell>
          <cell r="G72">
            <v>230405</v>
          </cell>
          <cell r="H72" t="str">
            <v xml:space="preserve">A.3.7.3.1. Adquisición y propiedad de edificios residenciales de edificios de menor tamaño de 5.000m2 en Polonia </v>
          </cell>
        </row>
        <row r="73">
          <cell r="B73" t="str">
            <v>Construcción &amp; Real Estate</v>
          </cell>
          <cell r="C73">
            <v>23</v>
          </cell>
          <cell r="D73" t="str">
            <v>Adquisición de edificios</v>
          </cell>
          <cell r="E73">
            <v>2304</v>
          </cell>
          <cell r="F73" t="str">
            <v>Polonia – Adquisición de edificios comerciales</v>
          </cell>
          <cell r="G73">
            <v>230406</v>
          </cell>
          <cell r="H73" t="str">
            <v xml:space="preserve">A.3.7.3.2. Adquisición y propiedad de edificios comerciales o edificios de más de 5.000 m2 en Polonia </v>
          </cell>
        </row>
        <row r="74">
          <cell r="B74" t="str">
            <v>Construcción &amp; Real Estate</v>
          </cell>
          <cell r="C74">
            <v>23</v>
          </cell>
          <cell r="D74" t="str">
            <v>Adquisición de edificios</v>
          </cell>
          <cell r="E74">
            <v>2304</v>
          </cell>
          <cell r="F74" t="str">
            <v>Reino Unido – Adquisición de edificios residenciales</v>
          </cell>
          <cell r="G74">
            <v>230407</v>
          </cell>
          <cell r="H74" t="str">
            <v xml:space="preserve">A.3.7.4.1. Adquisición y propiedad de edificios residenciales o edificios de menos de 5.000m2 en el Reino Unido </v>
          </cell>
        </row>
        <row r="75">
          <cell r="B75" t="str">
            <v>Construcción &amp; Real Estate</v>
          </cell>
          <cell r="C75">
            <v>23</v>
          </cell>
          <cell r="D75" t="str">
            <v>Adquisición de edificios</v>
          </cell>
          <cell r="E75">
            <v>2304</v>
          </cell>
          <cell r="F75" t="str">
            <v>Resto de países – Adquisición de edificios residenciales</v>
          </cell>
          <cell r="G75">
            <v>230408</v>
          </cell>
          <cell r="H75" t="str">
            <v xml:space="preserve">A.3.7.5.1. Adquisición y propiedad de edificios residenciales de menor tamaño de 5.000 m2 en todos los demás países (incluidos la UE y los terceros países) </v>
          </cell>
        </row>
        <row r="76">
          <cell r="B76" t="str">
            <v>Construcción &amp; Real Estate</v>
          </cell>
          <cell r="C76">
            <v>23</v>
          </cell>
          <cell r="D76" t="str">
            <v>Adquisición de edificios</v>
          </cell>
          <cell r="E76">
            <v>2304</v>
          </cell>
          <cell r="F76" t="str">
            <v>Resto de países y Reino Unido – Adquisición de edificios residenciales</v>
          </cell>
          <cell r="G76">
            <v>230409</v>
          </cell>
          <cell r="H76" t="str">
            <v xml:space="preserve">A.3.7.5.2. Adquisición y propiedad de edificios comerciales o edificios de más de 5.000 m2 </v>
          </cell>
        </row>
        <row r="77">
          <cell r="B77" t="str">
            <v>Construcción &amp; Real Estate</v>
          </cell>
          <cell r="C77">
            <v>23</v>
          </cell>
          <cell r="D77" t="str">
            <v>Ingeniería civil</v>
          </cell>
          <cell r="E77">
            <v>2306</v>
          </cell>
          <cell r="F77" t="str">
            <v xml:space="preserve">Mantenimiento de carreteras y autopistas </v>
          </cell>
          <cell r="G77">
            <v>230601</v>
          </cell>
          <cell r="H77" t="str">
            <v>A.3.9. Mantenimiento de carreteras y autopistas</v>
          </cell>
        </row>
        <row r="78">
          <cell r="B78" t="str">
            <v>Construcción &amp; Real Estate</v>
          </cell>
          <cell r="C78">
            <v>23</v>
          </cell>
          <cell r="D78" t="str">
            <v>Ingeniería civil</v>
          </cell>
          <cell r="E78">
            <v>2306</v>
          </cell>
          <cell r="F78" t="str">
            <v xml:space="preserve">Uso de hormigón en ingeniería civil </v>
          </cell>
          <cell r="G78">
            <v>230602</v>
          </cell>
          <cell r="H78" t="str">
            <v xml:space="preserve">A.3.10. Uso del hormigón en la ingeniería civil </v>
          </cell>
        </row>
        <row r="79">
          <cell r="B79" t="str">
            <v>Construcción &amp; Real Estate</v>
          </cell>
          <cell r="C79">
            <v>23</v>
          </cell>
          <cell r="D79" t="str">
            <v>Instalación, mantenimiento y reparación</v>
          </cell>
          <cell r="E79">
            <v>2303</v>
          </cell>
          <cell r="F79" t="str">
            <v xml:space="preserve">Equipamiento de eficiencia energética </v>
          </cell>
          <cell r="G79">
            <v>230301</v>
          </cell>
          <cell r="H79" t="str">
            <v xml:space="preserve">A.3.3. Instalación. mantenimiento y reparación de equipos de eficiencia energética </v>
          </cell>
        </row>
        <row r="80">
          <cell r="B80" t="str">
            <v>Construcción &amp; Real Estate</v>
          </cell>
          <cell r="C80">
            <v>23</v>
          </cell>
          <cell r="D80" t="str">
            <v>Instalación, mantenimiento y reparación</v>
          </cell>
          <cell r="E80">
            <v>2303</v>
          </cell>
          <cell r="F80" t="str">
            <v xml:space="preserve">Estaciones de carga de vehículos eléctricos (edificios y estacionamiento) </v>
          </cell>
          <cell r="G80">
            <v>230302</v>
          </cell>
          <cell r="H80" t="str">
            <v xml:space="preserve">A.3.4. Instalación. mantenimiento y reparación de estaciones de recarga para vehículos eléctricos en edificios (y plazas de aparcamiento anexas a edificios) </v>
          </cell>
        </row>
        <row r="81">
          <cell r="B81" t="str">
            <v>Construcción &amp; Real Estate</v>
          </cell>
          <cell r="C81">
            <v>23</v>
          </cell>
          <cell r="D81" t="str">
            <v>Instalación, mantenimiento y reparación</v>
          </cell>
          <cell r="E81">
            <v>2303</v>
          </cell>
          <cell r="F81" t="str">
            <v>Instrumentos y dispositivos para el desempeño energético de los edificios</v>
          </cell>
          <cell r="G81">
            <v>230303</v>
          </cell>
          <cell r="H81" t="str">
            <v xml:space="preserve">A.3.5. Instalación. mantenimiento y reparación de instrumentos y dispositivos de medición. regulación y control del rendimiento energético de los edificios </v>
          </cell>
        </row>
        <row r="82">
          <cell r="B82" t="str">
            <v>Construcción &amp; Real Estate</v>
          </cell>
          <cell r="C82">
            <v>23</v>
          </cell>
          <cell r="D82" t="str">
            <v>Instalación, mantenimiento y reparación</v>
          </cell>
          <cell r="E82">
            <v>2303</v>
          </cell>
          <cell r="F82" t="str">
            <v xml:space="preserve">Tecnologías de energía renovable </v>
          </cell>
          <cell r="G82">
            <v>230304</v>
          </cell>
          <cell r="H82" t="str">
            <v xml:space="preserve">A.3.6. Instalación. mantenimiento y reparación de tecnologías de energías renovables </v>
          </cell>
        </row>
        <row r="83">
          <cell r="B83" t="str">
            <v>Construcción &amp; Real Estate</v>
          </cell>
          <cell r="C83">
            <v>23</v>
          </cell>
          <cell r="D83" t="str">
            <v>A.3.8. Demolición</v>
          </cell>
          <cell r="E83">
            <v>2305</v>
          </cell>
          <cell r="F83" t="str">
            <v>N/A</v>
          </cell>
          <cell r="G83" t="str">
            <v>N/A</v>
          </cell>
          <cell r="H83" t="str">
            <v>N/A</v>
          </cell>
        </row>
        <row r="84">
          <cell r="B84" t="str">
            <v>Agua y residuos</v>
          </cell>
          <cell r="C84">
            <v>26</v>
          </cell>
          <cell r="D84" t="str">
            <v>Aguas residuales</v>
          </cell>
          <cell r="E84">
            <v>2602</v>
          </cell>
          <cell r="F84" t="str">
            <v>Recogida y tratamento de residuos</v>
          </cell>
          <cell r="G84">
            <v>260201</v>
          </cell>
          <cell r="H84" t="str">
            <v xml:space="preserve">A.6.3. Recogida y tratamiento de aguas residuales </v>
          </cell>
        </row>
        <row r="85">
          <cell r="B85" t="str">
            <v>Agua y residuos</v>
          </cell>
          <cell r="C85">
            <v>26</v>
          </cell>
          <cell r="D85" t="str">
            <v>Aguas residuales</v>
          </cell>
          <cell r="E85">
            <v>2602</v>
          </cell>
          <cell r="F85" t="str">
            <v xml:space="preserve">Tratamiento de aguas residuales urbanas </v>
          </cell>
          <cell r="G85">
            <v>260202</v>
          </cell>
          <cell r="H85" t="str">
            <v xml:space="preserve">A.6.14. Tratamiento de aguas residuales urbanas </v>
          </cell>
        </row>
        <row r="86">
          <cell r="B86" t="str">
            <v>Agua y residuos</v>
          </cell>
          <cell r="C86">
            <v>26</v>
          </cell>
          <cell r="D86" t="str">
            <v>Aguas residuales</v>
          </cell>
          <cell r="E86">
            <v>2602</v>
          </cell>
          <cell r="F86" t="str">
            <v>Sistemas de drenaje urbano sostenible (SUDS)</v>
          </cell>
          <cell r="G86">
            <v>260203</v>
          </cell>
          <cell r="H86" t="str">
            <v xml:space="preserve">A.6.15. Sistemas sostenibles de drenaje urbano (SUDS) </v>
          </cell>
        </row>
        <row r="87">
          <cell r="B87" t="str">
            <v>Agua y residuos</v>
          </cell>
          <cell r="C87">
            <v>26</v>
          </cell>
          <cell r="D87" t="str">
            <v>Aguas residuales</v>
          </cell>
          <cell r="E87">
            <v>2602</v>
          </cell>
          <cell r="F87" t="str">
            <v xml:space="preserve">Recuperación de fósforo de las aguas residuales </v>
          </cell>
          <cell r="G87">
            <v>260204</v>
          </cell>
          <cell r="H87" t="str">
            <v xml:space="preserve">A.6.16. Recuperación de fósforo a partir de aguas residuales </v>
          </cell>
        </row>
        <row r="88">
          <cell r="B88" t="str">
            <v>Agua y residuos</v>
          </cell>
          <cell r="C88">
            <v>26</v>
          </cell>
          <cell r="D88" t="str">
            <v>Aguas residuales</v>
          </cell>
          <cell r="E88">
            <v>2602</v>
          </cell>
          <cell r="F88" t="str">
            <v xml:space="preserve">Producción de recursos hídricos alternativos (sin consumo humano) </v>
          </cell>
          <cell r="G88">
            <v>260205</v>
          </cell>
          <cell r="H88" t="str">
            <v xml:space="preserve">A.6.17. Producción de recursos hídricos alternativos para fines distintos del consumo humano </v>
          </cell>
        </row>
        <row r="89">
          <cell r="B89" t="str">
            <v>Agua y residuos</v>
          </cell>
          <cell r="C89">
            <v>26</v>
          </cell>
          <cell r="D89" t="str">
            <v>Gestión de residuos</v>
          </cell>
          <cell r="E89">
            <v>2604</v>
          </cell>
          <cell r="F89" t="str">
            <v xml:space="preserve">Residuos no peligrosos - recogida/transporte (fracciones segregadas de la fuente) </v>
          </cell>
          <cell r="G89">
            <v>260401</v>
          </cell>
          <cell r="H89" t="str">
            <v xml:space="preserve">A.6.4. Recogida y transporte de residuos no peligrosos en fracciones segregadas en fuentes </v>
          </cell>
        </row>
        <row r="90">
          <cell r="B90" t="str">
            <v>Agua y residuos</v>
          </cell>
          <cell r="C90">
            <v>26</v>
          </cell>
          <cell r="D90" t="str">
            <v>Gestión de residuos</v>
          </cell>
          <cell r="E90">
            <v>2604</v>
          </cell>
          <cell r="F90" t="str">
            <v xml:space="preserve">Residuos no peligrosos - recuperación de materiales </v>
          </cell>
          <cell r="G90">
            <v>260402</v>
          </cell>
          <cell r="H90" t="str">
            <v xml:space="preserve">A.6.8. Recuperación de materiales a partir de residuos no peligrosos </v>
          </cell>
        </row>
        <row r="91">
          <cell r="B91" t="str">
            <v>Agua y residuos</v>
          </cell>
          <cell r="C91">
            <v>26</v>
          </cell>
          <cell r="D91" t="str">
            <v>Gestión de residuos</v>
          </cell>
          <cell r="E91">
            <v>2604</v>
          </cell>
          <cell r="F91" t="str">
            <v xml:space="preserve">Residuos no peligrosos y peligrosos - recogida/transporte </v>
          </cell>
          <cell r="G91">
            <v>260403</v>
          </cell>
          <cell r="H91" t="str">
            <v xml:space="preserve">A.6.18. Recogida y transporte de residuos no peligrosos y peligrosos </v>
          </cell>
        </row>
        <row r="92">
          <cell r="B92" t="str">
            <v>Agua y residuos</v>
          </cell>
          <cell r="C92">
            <v>26</v>
          </cell>
          <cell r="D92" t="str">
            <v>Gestión de residuos</v>
          </cell>
          <cell r="E92">
            <v>2604</v>
          </cell>
          <cell r="F92" t="str">
            <v xml:space="preserve">Residuos peligrosos - tratamiento </v>
          </cell>
          <cell r="G92">
            <v>260404</v>
          </cell>
          <cell r="H92" t="str">
            <v xml:space="preserve">A.6.19. Tratamiento de residuos peligrosos </v>
          </cell>
        </row>
        <row r="93">
          <cell r="B93" t="str">
            <v>Agua y residuos</v>
          </cell>
          <cell r="C93">
            <v>26</v>
          </cell>
          <cell r="D93" t="str">
            <v>Gestión de residuos</v>
          </cell>
          <cell r="E93">
            <v>2604</v>
          </cell>
          <cell r="F93" t="str">
            <v xml:space="preserve">Descontaminación/desmantelamiento de productos al final de su vida útil </v>
          </cell>
          <cell r="G93">
            <v>260405</v>
          </cell>
          <cell r="H93" t="str">
            <v xml:space="preserve">A.6.22. Descontaminación y desmantelamiento de productos al final de su vida útil </v>
          </cell>
        </row>
        <row r="94">
          <cell r="B94" t="str">
            <v>Agua y residuos</v>
          </cell>
          <cell r="C94">
            <v>26</v>
          </cell>
          <cell r="D94" t="str">
            <v>Gestión de residuos</v>
          </cell>
          <cell r="E94">
            <v>2604</v>
          </cell>
          <cell r="F94" t="str">
            <v xml:space="preserve">Residuos no peligrosos - separación </v>
          </cell>
          <cell r="G94">
            <v>260406</v>
          </cell>
          <cell r="H94" t="str">
            <v xml:space="preserve">A.6.21. Clasificación de residuos no peligrosos </v>
          </cell>
        </row>
        <row r="95">
          <cell r="B95" t="str">
            <v>Agua y residuos</v>
          </cell>
          <cell r="C95">
            <v>26</v>
          </cell>
          <cell r="D95" t="str">
            <v>Gestión de residuos</v>
          </cell>
          <cell r="E95">
            <v>2604</v>
          </cell>
          <cell r="F95" t="str">
            <v xml:space="preserve">Residuos peligrosos - recogida/transporte </v>
          </cell>
          <cell r="G95">
            <v>260407</v>
          </cell>
          <cell r="H95" t="str">
            <v xml:space="preserve">A.6.23. Recogida y transporte de residuos peligrosos </v>
          </cell>
        </row>
        <row r="96">
          <cell r="B96" t="str">
            <v>Agua y residuos</v>
          </cell>
          <cell r="C96">
            <v>26</v>
          </cell>
          <cell r="D96" t="str">
            <v>Gestión de bio-residuos</v>
          </cell>
          <cell r="E96">
            <v>2603</v>
          </cell>
          <cell r="F96" t="str">
            <v xml:space="preserve">Lodo de aguas residuales - digestión anaeróbica </v>
          </cell>
          <cell r="G96">
            <v>260301</v>
          </cell>
          <cell r="H96" t="str">
            <v xml:space="preserve">A.6.5. Digestión anaeróbica de lodos de depuradora </v>
          </cell>
        </row>
        <row r="97">
          <cell r="B97" t="str">
            <v>Agua y residuos</v>
          </cell>
          <cell r="C97">
            <v>26</v>
          </cell>
          <cell r="D97" t="str">
            <v>Gestión de bio-residuos</v>
          </cell>
          <cell r="E97">
            <v>2603</v>
          </cell>
          <cell r="F97" t="str">
            <v xml:space="preserve">Bio-residuos - digestión anaerobia </v>
          </cell>
          <cell r="G97">
            <v>260302</v>
          </cell>
          <cell r="H97" t="str">
            <v xml:space="preserve">A.6.6. Digestión anaeróbica de biorresiduos </v>
          </cell>
        </row>
        <row r="98">
          <cell r="B98" t="str">
            <v>Agua y residuos</v>
          </cell>
          <cell r="C98">
            <v>26</v>
          </cell>
          <cell r="D98" t="str">
            <v>Gestión de bio-residuos</v>
          </cell>
          <cell r="E98">
            <v>2603</v>
          </cell>
          <cell r="F98" t="str">
            <v xml:space="preserve">Bio-residuos - compostaje </v>
          </cell>
          <cell r="G98">
            <v>260303</v>
          </cell>
          <cell r="H98" t="str">
            <v xml:space="preserve">A.6.7. Compostaje de biorresiduos </v>
          </cell>
        </row>
        <row r="99">
          <cell r="B99" t="str">
            <v>Agua y residuos</v>
          </cell>
          <cell r="C99">
            <v>26</v>
          </cell>
          <cell r="D99" t="str">
            <v>Gestión de bio-residuos</v>
          </cell>
          <cell r="E99">
            <v>2603</v>
          </cell>
          <cell r="F99" t="str">
            <v xml:space="preserve">Captura y uso de bio-gas </v>
          </cell>
          <cell r="G99">
            <v>260304</v>
          </cell>
          <cell r="H99" t="str">
            <v xml:space="preserve">A.6.9. Captura y utilización de gases de vertedero </v>
          </cell>
        </row>
        <row r="100">
          <cell r="B100" t="str">
            <v>Agua y residuos</v>
          </cell>
          <cell r="C100">
            <v>26</v>
          </cell>
          <cell r="D100" t="str">
            <v>Gestión de bio-residuos</v>
          </cell>
          <cell r="E100">
            <v>2603</v>
          </cell>
          <cell r="F100" t="str">
            <v>Recuperación de bio-residuos</v>
          </cell>
          <cell r="G100">
            <v>260305</v>
          </cell>
          <cell r="H100" t="str">
            <v xml:space="preserve">A.6.20. Recuperación de biorresiduos por digestión anaeróbica o compostaje </v>
          </cell>
        </row>
        <row r="101">
          <cell r="B101" t="str">
            <v>Agua y residuos</v>
          </cell>
          <cell r="C101">
            <v>26</v>
          </cell>
          <cell r="D101" t="str">
            <v>Suministro de agua</v>
          </cell>
          <cell r="E101">
            <v>2601</v>
          </cell>
          <cell r="F101" t="str">
            <v xml:space="preserve">Sistemas de recogida, tratamiento y abastecimiento de agua </v>
          </cell>
          <cell r="G101">
            <v>260101</v>
          </cell>
          <cell r="H101" t="str">
            <v xml:space="preserve">A.6.1. Sistemas de recogida. tratamiento y suministro de agua </v>
          </cell>
        </row>
        <row r="102">
          <cell r="B102" t="str">
            <v>Agua y residuos</v>
          </cell>
          <cell r="C102">
            <v>26</v>
          </cell>
          <cell r="D102" t="str">
            <v>Suministro de agua</v>
          </cell>
          <cell r="E102">
            <v>2601</v>
          </cell>
          <cell r="F102" t="str">
            <v>Desalinización</v>
          </cell>
          <cell r="G102">
            <v>260102</v>
          </cell>
          <cell r="H102" t="str">
            <v xml:space="preserve">A.6.12. Desalinización </v>
          </cell>
        </row>
        <row r="103">
          <cell r="B103" t="str">
            <v>Agua y residuos</v>
          </cell>
          <cell r="C103">
            <v>26</v>
          </cell>
          <cell r="D103" t="str">
            <v>Suministro de agua</v>
          </cell>
          <cell r="E103">
            <v>2601</v>
          </cell>
          <cell r="F103" t="str">
            <v xml:space="preserve">Abastecimiento de agua </v>
          </cell>
          <cell r="G103">
            <v>260103</v>
          </cell>
          <cell r="H103" t="str">
            <v xml:space="preserve">A.6.13. Suministro de agua </v>
          </cell>
        </row>
        <row r="104">
          <cell r="B104" t="str">
            <v>Agua y residuos</v>
          </cell>
          <cell r="C104">
            <v>26</v>
          </cell>
          <cell r="D104" t="str">
            <v>Suministro de agua</v>
          </cell>
          <cell r="E104">
            <v>2601</v>
          </cell>
          <cell r="F104" t="str">
            <v>Gestión sostenible del agua</v>
          </cell>
          <cell r="G104">
            <v>260104</v>
          </cell>
          <cell r="H104" t="str">
            <v xml:space="preserve">A.6.2. Gestión sostenible del agua </v>
          </cell>
        </row>
        <row r="105">
          <cell r="B105" t="str">
            <v>Agua y residuos</v>
          </cell>
          <cell r="C105">
            <v>26</v>
          </cell>
          <cell r="D105" t="str">
            <v>Remediación</v>
          </cell>
          <cell r="E105">
            <v>2605</v>
          </cell>
          <cell r="F105" t="str">
            <v>Remediación - vertederos legalmente no conformes / abandonados / ilegales</v>
          </cell>
          <cell r="G105">
            <v>260501</v>
          </cell>
          <cell r="H105" t="str">
            <v xml:space="preserve">A.6.24. Remediación de vertederos legalmente inconformes y vertederos abandonados o ilegales </v>
          </cell>
        </row>
        <row r="106">
          <cell r="B106" t="str">
            <v>Agua y residuos</v>
          </cell>
          <cell r="C106">
            <v>26</v>
          </cell>
          <cell r="D106" t="str">
            <v>Remediación</v>
          </cell>
          <cell r="E106">
            <v>2605</v>
          </cell>
          <cell r="F106" t="str">
            <v xml:space="preserve">Remediación - lugares y áreas contaminadas </v>
          </cell>
          <cell r="G106">
            <v>260502</v>
          </cell>
          <cell r="H106" t="str">
            <v xml:space="preserve">A.6.25. Rehabilitación de sitios y áreas contaminadas </v>
          </cell>
        </row>
        <row r="107">
          <cell r="B107" t="str">
            <v>Agua y residuos</v>
          </cell>
          <cell r="C107">
            <v>26</v>
          </cell>
          <cell r="D107" t="str">
            <v>Transporte y almacenamiento de carbono</v>
          </cell>
          <cell r="E107">
            <v>2606</v>
          </cell>
          <cell r="F107" t="str">
            <v xml:space="preserve">Transporte de CO2 </v>
          </cell>
          <cell r="G107">
            <v>260601</v>
          </cell>
          <cell r="H107" t="str">
            <v xml:space="preserve">A.6.10. Transporte de CO2 </v>
          </cell>
        </row>
        <row r="108">
          <cell r="B108" t="str">
            <v>Agua y residuos</v>
          </cell>
          <cell r="C108">
            <v>26</v>
          </cell>
          <cell r="D108" t="str">
            <v>Transporte y almacenamiento de carbono</v>
          </cell>
          <cell r="E108">
            <v>2606</v>
          </cell>
          <cell r="F108" t="str">
            <v xml:space="preserve">Almacenamiento subterráneo de CO2 </v>
          </cell>
          <cell r="G108">
            <v>260602</v>
          </cell>
          <cell r="H108" t="str">
            <v xml:space="preserve">A.6.11. Almacenamiento subterráneo de CO2 </v>
          </cell>
        </row>
        <row r="109">
          <cell r="B109" t="str">
            <v>Agua y residuos</v>
          </cell>
          <cell r="C109">
            <v>26</v>
          </cell>
          <cell r="D109" t="str">
            <v>Gestión de residuos</v>
          </cell>
          <cell r="E109">
            <v>2604</v>
          </cell>
          <cell r="F109" t="str">
            <v>Uso de materiales reciclados</v>
          </cell>
          <cell r="G109">
            <v>260408</v>
          </cell>
          <cell r="H109" t="str">
            <v>A.6.26. Materiales reciclados</v>
          </cell>
        </row>
        <row r="110">
          <cell r="B110" t="str">
            <v>Agricultura</v>
          </cell>
          <cell r="C110">
            <v>27</v>
          </cell>
          <cell r="D110" t="str">
            <v>Agricultura sostenible</v>
          </cell>
          <cell r="E110">
            <v>2703</v>
          </cell>
          <cell r="F110" t="str">
            <v>Cultivo sostenible</v>
          </cell>
          <cell r="G110">
            <v>270301</v>
          </cell>
          <cell r="H110" t="str">
            <v xml:space="preserve">A.7.7. Cultivo sostenible de cultivos </v>
          </cell>
        </row>
        <row r="111">
          <cell r="B111" t="str">
            <v>Agricultura</v>
          </cell>
          <cell r="C111">
            <v>27</v>
          </cell>
          <cell r="D111" t="str">
            <v>Agricultura sostenible</v>
          </cell>
          <cell r="E111">
            <v>2703</v>
          </cell>
          <cell r="F111" t="str">
            <v>Remediación de suelo</v>
          </cell>
          <cell r="G111">
            <v>270302</v>
          </cell>
          <cell r="H111" t="str">
            <v xml:space="preserve">A.7.8. Remedios del suelo </v>
          </cell>
        </row>
        <row r="112">
          <cell r="B112" t="str">
            <v>Agricultura</v>
          </cell>
          <cell r="C112">
            <v>27</v>
          </cell>
          <cell r="D112" t="str">
            <v>Agricultura sostenible</v>
          </cell>
          <cell r="E112">
            <v>2703</v>
          </cell>
          <cell r="F112" t="str">
            <v xml:space="preserve">Tecnologias agrícolas de bajo carbono </v>
          </cell>
          <cell r="G112">
            <v>270303</v>
          </cell>
          <cell r="H112" t="str">
            <v xml:space="preserve">A.7.9. Tecnologías agrícolas con bajas emisiones de carbono para mejorar la eficiencia (por ejemplo. técnicas utilizadas en la agricultura de precisión. la agricultura hidropónica. la agricultura de aeropónica) </v>
          </cell>
        </row>
        <row r="113">
          <cell r="B113" t="str">
            <v>Agricultura</v>
          </cell>
          <cell r="C113">
            <v>27</v>
          </cell>
          <cell r="D113" t="str">
            <v>Agricultura sostenible</v>
          </cell>
          <cell r="E113">
            <v>2703</v>
          </cell>
          <cell r="F113" t="str">
            <v xml:space="preserve">Máquinas eléctricas eficientes (Expt. tecnología para producción pecuaria) </v>
          </cell>
          <cell r="G113">
            <v>270304</v>
          </cell>
          <cell r="H113" t="str">
            <v xml:space="preserve">A.7.10. Maquinaria eléctrica eficiente. excluyendo la tecnología para la producción ganadera </v>
          </cell>
        </row>
        <row r="114">
          <cell r="B114" t="str">
            <v>Agricultura</v>
          </cell>
          <cell r="C114">
            <v>27</v>
          </cell>
          <cell r="D114" t="str">
            <v>Agricultura sostenible</v>
          </cell>
          <cell r="E114">
            <v>2703</v>
          </cell>
          <cell r="F114" t="str">
            <v xml:space="preserve">Agricultura regenerativa </v>
          </cell>
          <cell r="G114">
            <v>270305</v>
          </cell>
          <cell r="H114" t="str">
            <v xml:space="preserve">A.7.11. Agricultura regenerativa </v>
          </cell>
        </row>
        <row r="115">
          <cell r="B115" t="str">
            <v>Agricultura</v>
          </cell>
          <cell r="C115">
            <v>27</v>
          </cell>
          <cell r="D115" t="str">
            <v>Agricultura sostenible</v>
          </cell>
          <cell r="E115">
            <v>2703</v>
          </cell>
          <cell r="F115" t="str">
            <v xml:space="preserve">Estructuras agrícolas </v>
          </cell>
          <cell r="G115">
            <v>270306</v>
          </cell>
          <cell r="H115" t="str">
            <v xml:space="preserve">A.7.12. Estructuras agrícolas </v>
          </cell>
        </row>
        <row r="116">
          <cell r="B116" t="str">
            <v>Agricultura</v>
          </cell>
          <cell r="C116">
            <v>27</v>
          </cell>
          <cell r="D116" t="str">
            <v>Agricultura sostenible</v>
          </cell>
          <cell r="E116">
            <v>2703</v>
          </cell>
          <cell r="F116" t="str">
            <v>Integrated Crop-Livestock-Forestry Systems (ICLFS)</v>
          </cell>
          <cell r="G116">
            <v>270307</v>
          </cell>
          <cell r="H116" t="str">
            <v xml:space="preserve">A.7.13. Sistemas integrados de cultivo. ganadería y silvicultura (ICLFS) </v>
          </cell>
        </row>
        <row r="117">
          <cell r="B117" t="str">
            <v>Agricultura</v>
          </cell>
          <cell r="C117">
            <v>27</v>
          </cell>
          <cell r="D117" t="str">
            <v>Agricultura sostenible</v>
          </cell>
          <cell r="E117">
            <v>2703</v>
          </cell>
          <cell r="F117" t="str">
            <v>Producción sostenible de alimentos</v>
          </cell>
          <cell r="G117">
            <v>270308</v>
          </cell>
          <cell r="H117" t="str">
            <v xml:space="preserve">A.7.14. Producción sostenible de piensos </v>
          </cell>
        </row>
        <row r="118">
          <cell r="B118" t="str">
            <v>Agricultura</v>
          </cell>
          <cell r="C118">
            <v>27</v>
          </cell>
          <cell r="D118" t="str">
            <v>Agricultura sostenible</v>
          </cell>
          <cell r="E118">
            <v>2703</v>
          </cell>
          <cell r="F118" t="str">
            <v>Producción agrícola sostenible</v>
          </cell>
          <cell r="G118">
            <v>270309</v>
          </cell>
          <cell r="H118" t="str">
            <v xml:space="preserve">A.7.18. Producción agrícola sostenible </v>
          </cell>
        </row>
        <row r="119">
          <cell r="B119" t="str">
            <v>Agricultura</v>
          </cell>
          <cell r="C119">
            <v>27</v>
          </cell>
          <cell r="D119" t="str">
            <v>Agricultura sostenible</v>
          </cell>
          <cell r="E119">
            <v>2703</v>
          </cell>
          <cell r="F119" t="str">
            <v>Agricultura orgánica</v>
          </cell>
          <cell r="G119">
            <v>270310</v>
          </cell>
          <cell r="H119" t="str">
            <v xml:space="preserve">A.7.19. Agricultura ecológica </v>
          </cell>
        </row>
        <row r="120">
          <cell r="B120" t="str">
            <v>Agricultura</v>
          </cell>
          <cell r="C120">
            <v>27</v>
          </cell>
          <cell r="D120" t="str">
            <v>Agricultura sostenible</v>
          </cell>
          <cell r="E120">
            <v>2703</v>
          </cell>
          <cell r="F120" t="str">
            <v>Compra y transformación de tierras sostenibles</v>
          </cell>
          <cell r="G120">
            <v>270311</v>
          </cell>
          <cell r="H120" t="str">
            <v xml:space="preserve">A.7.20. Compra y Transformación de Tierras Sostenibles </v>
          </cell>
        </row>
        <row r="121">
          <cell r="B121" t="str">
            <v>Agricultura</v>
          </cell>
          <cell r="C121">
            <v>27</v>
          </cell>
          <cell r="D121" t="str">
            <v>Forestación / Reforestación</v>
          </cell>
          <cell r="E121">
            <v>2701</v>
          </cell>
          <cell r="F121" t="str">
            <v>Forestación</v>
          </cell>
          <cell r="G121">
            <v>270101</v>
          </cell>
          <cell r="H121" t="str">
            <v xml:space="preserve">A.7.1. Forestación </v>
          </cell>
        </row>
        <row r="122">
          <cell r="B122" t="str">
            <v>Agricultura</v>
          </cell>
          <cell r="C122">
            <v>27</v>
          </cell>
          <cell r="D122" t="str">
            <v>Forestación / Reforestación</v>
          </cell>
          <cell r="E122">
            <v>2701</v>
          </cell>
          <cell r="F122" t="str">
            <v>Gestión forestal</v>
          </cell>
          <cell r="G122">
            <v>270102</v>
          </cell>
          <cell r="H122" t="str">
            <v xml:space="preserve">A.7.3. Ordenación forestal </v>
          </cell>
        </row>
        <row r="123">
          <cell r="B123" t="str">
            <v>Agricultura</v>
          </cell>
          <cell r="C123">
            <v>27</v>
          </cell>
          <cell r="D123" t="str">
            <v>Conservación, restauración y remediación de suelo</v>
          </cell>
          <cell r="E123">
            <v>2702</v>
          </cell>
          <cell r="F123" t="str">
            <v>Rehabilitación y restauración de bosques</v>
          </cell>
          <cell r="G123">
            <v>270201</v>
          </cell>
          <cell r="H123" t="str">
            <v xml:space="preserve">A.7.2. Rehabilitación y restauración de bosques. incluyendo la reforestación y regeneración de bosques naturales después de un evento extremo </v>
          </cell>
        </row>
        <row r="124">
          <cell r="B124" t="str">
            <v>Agricultura</v>
          </cell>
          <cell r="C124">
            <v>27</v>
          </cell>
          <cell r="D124" t="str">
            <v>Conservación, restauración y remediación de suelo</v>
          </cell>
          <cell r="E124">
            <v>2702</v>
          </cell>
          <cell r="F124" t="str">
            <v>Conservación forestal</v>
          </cell>
          <cell r="G124">
            <v>270202</v>
          </cell>
          <cell r="H124" t="str">
            <v xml:space="preserve">A.7.4. Silvicultura de conservación </v>
          </cell>
        </row>
        <row r="125">
          <cell r="B125" t="str">
            <v>Agricultura</v>
          </cell>
          <cell r="C125">
            <v>27</v>
          </cell>
          <cell r="D125" t="str">
            <v>Conservación, restauración y remediación de suelo</v>
          </cell>
          <cell r="E125">
            <v>2702</v>
          </cell>
          <cell r="F125" t="str">
            <v>Restauración de humedales</v>
          </cell>
          <cell r="G125">
            <v>270203</v>
          </cell>
          <cell r="H125" t="str">
            <v xml:space="preserve">A.7.5. Restauración de humedales </v>
          </cell>
        </row>
        <row r="126">
          <cell r="B126" t="str">
            <v>Agricultura</v>
          </cell>
          <cell r="C126">
            <v>27</v>
          </cell>
          <cell r="D126" t="str">
            <v>Conservación, restauración y remediación de suelo</v>
          </cell>
          <cell r="E126">
            <v>2702</v>
          </cell>
          <cell r="F126" t="str">
            <v>Conservación / restauración de habitats, ecosistemas y especies</v>
          </cell>
          <cell r="G126">
            <v>270204</v>
          </cell>
          <cell r="H126" t="str">
            <v xml:space="preserve">A.7.6. Conservación. incluida la restauración. de hábitats. ecosistemas y especies </v>
          </cell>
        </row>
        <row r="127">
          <cell r="B127" t="str">
            <v>Agricultura</v>
          </cell>
          <cell r="C127">
            <v>27</v>
          </cell>
          <cell r="D127" t="str">
            <v>A.7.17. Secuestro de carbono</v>
          </cell>
          <cell r="E127">
            <v>2706</v>
          </cell>
          <cell r="F127" t="str">
            <v>N/A</v>
          </cell>
          <cell r="G127" t="str">
            <v>-</v>
          </cell>
          <cell r="H127" t="str">
            <v>N/A</v>
          </cell>
        </row>
        <row r="128">
          <cell r="B128" t="str">
            <v>Agricultura</v>
          </cell>
          <cell r="C128">
            <v>27</v>
          </cell>
          <cell r="D128" t="str">
            <v>A.7.15. Gestión de ganado</v>
          </cell>
          <cell r="E128">
            <v>2704</v>
          </cell>
          <cell r="F128" t="str">
            <v>N/A</v>
          </cell>
          <cell r="G128" t="str">
            <v>-</v>
          </cell>
          <cell r="H128" t="str">
            <v>N/A</v>
          </cell>
        </row>
        <row r="129">
          <cell r="B129" t="str">
            <v>Agricultura</v>
          </cell>
          <cell r="C129">
            <v>27</v>
          </cell>
          <cell r="D129" t="str">
            <v>A.7.16. Acuicultura y pesca sostenible</v>
          </cell>
          <cell r="E129">
            <v>2705</v>
          </cell>
          <cell r="F129" t="str">
            <v>N/A</v>
          </cell>
          <cell r="G129" t="str">
            <v>-</v>
          </cell>
          <cell r="H129" t="str">
            <v>N/A</v>
          </cell>
        </row>
        <row r="130">
          <cell r="B130" t="str">
            <v>Fabricación</v>
          </cell>
          <cell r="C130">
            <v>28</v>
          </cell>
          <cell r="D130" t="str">
            <v>Transporte</v>
          </cell>
          <cell r="E130">
            <v>2803</v>
          </cell>
          <cell r="F130" t="str">
            <v xml:space="preserve">Tecnologías de bajo carbono para transporte </v>
          </cell>
          <cell r="G130">
            <v>280301</v>
          </cell>
          <cell r="H130" t="str">
            <v xml:space="preserve">A.8.4. Fabricación de tecnologías bajas en carbono para el transporte </v>
          </cell>
        </row>
        <row r="131">
          <cell r="B131" t="str">
            <v>Fabricación</v>
          </cell>
          <cell r="C131">
            <v>28</v>
          </cell>
          <cell r="D131" t="str">
            <v>Transporte</v>
          </cell>
          <cell r="E131">
            <v>2803</v>
          </cell>
          <cell r="F131" t="str">
            <v>Fabricación de componentes de movilidad</v>
          </cell>
          <cell r="G131">
            <v>280302</v>
          </cell>
          <cell r="H131" t="str">
            <v xml:space="preserve">A.8.18. Fabricación de componentes de automoción y movilidad </v>
          </cell>
        </row>
        <row r="132">
          <cell r="B132" t="str">
            <v>Fabricación</v>
          </cell>
          <cell r="C132">
            <v>28</v>
          </cell>
          <cell r="D132" t="str">
            <v>Transporte</v>
          </cell>
          <cell r="E132">
            <v>2803</v>
          </cell>
          <cell r="F132" t="str">
            <v xml:space="preserve">Fabricación de componentes de material rodante ferroviario </v>
          </cell>
          <cell r="G132">
            <v>280303</v>
          </cell>
          <cell r="H132" t="str">
            <v xml:space="preserve">A.8.19. Fabricación de componentes del material rodante ferroviario </v>
          </cell>
        </row>
        <row r="133">
          <cell r="B133" t="str">
            <v>Fabricación</v>
          </cell>
          <cell r="C133">
            <v>28</v>
          </cell>
          <cell r="D133" t="str">
            <v>Transporte</v>
          </cell>
          <cell r="E133">
            <v>2803</v>
          </cell>
          <cell r="F133" t="str">
            <v>Fabricación de aeronaves</v>
          </cell>
          <cell r="G133">
            <v>280304</v>
          </cell>
          <cell r="H133" t="str">
            <v xml:space="preserve">A.8.21. Fabricación de aeronaves </v>
          </cell>
        </row>
        <row r="134">
          <cell r="B134" t="str">
            <v>Fabricación</v>
          </cell>
          <cell r="C134">
            <v>28</v>
          </cell>
          <cell r="D134" t="str">
            <v>Energía renovable y tecnología de hidrógeno</v>
          </cell>
          <cell r="E134">
            <v>2802</v>
          </cell>
          <cell r="F134" t="str">
            <v>Fabricación de tecnologías de energía renovable</v>
          </cell>
          <cell r="G134">
            <v>280201</v>
          </cell>
          <cell r="H134" t="str">
            <v xml:space="preserve">A.8.1. Fabricación de tecnologías de energía renovable </v>
          </cell>
        </row>
        <row r="135">
          <cell r="B135" t="str">
            <v>Fabricación</v>
          </cell>
          <cell r="C135">
            <v>28</v>
          </cell>
          <cell r="D135" t="str">
            <v>Energía renovable y tecnología de hidrógeno</v>
          </cell>
          <cell r="E135">
            <v>2802</v>
          </cell>
          <cell r="F135" t="str">
            <v>Equipamiento para producción y utilización de hidrógeno</v>
          </cell>
          <cell r="G135">
            <v>280202</v>
          </cell>
          <cell r="H135" t="str">
            <v xml:space="preserve">A.8.2. Fabricación de equipos para la producción y uso de hidrógeno </v>
          </cell>
        </row>
        <row r="136">
          <cell r="B136" t="str">
            <v>Fabricación</v>
          </cell>
          <cell r="C136">
            <v>28</v>
          </cell>
          <cell r="D136" t="str">
            <v>Energía renovable y tecnología de hidrógeno</v>
          </cell>
          <cell r="E136">
            <v>2802</v>
          </cell>
          <cell r="F136" t="str">
            <v>Fabricación de hidrógeno</v>
          </cell>
          <cell r="G136">
            <v>280203</v>
          </cell>
          <cell r="H136" t="str">
            <v xml:space="preserve">A.8.3. Fabricación de hidrógeno </v>
          </cell>
        </row>
        <row r="137">
          <cell r="B137" t="str">
            <v>Fabricación</v>
          </cell>
          <cell r="C137">
            <v>28</v>
          </cell>
          <cell r="D137" t="str">
            <v>Tecnologías y equipos eficientes</v>
          </cell>
          <cell r="E137">
            <v>2805</v>
          </cell>
          <cell r="F137" t="str">
            <v xml:space="preserve">Equipamiento de eficiencia energética para edificios </v>
          </cell>
          <cell r="G137">
            <v>280501</v>
          </cell>
          <cell r="H137" t="str">
            <v xml:space="preserve">A.8.6. Fabricación de equipos de eficiencia energética para edificios </v>
          </cell>
        </row>
        <row r="138">
          <cell r="B138" t="str">
            <v>Fabricación</v>
          </cell>
          <cell r="C138">
            <v>28</v>
          </cell>
          <cell r="D138" t="str">
            <v>Tecnologías y equipos eficientes</v>
          </cell>
          <cell r="E138">
            <v>2805</v>
          </cell>
          <cell r="F138" t="str">
            <v xml:space="preserve">Fabricación de otras tecnologías de bajo carbono </v>
          </cell>
          <cell r="G138">
            <v>280502</v>
          </cell>
          <cell r="H138" t="str">
            <v xml:space="preserve">A.8.7. Fabricación de otras tecnologías de baja emisión de carbono </v>
          </cell>
        </row>
        <row r="139">
          <cell r="B139" t="str">
            <v>Fabricación</v>
          </cell>
          <cell r="C139">
            <v>28</v>
          </cell>
          <cell r="D139" t="str">
            <v>Tecnologías y equipos eficientes</v>
          </cell>
          <cell r="E139">
            <v>2805</v>
          </cell>
          <cell r="F139" t="str">
            <v>Fabricación de equipamientos para la transmisión y distribución eléctrica</v>
          </cell>
          <cell r="G139">
            <v>280503</v>
          </cell>
          <cell r="H139" t="str">
            <v xml:space="preserve">A.8.20. Fabricación. instalación y mantenimiento de equipos eléctricos de alta. media y baja tensión para transmisión y distribución eléctrica que resulten en o permitan una contribución sustancial a la mitigación del cambio climático </v>
          </cell>
        </row>
        <row r="140">
          <cell r="B140" t="str">
            <v>Fabricación</v>
          </cell>
          <cell r="C140">
            <v>28</v>
          </cell>
          <cell r="D140" t="str">
            <v>Tecnologías y equipos eficientes</v>
          </cell>
          <cell r="E140">
            <v>2805</v>
          </cell>
          <cell r="F140" t="str">
            <v>Fabricación de equipamentos eficientes en términos de consumo de energía</v>
          </cell>
          <cell r="G140">
            <v>280504</v>
          </cell>
          <cell r="H140" t="str">
            <v xml:space="preserve">A.8.27. Fabricación e instalación de equipos eficientes en términos de consumo energético </v>
          </cell>
        </row>
        <row r="141">
          <cell r="B141" t="str">
            <v>Fabricación</v>
          </cell>
          <cell r="C141">
            <v>28</v>
          </cell>
          <cell r="D141" t="str">
            <v>Tecnologías y equipos eficientes</v>
          </cell>
          <cell r="E141">
            <v>2805</v>
          </cell>
          <cell r="F141" t="str">
            <v>Fabricación de tecnologias de control de fugas</v>
          </cell>
          <cell r="G141">
            <v>280505</v>
          </cell>
          <cell r="H141" t="str">
            <v xml:space="preserve">A.8.22. Fabricación. instalación y servicios asociados para tecnologías de control de fugas que permitan la reducción y prevención de fugas en sistemas de suministro de agua. permitiendo la reducción y prevención de fugas en sistemas de suministro de agua </v>
          </cell>
        </row>
        <row r="142">
          <cell r="B142" t="str">
            <v>Fabricación</v>
          </cell>
          <cell r="C142">
            <v>28</v>
          </cell>
          <cell r="D142" t="str">
            <v>Economía circular</v>
          </cell>
          <cell r="E142">
            <v>2801</v>
          </cell>
          <cell r="F142" t="str">
            <v>Reparación, remodelación y refabricación</v>
          </cell>
          <cell r="G142">
            <v>280101</v>
          </cell>
          <cell r="H142" t="str">
            <v xml:space="preserve">A.8.29. Reparación. reacondicionamiento y remanufactura </v>
          </cell>
        </row>
        <row r="143">
          <cell r="B143" t="str">
            <v>Fabricación</v>
          </cell>
          <cell r="C143">
            <v>28</v>
          </cell>
          <cell r="D143" t="str">
            <v>Economía circular</v>
          </cell>
          <cell r="E143">
            <v>2801</v>
          </cell>
          <cell r="F143" t="str">
            <v>Venta de piezas de reposición</v>
          </cell>
          <cell r="G143">
            <v>280102</v>
          </cell>
          <cell r="H143" t="str">
            <v xml:space="preserve">A.8.30. Venta de repuestos </v>
          </cell>
        </row>
        <row r="144">
          <cell r="B144" t="str">
            <v>Fabricación</v>
          </cell>
          <cell r="C144">
            <v>28</v>
          </cell>
          <cell r="D144" t="str">
            <v>Economía circular</v>
          </cell>
          <cell r="E144">
            <v>2801</v>
          </cell>
          <cell r="F144" t="str">
            <v xml:space="preserve">Reutilización de productos y componentes al final de su vida útil </v>
          </cell>
          <cell r="G144">
            <v>280103</v>
          </cell>
          <cell r="H144" t="str">
            <v xml:space="preserve">A.8.31. Preparación para la reutilización de productos al final de su vida útil y componentes del producto </v>
          </cell>
        </row>
        <row r="145">
          <cell r="B145" t="str">
            <v>Fabricación</v>
          </cell>
          <cell r="C145">
            <v>28</v>
          </cell>
          <cell r="D145" t="str">
            <v>Economía circular</v>
          </cell>
          <cell r="E145">
            <v>2801</v>
          </cell>
          <cell r="F145" t="str">
            <v>Venta de bienes de segunda mano</v>
          </cell>
          <cell r="G145">
            <v>280104</v>
          </cell>
          <cell r="H145" t="str">
            <v xml:space="preserve">A.8.32. Venta de artículos de segunda mano </v>
          </cell>
        </row>
        <row r="146">
          <cell r="B146" t="str">
            <v>Fabricación</v>
          </cell>
          <cell r="C146">
            <v>28</v>
          </cell>
          <cell r="D146" t="str">
            <v>Economía circular</v>
          </cell>
          <cell r="E146">
            <v>2801</v>
          </cell>
          <cell r="F146" t="str">
            <v xml:space="preserve">Uso y disfrute y otros modelos de uso circular </v>
          </cell>
          <cell r="G146">
            <v>280105</v>
          </cell>
          <cell r="H146" t="str">
            <v xml:space="preserve">A.8.33. Producto como servicio y otros modelos circulares de servicio orientados al uso y a los resultados </v>
          </cell>
        </row>
        <row r="147">
          <cell r="B147" t="str">
            <v>Fabricación</v>
          </cell>
          <cell r="C147">
            <v>28</v>
          </cell>
          <cell r="D147" t="str">
            <v>Economía circular</v>
          </cell>
          <cell r="E147">
            <v>2801</v>
          </cell>
          <cell r="F147" t="str">
            <v>Market-place de bienes de segunda mano</v>
          </cell>
          <cell r="G147">
            <v>280106</v>
          </cell>
          <cell r="H147" t="str">
            <v xml:space="preserve">A.8.34. Mercado para el comercio de bienes de segunda mano para su reutilización </v>
          </cell>
        </row>
        <row r="148">
          <cell r="B148" t="str">
            <v>Fabricación</v>
          </cell>
          <cell r="C148">
            <v>28</v>
          </cell>
          <cell r="D148" t="str">
            <v>Combustibles y químicos</v>
          </cell>
          <cell r="E148">
            <v>2807</v>
          </cell>
          <cell r="F148" t="str">
            <v xml:space="preserve">Fabricación de carbonato de sodio </v>
          </cell>
          <cell r="G148">
            <v>280701</v>
          </cell>
          <cell r="H148" t="str">
            <v xml:space="preserve">A.8.12. Fabricación de cenizas de soda </v>
          </cell>
        </row>
        <row r="149">
          <cell r="B149" t="str">
            <v>Fabricación</v>
          </cell>
          <cell r="C149">
            <v>28</v>
          </cell>
          <cell r="D149" t="str">
            <v>Combustibles y químicos</v>
          </cell>
          <cell r="E149">
            <v>2807</v>
          </cell>
          <cell r="F149" t="str">
            <v>Fabricación de cloro</v>
          </cell>
          <cell r="G149">
            <v>280702</v>
          </cell>
          <cell r="H149" t="str">
            <v xml:space="preserve">A.8.15. Fabricación de cloro </v>
          </cell>
        </row>
        <row r="150">
          <cell r="B150" t="str">
            <v>Fabricación</v>
          </cell>
          <cell r="C150">
            <v>28</v>
          </cell>
          <cell r="D150" t="str">
            <v>Combustibles y químicos</v>
          </cell>
          <cell r="E150">
            <v>2807</v>
          </cell>
          <cell r="F150" t="str">
            <v>Fabricación de materiales orgánicos básicos</v>
          </cell>
          <cell r="G150">
            <v>280703</v>
          </cell>
          <cell r="H150" t="str">
            <v xml:space="preserve">A.8.13. Fabricación de materiales básicos orgánicos </v>
          </cell>
        </row>
        <row r="151">
          <cell r="B151" t="str">
            <v>Fabricación</v>
          </cell>
          <cell r="C151">
            <v>28</v>
          </cell>
          <cell r="D151" t="str">
            <v>Combustibles y químicos</v>
          </cell>
          <cell r="E151">
            <v>2807</v>
          </cell>
          <cell r="F151" t="str">
            <v>Fabricación de amoniaco</v>
          </cell>
          <cell r="G151">
            <v>280704</v>
          </cell>
          <cell r="H151" t="str">
            <v xml:space="preserve">A.8.16. Fabricación de amoníaco anhidro </v>
          </cell>
        </row>
        <row r="152">
          <cell r="B152" t="str">
            <v>Fabricación</v>
          </cell>
          <cell r="C152">
            <v>28</v>
          </cell>
          <cell r="D152" t="str">
            <v>Combustibles y químicos</v>
          </cell>
          <cell r="E152">
            <v>2807</v>
          </cell>
          <cell r="F152" t="str">
            <v>Fabricación de ácido nítrico</v>
          </cell>
          <cell r="G152">
            <v>280705</v>
          </cell>
          <cell r="H152" t="str">
            <v xml:space="preserve">A.8.14. Fabricación de ácido nítrico </v>
          </cell>
        </row>
        <row r="153">
          <cell r="B153" t="str">
            <v>Fabricación</v>
          </cell>
          <cell r="C153">
            <v>28</v>
          </cell>
          <cell r="D153" t="str">
            <v>Combustibles y químicos</v>
          </cell>
          <cell r="E153">
            <v>2807</v>
          </cell>
          <cell r="F153" t="str">
            <v xml:space="preserve">Fabricación de naftalina </v>
          </cell>
          <cell r="G153">
            <v>280706</v>
          </cell>
          <cell r="H153" t="str">
            <v xml:space="preserve">A.8.26. Fabricación de Naphtha limpio </v>
          </cell>
        </row>
        <row r="154">
          <cell r="B154" t="str">
            <v>Fabricación</v>
          </cell>
          <cell r="C154">
            <v>28</v>
          </cell>
          <cell r="D154" t="str">
            <v>Economía circular</v>
          </cell>
          <cell r="E154">
            <v>2801</v>
          </cell>
          <cell r="F154" t="str">
            <v>Equipos eléctricos y electrónicos</v>
          </cell>
          <cell r="G154">
            <v>280107</v>
          </cell>
          <cell r="H154" t="str">
            <v>A.8.35. Equipos eléctricos y electrónicos</v>
          </cell>
        </row>
        <row r="155">
          <cell r="B155" t="str">
            <v>Fabricación</v>
          </cell>
          <cell r="C155">
            <v>28</v>
          </cell>
          <cell r="D155" t="str">
            <v>Cemento, aluminio, hierro, acero y otros</v>
          </cell>
          <cell r="E155">
            <v>2806</v>
          </cell>
          <cell r="F155" t="str">
            <v>Fabricación de cemento</v>
          </cell>
          <cell r="G155">
            <v>280601</v>
          </cell>
          <cell r="H155" t="str">
            <v xml:space="preserve">A.8.8. Fabricación de cemento </v>
          </cell>
        </row>
        <row r="156">
          <cell r="B156" t="str">
            <v>Fabricación</v>
          </cell>
          <cell r="C156">
            <v>28</v>
          </cell>
          <cell r="D156" t="str">
            <v>Cemento, aluminio, hierro, acero y otros</v>
          </cell>
          <cell r="E156">
            <v>2806</v>
          </cell>
          <cell r="F156" t="str">
            <v>Fabricación de aluminio</v>
          </cell>
          <cell r="G156">
            <v>280602</v>
          </cell>
          <cell r="H156" t="str">
            <v xml:space="preserve">A.8.9. Fabricación de aluminio </v>
          </cell>
        </row>
        <row r="157">
          <cell r="B157" t="str">
            <v>Fabricación</v>
          </cell>
          <cell r="C157">
            <v>28</v>
          </cell>
          <cell r="D157" t="str">
            <v>Cemento, aluminio, hierro, acero y otros</v>
          </cell>
          <cell r="E157">
            <v>2806</v>
          </cell>
          <cell r="F157" t="str">
            <v>Fabricación de hierro y acero</v>
          </cell>
          <cell r="G157">
            <v>280603</v>
          </cell>
          <cell r="H157" t="str">
            <v xml:space="preserve">A.8.10. Fabricación de hierro y acero </v>
          </cell>
        </row>
        <row r="158">
          <cell r="B158" t="str">
            <v>Fabricación</v>
          </cell>
          <cell r="C158">
            <v>28</v>
          </cell>
          <cell r="D158" t="str">
            <v>Cemento, aluminio, hierro, acero y otros</v>
          </cell>
          <cell r="E158">
            <v>2806</v>
          </cell>
          <cell r="F158" t="str">
            <v>Fabricación de negro de carbono</v>
          </cell>
          <cell r="G158">
            <v>280604</v>
          </cell>
          <cell r="H158" t="str">
            <v xml:space="preserve">A.8.11. Fabricación de negro de carbono </v>
          </cell>
        </row>
        <row r="159">
          <cell r="B159" t="str">
            <v>Fabricación</v>
          </cell>
          <cell r="C159">
            <v>28</v>
          </cell>
          <cell r="D159" t="str">
            <v>Plásticos</v>
          </cell>
          <cell r="E159">
            <v>2808</v>
          </cell>
          <cell r="F159" t="str">
            <v>Fabricación de plásticos en forma primaria</v>
          </cell>
          <cell r="G159">
            <v>280801</v>
          </cell>
          <cell r="H159" t="str">
            <v xml:space="preserve">A.8.17. Fabricación de plásticos en forma primaria </v>
          </cell>
        </row>
        <row r="160">
          <cell r="B160" t="str">
            <v>Fabricación</v>
          </cell>
          <cell r="C160">
            <v>28</v>
          </cell>
          <cell r="D160" t="str">
            <v>Plásticos</v>
          </cell>
          <cell r="E160">
            <v>2808</v>
          </cell>
          <cell r="F160" t="str">
            <v>Fabricación de embalajes de plástico</v>
          </cell>
          <cell r="G160">
            <v>280802</v>
          </cell>
          <cell r="H160" t="str">
            <v xml:space="preserve">A.8.23. Fabricación de productos de embalaje de plástico </v>
          </cell>
        </row>
        <row r="161">
          <cell r="B161" t="str">
            <v>Fabricación</v>
          </cell>
          <cell r="C161">
            <v>28</v>
          </cell>
          <cell r="D161" t="str">
            <v>Medicina y farmacia</v>
          </cell>
          <cell r="E161">
            <v>2809</v>
          </cell>
          <cell r="F161" t="str">
            <v>Fabricación de ingredientes farmacéuticos activos (API)</v>
          </cell>
          <cell r="G161">
            <v>280901</v>
          </cell>
          <cell r="H161" t="str">
            <v xml:space="preserve">A.8.24. Fabricación de ingredientes farmacéuticos activos (API) o sustancias activas </v>
          </cell>
        </row>
        <row r="162">
          <cell r="B162" t="str">
            <v>Fabricación</v>
          </cell>
          <cell r="C162">
            <v>28</v>
          </cell>
          <cell r="D162" t="str">
            <v>Medicina y farmacia</v>
          </cell>
          <cell r="E162">
            <v>2809</v>
          </cell>
          <cell r="F162" t="str">
            <v>Fabricación de medicamentos</v>
          </cell>
          <cell r="G162">
            <v>280902</v>
          </cell>
          <cell r="H162" t="str">
            <v xml:space="preserve">A.8.25. Fabricación de medicamentos </v>
          </cell>
        </row>
        <row r="163">
          <cell r="B163" t="str">
            <v>Fabricación</v>
          </cell>
          <cell r="C163">
            <v>28</v>
          </cell>
          <cell r="D163" t="str">
            <v>A.8.5. Fabricación de Baterías</v>
          </cell>
          <cell r="E163">
            <v>2804</v>
          </cell>
          <cell r="F163" t="str">
            <v>N/A</v>
          </cell>
          <cell r="G163" t="str">
            <v>-</v>
          </cell>
          <cell r="H163" t="str">
            <v>N/A</v>
          </cell>
        </row>
        <row r="164">
          <cell r="B164" t="str">
            <v>Alojamiento</v>
          </cell>
          <cell r="C164">
            <v>29</v>
          </cell>
          <cell r="D164" t="str">
            <v xml:space="preserve">A.9.1. Hoteles, vacaciones, camping y alojamientos similares </v>
          </cell>
          <cell r="E164">
            <v>2901</v>
          </cell>
          <cell r="F164" t="str">
            <v>N/A</v>
          </cell>
          <cell r="G164" t="str">
            <v>-</v>
          </cell>
          <cell r="H164" t="str">
            <v>N/A</v>
          </cell>
        </row>
        <row r="165">
          <cell r="B165" t="str">
            <v>Información &amp; Comunicación</v>
          </cell>
          <cell r="C165">
            <v>30</v>
          </cell>
          <cell r="D165" t="str">
            <v>Soluciones basadas en datos y software</v>
          </cell>
          <cell r="E165">
            <v>3002</v>
          </cell>
          <cell r="F165" t="str">
            <v>Soluciones basadas en datos para la reducción de emisiones de GEI</v>
          </cell>
          <cell r="G165">
            <v>300201</v>
          </cell>
          <cell r="H165" t="str">
            <v xml:space="preserve">A.10.2. Soluciones basadas en datos para la reducción de emisiones de GEI </v>
          </cell>
        </row>
        <row r="166">
          <cell r="B166" t="str">
            <v>Información &amp; Comunicación</v>
          </cell>
          <cell r="C166">
            <v>30</v>
          </cell>
          <cell r="D166" t="str">
            <v>Soluciones basadas en datos y software</v>
          </cell>
          <cell r="E166">
            <v>3002</v>
          </cell>
          <cell r="F166" t="str">
            <v xml:space="preserve">Software que permite la gestión y adaptación física de los riesgos climáticos </v>
          </cell>
          <cell r="G166">
            <v>300202</v>
          </cell>
          <cell r="H166" t="str">
            <v xml:space="preserve">A.10.3. Software que permite la gestión física del riesgo climático y la adaptación </v>
          </cell>
        </row>
        <row r="167">
          <cell r="B167" t="str">
            <v>Información &amp; Comunicación</v>
          </cell>
          <cell r="C167">
            <v>30</v>
          </cell>
          <cell r="D167" t="str">
            <v>Soluciones basadas en datos y software</v>
          </cell>
          <cell r="E167">
            <v>3002</v>
          </cell>
          <cell r="F167" t="str">
            <v xml:space="preserve">Suministro de soluciones basadas en datos IT/OT para la reducción de fugas </v>
          </cell>
          <cell r="G167">
            <v>300203</v>
          </cell>
          <cell r="H167" t="str">
            <v xml:space="preserve">A.10.4. Suministro de soluciones basadas en datos IT/OT para la reducción de fugas </v>
          </cell>
        </row>
        <row r="168">
          <cell r="B168" t="str">
            <v>Información &amp; Comunicación</v>
          </cell>
          <cell r="C168">
            <v>30</v>
          </cell>
          <cell r="D168" t="str">
            <v>Soluciones basadas en datos y software</v>
          </cell>
          <cell r="E168">
            <v>3002</v>
          </cell>
          <cell r="F168" t="str">
            <v>Suministro de soluciones orientadas a datos IT/OT para otros propósitos</v>
          </cell>
          <cell r="G168">
            <v>300204</v>
          </cell>
          <cell r="H168" t="str">
            <v xml:space="preserve">A.10.5. Suministro de soluciones IT/OT basadas en datos </v>
          </cell>
        </row>
        <row r="169">
          <cell r="B169" t="str">
            <v>Información &amp; Comunicación</v>
          </cell>
          <cell r="C169">
            <v>30</v>
          </cell>
          <cell r="D169" t="str">
            <v xml:space="preserve">A.10.1. Procesamiento de datos, hospedaje y actividades relacionadas </v>
          </cell>
          <cell r="E169">
            <v>3001</v>
          </cell>
          <cell r="F169" t="str">
            <v>-</v>
          </cell>
          <cell r="G169" t="str">
            <v>-</v>
          </cell>
          <cell r="H169" t="str">
            <v xml:space="preserve">A.10.1. Procesamiento de datos, hospedaje y actividades relacionadas </v>
          </cell>
        </row>
        <row r="170">
          <cell r="B170" t="str">
            <v>Información &amp; Comunicación</v>
          </cell>
          <cell r="C170">
            <v>30</v>
          </cell>
          <cell r="D170" t="str">
            <v xml:space="preserve">A.10.6. Cerca de la investigación de mercado, el desarrollo y la innovación </v>
          </cell>
          <cell r="E170">
            <v>3003</v>
          </cell>
          <cell r="F170" t="str">
            <v>N/A</v>
          </cell>
          <cell r="G170" t="str">
            <v>-</v>
          </cell>
          <cell r="H170" t="str">
            <v>N/A</v>
          </cell>
        </row>
        <row r="171">
          <cell r="B171" t="str">
            <v>Fabricación</v>
          </cell>
          <cell r="C171">
            <v>28</v>
          </cell>
          <cell r="D171" t="str">
            <v>Captura de CO2 en el aire</v>
          </cell>
          <cell r="E171">
            <v>2810</v>
          </cell>
          <cell r="F171" t="str">
            <v>Captura directa de CO2 en el aire (Investigación, desarrollo e innovación)</v>
          </cell>
          <cell r="G171">
            <v>281001</v>
          </cell>
          <cell r="H171" t="str">
            <v>A.8.28 Captura directa de CO2 en el aire (Investigación, desarrollo e innovación)</v>
          </cell>
        </row>
        <row r="172">
          <cell r="B172" t="str">
            <v>Actividades profesionales, científicas y técnicas</v>
          </cell>
          <cell r="C172">
            <v>24</v>
          </cell>
          <cell r="D172" t="str">
            <v>A.4.1. Servicios profesionales de eficiencia energética de edificios</v>
          </cell>
          <cell r="E172">
            <v>2401</v>
          </cell>
          <cell r="F172" t="str">
            <v>N/A</v>
          </cell>
          <cell r="G172" t="str">
            <v>-</v>
          </cell>
          <cell r="H172" t="str">
            <v>N/A</v>
          </cell>
        </row>
        <row r="173">
          <cell r="B173" t="str">
            <v>Gestión del Riesgo de Desastres</v>
          </cell>
          <cell r="C173">
            <v>25</v>
          </cell>
          <cell r="D173" t="str">
            <v>A.5.1. Soluciones de prevención y protección contra inundaciones/sequías</v>
          </cell>
          <cell r="E173">
            <v>2501</v>
          </cell>
          <cell r="F173" t="str">
            <v>N/A</v>
          </cell>
          <cell r="G173" t="str">
            <v>-</v>
          </cell>
          <cell r="H173" t="str">
            <v>N/A</v>
          </cell>
        </row>
        <row r="174">
          <cell r="B174" t="str">
            <v>Gestión del Riesgo de Desastres</v>
          </cell>
          <cell r="C174">
            <v>25</v>
          </cell>
          <cell r="D174" t="str">
            <v>A.5.2. Servicios de emergencia</v>
          </cell>
          <cell r="E174">
            <v>2502</v>
          </cell>
          <cell r="F174" t="str">
            <v>N/A</v>
          </cell>
          <cell r="G174" t="str">
            <v>-</v>
          </cell>
          <cell r="H174" t="str">
            <v>N/A</v>
          </cell>
        </row>
        <row r="175">
          <cell r="B175" t="str">
            <v>Gestión del Riesgo de Desastres</v>
          </cell>
          <cell r="C175">
            <v>25</v>
          </cell>
          <cell r="D175" t="str">
            <v>A.5.3. Infraestructura de prevención y protección contra inundaciones</v>
          </cell>
          <cell r="E175">
            <v>2503</v>
          </cell>
          <cell r="F175" t="str">
            <v>N/A</v>
          </cell>
          <cell r="G175" t="str">
            <v>-</v>
          </cell>
          <cell r="H175" t="str">
            <v>N/A</v>
          </cell>
        </row>
        <row r="176">
          <cell r="B176" t="str">
            <v>Otros sectores</v>
          </cell>
          <cell r="C176">
            <v>31</v>
          </cell>
          <cell r="D176" t="str">
            <v>A.11.2. Seguro no-vida</v>
          </cell>
          <cell r="E176">
            <v>3102</v>
          </cell>
          <cell r="F176" t="str">
            <v>N/A</v>
          </cell>
          <cell r="G176" t="str">
            <v>-</v>
          </cell>
          <cell r="H176" t="str">
            <v>N/A</v>
          </cell>
        </row>
        <row r="177">
          <cell r="B177" t="str">
            <v>Otros sectores</v>
          </cell>
          <cell r="C177">
            <v>31</v>
          </cell>
          <cell r="D177" t="str">
            <v>A.11.3. Re-aseguro</v>
          </cell>
          <cell r="E177">
            <v>3103</v>
          </cell>
          <cell r="F177" t="str">
            <v>N/A</v>
          </cell>
          <cell r="G177" t="str">
            <v>-</v>
          </cell>
          <cell r="H177" t="str">
            <v>N/A</v>
          </cell>
        </row>
        <row r="178">
          <cell r="B178" t="str">
            <v>Otros sectores</v>
          </cell>
          <cell r="C178">
            <v>31</v>
          </cell>
          <cell r="D178" t="str">
            <v>A.11.1. Mercado de carbono</v>
          </cell>
          <cell r="E178">
            <v>3101</v>
          </cell>
          <cell r="F178" t="str">
            <v>N/A</v>
          </cell>
          <cell r="G178" t="str">
            <v>-</v>
          </cell>
          <cell r="H178" t="str">
            <v>N/A</v>
          </cell>
        </row>
        <row r="179">
          <cell r="B179" t="str">
            <v>Otros sectores</v>
          </cell>
          <cell r="C179">
            <v>31</v>
          </cell>
          <cell r="D179" t="str">
            <v>A.11.4. Adaptación al clima</v>
          </cell>
          <cell r="E179">
            <v>3104</v>
          </cell>
          <cell r="F179" t="str">
            <v>N/A</v>
          </cell>
          <cell r="G179" t="str">
            <v>-</v>
          </cell>
          <cell r="H179" t="str">
            <v>N/A</v>
          </cell>
        </row>
        <row r="181">
          <cell r="B181" t="str">
            <v>Educación</v>
          </cell>
          <cell r="C181" t="str">
            <v>35</v>
          </cell>
          <cell r="D181" t="str">
            <v xml:space="preserve">B.1.1. Centros públicos de servicios y activos educativos (guarderías, escuelas primarias y secundarias, universidades, inserción y reintegración de personas en el mercado laboral). </v>
          </cell>
          <cell r="E181">
            <v>3501</v>
          </cell>
          <cell r="F181" t="str">
            <v>N/A</v>
          </cell>
          <cell r="G181" t="str">
            <v>-</v>
          </cell>
          <cell r="H181" t="str">
            <v>N/A</v>
          </cell>
        </row>
        <row r="182">
          <cell r="B182" t="str">
            <v>Educación</v>
          </cell>
          <cell r="C182" t="str">
            <v>35</v>
          </cell>
          <cell r="D182" t="str">
            <v xml:space="preserve">B.1.2. Centros públicos de educación deportiva y cultural / prestación de servicios y bienes, incluyendo artes, danza, deportes, teatro, música, etc. </v>
          </cell>
          <cell r="E182">
            <v>3502</v>
          </cell>
          <cell r="F182" t="str">
            <v>N/A</v>
          </cell>
          <cell r="G182" t="str">
            <v>-</v>
          </cell>
          <cell r="H182" t="str">
            <v>N/A</v>
          </cell>
        </row>
        <row r="183">
          <cell r="B183" t="str">
            <v>Educación</v>
          </cell>
          <cell r="C183" t="str">
            <v>35</v>
          </cell>
          <cell r="D183" t="str">
            <v xml:space="preserve">B.1.3. Centros públicos para otras actividades, incluyendo: aulas, centros de aprendizaje, preparación para exámenes, habilidades lingüísticas, formación informática, innovación. </v>
          </cell>
          <cell r="E183">
            <v>3503</v>
          </cell>
          <cell r="F183" t="str">
            <v>N/A</v>
          </cell>
          <cell r="G183" t="str">
            <v>-</v>
          </cell>
          <cell r="H183" t="str">
            <v>N/A</v>
          </cell>
        </row>
        <row r="184">
          <cell r="B184" t="str">
            <v>Educación</v>
          </cell>
          <cell r="C184" t="str">
            <v>35</v>
          </cell>
          <cell r="D184" t="str">
            <v xml:space="preserve">B.1.4. Préstamos estudiantiles si los términos y condiciones ofrecen condiciones financieras o de pago preferencial al público objetivo. </v>
          </cell>
          <cell r="E184">
            <v>3504</v>
          </cell>
          <cell r="F184" t="str">
            <v>N/A</v>
          </cell>
          <cell r="G184" t="str">
            <v>-</v>
          </cell>
          <cell r="H184" t="str">
            <v>N/A</v>
          </cell>
        </row>
        <row r="185">
          <cell r="B185" t="str">
            <v>Educación</v>
          </cell>
          <cell r="C185" t="str">
            <v>35</v>
          </cell>
          <cell r="D185" t="str">
            <v xml:space="preserve">B.1.5. Préstamos para financiar el upskilling para adultos o ancianos, con condiciones financieras o de pago preferenciales para el público objetivo. </v>
          </cell>
          <cell r="E185">
            <v>3505</v>
          </cell>
          <cell r="F185" t="str">
            <v>N/A</v>
          </cell>
          <cell r="G185" t="str">
            <v>-</v>
          </cell>
          <cell r="H185" t="str">
            <v>N/A</v>
          </cell>
        </row>
        <row r="186">
          <cell r="B186" t="str">
            <v>Salud</v>
          </cell>
          <cell r="C186" t="str">
            <v>36</v>
          </cell>
          <cell r="D186" t="str">
            <v xml:space="preserve">B.2.1. Investigación y desarrollo (I+D) y fabricación de: 
- Productos farmacéuticos de tipo básico y genérico 
- Equipo médico y otros materiales. </v>
          </cell>
          <cell r="E186">
            <v>3601</v>
          </cell>
          <cell r="F186" t="str">
            <v>N/A</v>
          </cell>
          <cell r="G186" t="str">
            <v>-</v>
          </cell>
          <cell r="H186" t="str">
            <v>N/A</v>
          </cell>
        </row>
        <row r="187">
          <cell r="B187" t="str">
            <v>Salud</v>
          </cell>
          <cell r="C187" t="str">
            <v>36</v>
          </cell>
          <cell r="D187" t="str">
            <v xml:space="preserve">B.2.2. - Servicios de salud y activos en hospitales públicos 
- Centros de salud en general 
- Medicina especializada 
- Fisioterapia 
- Diagnósticos 
- Planificación familiar y terapia del habla 
- Laboratorios y hospitales de campo. </v>
          </cell>
          <cell r="E187">
            <v>3602</v>
          </cell>
          <cell r="F187" t="str">
            <v>N/A</v>
          </cell>
          <cell r="G187" t="str">
            <v>-</v>
          </cell>
          <cell r="H187" t="str">
            <v>N/A</v>
          </cell>
        </row>
        <row r="188">
          <cell r="B188" t="str">
            <v>Salud</v>
          </cell>
          <cell r="C188" t="str">
            <v>36</v>
          </cell>
          <cell r="D188" t="str">
            <v xml:space="preserve">B.2.3. - Servicios de salud pública en instalaciones especializadas de atención residencial/trabajo social para el público objetivos tales como: 
- Instalaciones especializadas de cuidado residencial. 
- Servicios de trabajo social no residenciales. </v>
          </cell>
          <cell r="E188">
            <v>3603</v>
          </cell>
          <cell r="F188" t="str">
            <v>N/A</v>
          </cell>
          <cell r="G188" t="str">
            <v>-</v>
          </cell>
          <cell r="H188" t="str">
            <v>N/A</v>
          </cell>
        </row>
        <row r="189">
          <cell r="B189" t="str">
            <v>Transporte</v>
          </cell>
          <cell r="C189" t="str">
            <v>37</v>
          </cell>
          <cell r="D189" t="str">
            <v xml:space="preserve">B.3.1. Carreteras e infraestructuras conexas para mejorar las conexiones de transporte a las zonas rurales subdesarrolladas, o donde la conectividad vial no existe o es claramente inadecuada. </v>
          </cell>
          <cell r="E189">
            <v>3701</v>
          </cell>
          <cell r="F189" t="str">
            <v>N/A</v>
          </cell>
          <cell r="G189" t="str">
            <v>-</v>
          </cell>
          <cell r="H189" t="str">
            <v>N/A</v>
          </cell>
        </row>
        <row r="190">
          <cell r="B190" t="str">
            <v>Transporte</v>
          </cell>
          <cell r="C190" t="str">
            <v>37</v>
          </cell>
          <cell r="D190" t="str">
            <v xml:space="preserve">B.3.2. Infraestructura de transporte público, incluidos los ferrocarriles subterráneos y subterráneos, para lograr el desarrollo socioeconómico en las áreas de público objetivo. </v>
          </cell>
          <cell r="E190">
            <v>3702</v>
          </cell>
          <cell r="F190" t="str">
            <v>N/A</v>
          </cell>
          <cell r="G190" t="str">
            <v>-</v>
          </cell>
          <cell r="H190" t="str">
            <v>N/A</v>
          </cell>
        </row>
        <row r="191">
          <cell r="B191" t="str">
            <v>Transporte</v>
          </cell>
          <cell r="C191" t="str">
            <v>37</v>
          </cell>
          <cell r="D191" t="str">
            <v>B.3.3. Infraestructura de transporte para ayudar a las personas con discapacidades a desplazarse más fácilmente.</v>
          </cell>
          <cell r="E191">
            <v>3703</v>
          </cell>
          <cell r="F191" t="str">
            <v>N/A</v>
          </cell>
          <cell r="G191" t="str">
            <v>-</v>
          </cell>
          <cell r="H191" t="str">
            <v>N/A</v>
          </cell>
        </row>
        <row r="192">
          <cell r="B192" t="str">
            <v>Energía</v>
          </cell>
          <cell r="C192" t="str">
            <v>38</v>
          </cell>
          <cell r="D192" t="str">
            <v xml:space="preserve">B.4.1. - Producción y distribución de energía limpia (renovable) en las áreas públicas objetivo. 
- Quedan excluidas todas las infraestructuras de transmisión y distribución dedicadas a la conexión de centrales nucleares o fósiles a la red. </v>
          </cell>
          <cell r="E192">
            <v>3801</v>
          </cell>
          <cell r="F192" t="str">
            <v>N/A</v>
          </cell>
          <cell r="G192" t="str">
            <v>-</v>
          </cell>
          <cell r="H192" t="str">
            <v>N/A</v>
          </cell>
        </row>
        <row r="193">
          <cell r="B193" t="str">
            <v>Gestión de agua y residuos</v>
          </cell>
          <cell r="C193" t="str">
            <v>39</v>
          </cell>
          <cell r="D193" t="str">
            <v xml:space="preserve">B.5.1. Infraestructuras de recogida, tratamiento y distribución de agua en las zonas públicas objetivo. </v>
          </cell>
          <cell r="E193">
            <v>3901</v>
          </cell>
          <cell r="F193" t="str">
            <v>N/A</v>
          </cell>
          <cell r="G193" t="str">
            <v>-</v>
          </cell>
          <cell r="H193" t="str">
            <v>N/A</v>
          </cell>
        </row>
        <row r="194">
          <cell r="B194" t="str">
            <v>Gestión de agua y residuos</v>
          </cell>
          <cell r="C194" t="str">
            <v>39</v>
          </cell>
          <cell r="D194" t="str">
            <v xml:space="preserve">B.5.2. Aguas residuales, aguas residuales (no derivadas de fuentes de combustibles fósiles) infraestructuras de tratamiento y recogida y apoyo a edificios y estructuras integrales en las áreas públicas objetivo. </v>
          </cell>
          <cell r="E194">
            <v>3902</v>
          </cell>
          <cell r="F194" t="str">
            <v>N/A</v>
          </cell>
          <cell r="G194" t="str">
            <v>-</v>
          </cell>
          <cell r="H194" t="str">
            <v>N/A</v>
          </cell>
        </row>
        <row r="195">
          <cell r="B195" t="str">
            <v>Gestión de agua y residuos</v>
          </cell>
          <cell r="C195" t="str">
            <v>39</v>
          </cell>
          <cell r="D195" t="str">
            <v xml:space="preserve">B.5.3. Recogida, clasificación, eliminación, tratamiento y reciclado de residuos peligrosos y no peligrosos en las zonas públicas objetivo. </v>
          </cell>
          <cell r="E195">
            <v>3903</v>
          </cell>
          <cell r="F195" t="str">
            <v>N/A</v>
          </cell>
          <cell r="G195" t="str">
            <v>-</v>
          </cell>
          <cell r="H195" t="str">
            <v>N/A</v>
          </cell>
        </row>
        <row r="196">
          <cell r="B196" t="str">
            <v xml:space="preserve">Real Estate </v>
          </cell>
          <cell r="C196" t="str">
            <v>40</v>
          </cell>
          <cell r="D196" t="str">
            <v xml:space="preserve">B.6.1. Vivienda asequible: Préstamos para vivienda (hipotecas) con fines de residencia propia. Se considera una actividad social si el préstamo que proporciona el banco tiene condiciones financieras o de pago preferenciales para que la vivienda permanezca accesible con el tiempo. </v>
          </cell>
          <cell r="E196">
            <v>4001</v>
          </cell>
          <cell r="F196" t="str">
            <v>N/A</v>
          </cell>
          <cell r="G196" t="str">
            <v>-</v>
          </cell>
          <cell r="H196" t="str">
            <v>N/A</v>
          </cell>
        </row>
        <row r="197">
          <cell r="B197" t="str">
            <v xml:space="preserve">Real Estate </v>
          </cell>
          <cell r="C197" t="str">
            <v>40</v>
          </cell>
          <cell r="D197" t="str">
            <v xml:space="preserve">B.6.2. Viviendas a precios asequibles e infraestructuras asociadas que satisfacen los requisitos socioeconómicos de las autoridades. </v>
          </cell>
          <cell r="E197">
            <v>4002</v>
          </cell>
          <cell r="F197" t="str">
            <v>N/A</v>
          </cell>
          <cell r="G197" t="str">
            <v>-</v>
          </cell>
          <cell r="H197" t="str">
            <v>N/A</v>
          </cell>
        </row>
        <row r="198">
          <cell r="B198" t="str">
            <v xml:space="preserve">Finanzas y seguros </v>
          </cell>
          <cell r="C198" t="str">
            <v>41</v>
          </cell>
          <cell r="D198" t="str">
            <v xml:space="preserve">B.7.1 Inversión para aumentar el acceso a una amplia gama de microseguros y productos y servicios bancarios transaccionales para el público objetivo. </v>
          </cell>
          <cell r="E198">
            <v>4101</v>
          </cell>
          <cell r="F198" t="str">
            <v>N/A</v>
          </cell>
          <cell r="G198" t="str">
            <v>-</v>
          </cell>
          <cell r="H198" t="str">
            <v>N/A</v>
          </cell>
        </row>
        <row r="199">
          <cell r="B199" t="str">
            <v xml:space="preserve">Finanzas y seguros </v>
          </cell>
          <cell r="C199" t="str">
            <v>41</v>
          </cell>
          <cell r="D199" t="str">
            <v xml:space="preserve">B.7.2. Financiación con condiciones financieras o de pago preferencial a entidades e individuos afectados por desastres naturales, armados, de salud o causados por personas, así como situaciones socioeconómicas graves. </v>
          </cell>
          <cell r="E199">
            <v>4102</v>
          </cell>
          <cell r="F199" t="str">
            <v>N/A</v>
          </cell>
          <cell r="G199" t="str">
            <v>-</v>
          </cell>
          <cell r="H199" t="str">
            <v>N/A</v>
          </cell>
        </row>
        <row r="200">
          <cell r="B200" t="str">
            <v>Información &amp; Comunicación</v>
          </cell>
          <cell r="C200" t="str">
            <v>42</v>
          </cell>
          <cell r="D200" t="str">
            <v xml:space="preserve">B.8.1. Infraestructura de telecomunicaciones en las áreas públicas objetivo. </v>
          </cell>
          <cell r="E200">
            <v>4201</v>
          </cell>
          <cell r="F200" t="str">
            <v>N/A</v>
          </cell>
          <cell r="G200" t="str">
            <v>-</v>
          </cell>
          <cell r="H200" t="str">
            <v>N/A</v>
          </cell>
        </row>
        <row r="201">
          <cell r="B201" t="str">
            <v>Organizaciones sin ánimo de lucro</v>
          </cell>
          <cell r="C201" t="str">
            <v>43</v>
          </cell>
          <cell r="D201" t="str">
            <v xml:space="preserve">B.9.1. Préstamos a organizaciones sin fines de lucro y/o organizaciones benéficas registradas. </v>
          </cell>
          <cell r="E201">
            <v>4301</v>
          </cell>
          <cell r="F201" t="str">
            <v>N/A</v>
          </cell>
          <cell r="G201" t="str">
            <v>-</v>
          </cell>
          <cell r="H201" t="str">
            <v>N/A</v>
          </cell>
        </row>
        <row r="202">
          <cell r="B202" t="str">
            <v>Centros de Empleo Especial</v>
          </cell>
          <cell r="C202" t="str">
            <v>44</v>
          </cell>
          <cell r="D202" t="str">
            <v>B.10.1. Empresas cuyo objetivo principal es proporcionar a los trabajadores con discapacidad un trabajo productivo y remunerado, adecuado a sus características personales, y facilitar su integración en el mercado laboral.</v>
          </cell>
          <cell r="E202">
            <v>4401</v>
          </cell>
          <cell r="F202" t="str">
            <v>N/A</v>
          </cell>
          <cell r="G202" t="str">
            <v>-</v>
          </cell>
          <cell r="H202" t="str">
            <v>N/A</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Match SFICS vs EU Taxo_"/>
      <sheetName val="Match SFICS vs EU Taxo"/>
      <sheetName val="Mitigation"/>
      <sheetName val="Adaptation"/>
      <sheetName val="Water"/>
      <sheetName val="Circ. Economy"/>
      <sheetName val="Pollution"/>
      <sheetName val="Biodiversity"/>
      <sheetName val="Matriz EU Taxo"/>
      <sheetName val="Dismatch Activities"/>
      <sheetName val="Match SFICS vs UoP"/>
      <sheetName val="Hoja2"/>
    </sheetNames>
    <sheetDataSet>
      <sheetData sheetId="0" refreshError="1"/>
      <sheetData sheetId="1" refreshError="1"/>
      <sheetData sheetId="2" refreshError="1">
        <row r="1">
          <cell r="B1" t="str">
            <v>Mitigación al cambio climático</v>
          </cell>
          <cell r="C1"/>
          <cell r="D1" t="str">
            <v>Adaptación</v>
          </cell>
        </row>
        <row r="2">
          <cell r="B2" t="str">
            <v>Afforestation</v>
          </cell>
          <cell r="C2">
            <v>1</v>
          </cell>
          <cell r="D2">
            <v>1</v>
          </cell>
        </row>
        <row r="3">
          <cell r="B3" t="str">
            <v>Rehabilitation and restoration of forests, including reforestation and natural forest regeneration after an extreme event</v>
          </cell>
          <cell r="C3">
            <v>1</v>
          </cell>
          <cell r="D3">
            <v>1</v>
          </cell>
        </row>
        <row r="4">
          <cell r="B4" t="str">
            <v>Forest management</v>
          </cell>
          <cell r="C4">
            <v>1</v>
          </cell>
          <cell r="D4">
            <v>1</v>
          </cell>
        </row>
        <row r="5">
          <cell r="B5" t="str">
            <v>Conservation forestry</v>
          </cell>
          <cell r="C5">
            <v>1</v>
          </cell>
          <cell r="D5">
            <v>1</v>
          </cell>
        </row>
        <row r="6">
          <cell r="B6" t="str">
            <v>Restoration of wetlands</v>
          </cell>
          <cell r="C6">
            <v>1</v>
          </cell>
          <cell r="D6">
            <v>1</v>
          </cell>
        </row>
        <row r="7">
          <cell r="B7" t="str">
            <v>Manufacture of renewable energy technologies</v>
          </cell>
          <cell r="C7">
            <v>1</v>
          </cell>
          <cell r="D7">
            <v>1</v>
          </cell>
        </row>
        <row r="8">
          <cell r="B8" t="str">
            <v>Manufacture of equipment for the production and use of hydrogen</v>
          </cell>
          <cell r="C8">
            <v>1</v>
          </cell>
          <cell r="D8">
            <v>1</v>
          </cell>
        </row>
        <row r="9">
          <cell r="B9" t="str">
            <v>Manufacture of low carbon technologies for transport</v>
          </cell>
          <cell r="C9">
            <v>1</v>
          </cell>
          <cell r="D9">
            <v>1</v>
          </cell>
        </row>
        <row r="10">
          <cell r="B10" t="str">
            <v>Manufacture of batteries and accumulators</v>
          </cell>
          <cell r="C10">
            <v>1</v>
          </cell>
          <cell r="D10">
            <v>0</v>
          </cell>
        </row>
        <row r="11">
          <cell r="B11" t="str">
            <v>Manufacture of energy efficiency equipment for buildings</v>
          </cell>
          <cell r="C11">
            <v>1</v>
          </cell>
          <cell r="D11">
            <v>1</v>
          </cell>
        </row>
        <row r="12">
          <cell r="B12" t="str">
            <v>Manufacture of other low carbon technologies</v>
          </cell>
          <cell r="C12">
            <v>1</v>
          </cell>
          <cell r="D12">
            <v>1</v>
          </cell>
        </row>
        <row r="13">
          <cell r="B13" t="str">
            <v>Manufacture of cement</v>
          </cell>
          <cell r="C13">
            <v>1</v>
          </cell>
          <cell r="D13">
            <v>1</v>
          </cell>
        </row>
        <row r="14">
          <cell r="B14" t="str">
            <v>Manufacture of aluminium</v>
          </cell>
          <cell r="C14">
            <v>1</v>
          </cell>
          <cell r="D14">
            <v>1</v>
          </cell>
        </row>
        <row r="15">
          <cell r="B15" t="str">
            <v>Manufacture of iron and steel</v>
          </cell>
          <cell r="C15">
            <v>1</v>
          </cell>
          <cell r="D15">
            <v>1</v>
          </cell>
        </row>
        <row r="16">
          <cell r="B16" t="str">
            <v>Manufacture of hydrogen</v>
          </cell>
          <cell r="C16">
            <v>1</v>
          </cell>
          <cell r="D16">
            <v>1</v>
          </cell>
        </row>
        <row r="17">
          <cell r="B17" t="str">
            <v>Manufacture of carbon black</v>
          </cell>
          <cell r="C17">
            <v>1</v>
          </cell>
          <cell r="D17">
            <v>1</v>
          </cell>
        </row>
        <row r="18">
          <cell r="B18" t="str">
            <v>Manufacture of soda ash</v>
          </cell>
          <cell r="C18">
            <v>1</v>
          </cell>
          <cell r="D18">
            <v>1</v>
          </cell>
        </row>
        <row r="19">
          <cell r="B19" t="str">
            <v>Manufacture of chlorine</v>
          </cell>
          <cell r="C19">
            <v>1</v>
          </cell>
          <cell r="D19">
            <v>1</v>
          </cell>
        </row>
        <row r="20">
          <cell r="B20" t="str">
            <v>Manufacture of organic basic chemicals</v>
          </cell>
          <cell r="C20">
            <v>1</v>
          </cell>
          <cell r="D20">
            <v>1</v>
          </cell>
        </row>
        <row r="21">
          <cell r="B21" t="str">
            <v>Manufacture of anhydrous ammonia</v>
          </cell>
          <cell r="C21">
            <v>1</v>
          </cell>
          <cell r="D21">
            <v>1</v>
          </cell>
        </row>
        <row r="22">
          <cell r="B22" t="str">
            <v>Manufacture of nitric acid</v>
          </cell>
          <cell r="C22">
            <v>1</v>
          </cell>
          <cell r="D22">
            <v>1</v>
          </cell>
        </row>
        <row r="23">
          <cell r="B23" t="str">
            <v>Manufacture of plastics in primary form</v>
          </cell>
          <cell r="C23">
            <v>1</v>
          </cell>
          <cell r="D23">
            <v>1</v>
          </cell>
        </row>
        <row r="24">
          <cell r="B24" t="str">
            <v>Manufacture of automotive and mobility components</v>
          </cell>
          <cell r="C24">
            <v>1</v>
          </cell>
          <cell r="D24">
            <v>0</v>
          </cell>
        </row>
        <row r="25">
          <cell r="B25" t="str">
            <v>Manufacture of rail rolling stock constituents</v>
          </cell>
          <cell r="C25">
            <v>1</v>
          </cell>
          <cell r="D25">
            <v>0</v>
          </cell>
        </row>
        <row r="26">
          <cell r="B26" t="str">
            <v>Manufacture, installation, and servicing of high, medium and low voltage electrical equipment for electrical transmission and distribution that result in or enable a substantial contribution to climate change mitigation</v>
          </cell>
          <cell r="C26">
            <v>1</v>
          </cell>
          <cell r="D26">
            <v>0</v>
          </cell>
        </row>
        <row r="27">
          <cell r="B27" t="str">
            <v>Manufacturing of aircraft</v>
          </cell>
          <cell r="C27">
            <v>1</v>
          </cell>
          <cell r="D27">
            <v>0</v>
          </cell>
        </row>
        <row r="28">
          <cell r="B28" t="str">
            <v>Electricity generation using solar photovoltaic technology</v>
          </cell>
          <cell r="C28">
            <v>1</v>
          </cell>
          <cell r="D28">
            <v>0</v>
          </cell>
        </row>
        <row r="29">
          <cell r="B29" t="str">
            <v>Electricity generation using concentrated solar power (CSP) technology</v>
          </cell>
          <cell r="C29">
            <v>1</v>
          </cell>
          <cell r="D29">
            <v>0</v>
          </cell>
        </row>
        <row r="30">
          <cell r="B30" t="str">
            <v>Electricity generation from wind power</v>
          </cell>
          <cell r="C30">
            <v>1</v>
          </cell>
          <cell r="D30">
            <v>0</v>
          </cell>
        </row>
        <row r="31">
          <cell r="B31" t="str">
            <v>Electricity generation from ocean energy technologies</v>
          </cell>
          <cell r="C31">
            <v>1</v>
          </cell>
          <cell r="D31">
            <v>0</v>
          </cell>
        </row>
        <row r="32">
          <cell r="B32" t="str">
            <v>Electricity generation from hydropower</v>
          </cell>
          <cell r="C32">
            <v>1</v>
          </cell>
          <cell r="D32">
            <v>0</v>
          </cell>
        </row>
        <row r="33">
          <cell r="B33" t="str">
            <v>Electricity generation from geothermal energy</v>
          </cell>
          <cell r="C33">
            <v>1</v>
          </cell>
          <cell r="D33">
            <v>0</v>
          </cell>
        </row>
        <row r="34">
          <cell r="B34" t="str">
            <v>Electricity generation from renewable non-fossil gaseous and liquid fuels</v>
          </cell>
          <cell r="C34">
            <v>1</v>
          </cell>
          <cell r="D34">
            <v>0</v>
          </cell>
        </row>
        <row r="35">
          <cell r="B35" t="str">
            <v>Electricity generation from bioenergy</v>
          </cell>
          <cell r="C35">
            <v>1</v>
          </cell>
          <cell r="D35">
            <v>0</v>
          </cell>
        </row>
        <row r="36">
          <cell r="B36" t="str">
            <v>Transmission and distribution of electricity</v>
          </cell>
          <cell r="C36">
            <v>1</v>
          </cell>
          <cell r="D36">
            <v>0</v>
          </cell>
        </row>
        <row r="37">
          <cell r="B37" t="str">
            <v>Storage of electricity</v>
          </cell>
          <cell r="C37">
            <v>1</v>
          </cell>
          <cell r="D37">
            <v>0</v>
          </cell>
        </row>
        <row r="38">
          <cell r="B38" t="str">
            <v>Storage of thermal energy</v>
          </cell>
          <cell r="C38">
            <v>1</v>
          </cell>
          <cell r="D38">
            <v>0</v>
          </cell>
        </row>
        <row r="39">
          <cell r="B39" t="str">
            <v>Storage of hydrogen</v>
          </cell>
          <cell r="C39">
            <v>1</v>
          </cell>
          <cell r="D39">
            <v>0</v>
          </cell>
        </row>
        <row r="40">
          <cell r="B40" t="str">
            <v>Manufacture of biogas and biofuels for use in transport and of bioliquids</v>
          </cell>
          <cell r="C40">
            <v>1</v>
          </cell>
          <cell r="D40">
            <v>0</v>
          </cell>
        </row>
        <row r="41">
          <cell r="B41" t="str">
            <v>Transmission and distribution networks for renewable and low-carbon gases</v>
          </cell>
          <cell r="C41">
            <v>1</v>
          </cell>
          <cell r="D41">
            <v>0</v>
          </cell>
        </row>
        <row r="42">
          <cell r="B42" t="str">
            <v>District heating/cooling distribution</v>
          </cell>
          <cell r="C42">
            <v>1</v>
          </cell>
          <cell r="D42">
            <v>0</v>
          </cell>
        </row>
        <row r="43">
          <cell r="B43" t="str">
            <v>Installation and operation of electric heat pumps</v>
          </cell>
          <cell r="C43">
            <v>1</v>
          </cell>
          <cell r="D43">
            <v>0</v>
          </cell>
        </row>
        <row r="44">
          <cell r="B44" t="str">
            <v>Cogeneration of heat/cool and power from solar energy</v>
          </cell>
          <cell r="C44">
            <v>1</v>
          </cell>
          <cell r="D44">
            <v>0</v>
          </cell>
        </row>
        <row r="45">
          <cell r="B45" t="str">
            <v>Cogeneration of heat/cool and power from geothermal energy</v>
          </cell>
          <cell r="C45">
            <v>1</v>
          </cell>
          <cell r="D45">
            <v>0</v>
          </cell>
        </row>
        <row r="46">
          <cell r="B46" t="str">
            <v>Cogeneration of heat/cool and power from renewable non-fossil gaseous and liquid fuels</v>
          </cell>
          <cell r="C46">
            <v>1</v>
          </cell>
          <cell r="D46">
            <v>0</v>
          </cell>
        </row>
        <row r="47">
          <cell r="B47" t="str">
            <v>Cogeneration of heat/cool and power from bioenergy</v>
          </cell>
          <cell r="C47">
            <v>1</v>
          </cell>
          <cell r="D47">
            <v>0</v>
          </cell>
        </row>
        <row r="48">
          <cell r="B48" t="str">
            <v>Production of heat/cool from solar thermal heating</v>
          </cell>
          <cell r="C48">
            <v>1</v>
          </cell>
          <cell r="D48">
            <v>0</v>
          </cell>
        </row>
        <row r="49">
          <cell r="B49" t="str">
            <v>Production of heat/cool from geothermal energy</v>
          </cell>
          <cell r="C49">
            <v>1</v>
          </cell>
          <cell r="D49">
            <v>0</v>
          </cell>
        </row>
        <row r="50">
          <cell r="B50" t="str">
            <v>Production of heat/cool from renewable non-fossil gaseous and liquid fuels</v>
          </cell>
          <cell r="C50">
            <v>1</v>
          </cell>
          <cell r="D50">
            <v>0</v>
          </cell>
        </row>
        <row r="51">
          <cell r="B51" t="str">
            <v>Production of heat/cool from bioenergy</v>
          </cell>
          <cell r="C51">
            <v>1</v>
          </cell>
          <cell r="D51">
            <v>0</v>
          </cell>
        </row>
        <row r="52">
          <cell r="B52" t="str">
            <v>Production of heat/cool using waste/heat</v>
          </cell>
          <cell r="C52">
            <v>1</v>
          </cell>
          <cell r="D52">
            <v>0</v>
          </cell>
        </row>
        <row r="53">
          <cell r="B53" t="str">
            <v>Pre-commercial stages of advanced technologies to produce energy from nuclear processes with minimal waste from the fuel cycle</v>
          </cell>
          <cell r="C53">
            <v>1</v>
          </cell>
          <cell r="D53">
            <v>0</v>
          </cell>
        </row>
        <row r="54">
          <cell r="B54" t="str">
            <v>Construction and safe operation of new nuclear power plants for the generation of electricity and/or heat, including for hydrogen production using best available technologies</v>
          </cell>
          <cell r="C54">
            <v>1</v>
          </cell>
          <cell r="D54">
            <v>0</v>
          </cell>
        </row>
        <row r="55">
          <cell r="B55" t="str">
            <v>Electricity generation from nuclear energy in existing installations</v>
          </cell>
          <cell r="C55">
            <v>1</v>
          </cell>
          <cell r="D55">
            <v>0</v>
          </cell>
        </row>
        <row r="56">
          <cell r="B56" t="str">
            <v>Electricity generation from fossil gaseous fuels</v>
          </cell>
          <cell r="C56">
            <v>1</v>
          </cell>
          <cell r="D56">
            <v>0</v>
          </cell>
        </row>
        <row r="57">
          <cell r="B57" t="str">
            <v>High-efficiency co-generation of heat/cool and power from fossil gaseous fuels</v>
          </cell>
          <cell r="C57">
            <v>1</v>
          </cell>
          <cell r="D57">
            <v>0</v>
          </cell>
        </row>
        <row r="58">
          <cell r="B58" t="str">
            <v>Production of heat/cool from fossil gaseous fuels in an efficient district heating and cooling system</v>
          </cell>
          <cell r="C58">
            <v>1</v>
          </cell>
          <cell r="D58">
            <v>0</v>
          </cell>
        </row>
        <row r="59">
          <cell r="B59" t="str">
            <v>Construction, extension and operation of water collection, treatment and supply systems</v>
          </cell>
          <cell r="C59" t="str">
            <v>Construction, extension and operation of water collection, treatment and supply systems</v>
          </cell>
          <cell r="D59">
            <v>0</v>
          </cell>
        </row>
        <row r="60">
          <cell r="B60" t="str">
            <v>Renewal of water collection, treatment and supply systems</v>
          </cell>
          <cell r="C60">
            <v>1</v>
          </cell>
          <cell r="D60">
            <v>0</v>
          </cell>
        </row>
        <row r="61">
          <cell r="B61" t="str">
            <v>Construction, extension and operation of waste water collection and treatment</v>
          </cell>
          <cell r="C61">
            <v>1</v>
          </cell>
          <cell r="D61">
            <v>0</v>
          </cell>
        </row>
        <row r="62">
          <cell r="B62" t="str">
            <v>Renewal of waste water collection and treatment</v>
          </cell>
          <cell r="C62">
            <v>1</v>
          </cell>
          <cell r="D62">
            <v>0</v>
          </cell>
        </row>
        <row r="63">
          <cell r="B63" t="str">
            <v>Collection and transport of non-hazardous waste in source segregated fractions</v>
          </cell>
          <cell r="C63">
            <v>1</v>
          </cell>
          <cell r="D63">
            <v>0</v>
          </cell>
        </row>
        <row r="64">
          <cell r="B64" t="str">
            <v>Anaerobic digestion of sewage sludge</v>
          </cell>
          <cell r="C64">
            <v>1</v>
          </cell>
          <cell r="D64">
            <v>0</v>
          </cell>
        </row>
        <row r="65">
          <cell r="B65" t="str">
            <v>Anaerobic digestion of bio-waste</v>
          </cell>
          <cell r="C65">
            <v>1</v>
          </cell>
          <cell r="D65">
            <v>0</v>
          </cell>
        </row>
        <row r="66">
          <cell r="B66" t="str">
            <v>Composting of bio-waste</v>
          </cell>
          <cell r="C66">
            <v>1</v>
          </cell>
          <cell r="D66">
            <v>0</v>
          </cell>
        </row>
        <row r="67">
          <cell r="B67" t="str">
            <v>Material recovery from non-hazardous waste</v>
          </cell>
          <cell r="C67">
            <v>1</v>
          </cell>
          <cell r="D67">
            <v>0</v>
          </cell>
        </row>
        <row r="68">
          <cell r="B68" t="str">
            <v>Landfill gas capture and utilisation</v>
          </cell>
          <cell r="C68">
            <v>1</v>
          </cell>
          <cell r="D68">
            <v>0</v>
          </cell>
        </row>
        <row r="69">
          <cell r="B69" t="str">
            <v>Transport of CO2</v>
          </cell>
          <cell r="C69">
            <v>1</v>
          </cell>
          <cell r="D69">
            <v>0</v>
          </cell>
        </row>
        <row r="70">
          <cell r="B70" t="str">
            <v>Underground permanent geological storage of CO2</v>
          </cell>
          <cell r="C70">
            <v>1</v>
          </cell>
          <cell r="D70">
            <v>0</v>
          </cell>
        </row>
        <row r="71">
          <cell r="B71" t="str">
            <v>Passenger interurban rail transport</v>
          </cell>
          <cell r="C71">
            <v>1</v>
          </cell>
          <cell r="D71">
            <v>0</v>
          </cell>
        </row>
        <row r="72">
          <cell r="B72" t="str">
            <v>Freight rail transport</v>
          </cell>
          <cell r="C72">
            <v>1</v>
          </cell>
          <cell r="D72">
            <v>0</v>
          </cell>
        </row>
        <row r="73">
          <cell r="B73" t="str">
            <v>Urban and suburban transport, road passenger transport</v>
          </cell>
          <cell r="C73">
            <v>1</v>
          </cell>
          <cell r="D73">
            <v>0</v>
          </cell>
        </row>
        <row r="74">
          <cell r="B74" t="str">
            <v>Operation of personal mobility devices, cycle logistics</v>
          </cell>
          <cell r="C74">
            <v>1</v>
          </cell>
          <cell r="D74">
            <v>0</v>
          </cell>
        </row>
        <row r="75">
          <cell r="B75" t="str">
            <v>Manufacture of batteries and accumulators</v>
          </cell>
          <cell r="C75">
            <v>1</v>
          </cell>
          <cell r="D75">
            <v>0</v>
          </cell>
        </row>
        <row r="76">
          <cell r="B76" t="str">
            <v>Freight transport services by road</v>
          </cell>
          <cell r="C76">
            <v>1</v>
          </cell>
          <cell r="D76">
            <v>0</v>
          </cell>
        </row>
        <row r="77">
          <cell r="B77" t="str">
            <v>Inland passenger water transport</v>
          </cell>
          <cell r="C77">
            <v>1</v>
          </cell>
          <cell r="D77">
            <v>0</v>
          </cell>
        </row>
        <row r="78">
          <cell r="B78" t="str">
            <v>Inland freight water transport</v>
          </cell>
          <cell r="C78">
            <v>1</v>
          </cell>
          <cell r="D78">
            <v>0</v>
          </cell>
        </row>
        <row r="79">
          <cell r="B79" t="str">
            <v>Retrofitting of inland water passenger and freight transport</v>
          </cell>
          <cell r="C79">
            <v>1</v>
          </cell>
          <cell r="D79">
            <v>0</v>
          </cell>
        </row>
        <row r="80">
          <cell r="B80" t="str">
            <v>Sea and coastal freight water transport, vessels for port operations and auxiliary activities</v>
          </cell>
          <cell r="C80">
            <v>1</v>
          </cell>
          <cell r="D80">
            <v>0</v>
          </cell>
        </row>
        <row r="81">
          <cell r="B81" t="str">
            <v>Sea and coastal passenger water transport</v>
          </cell>
          <cell r="C81">
            <v>1</v>
          </cell>
          <cell r="D81">
            <v>0</v>
          </cell>
        </row>
        <row r="82">
          <cell r="B82" t="str">
            <v>Retrofitting of sea and coastal freight and passenger water transport</v>
          </cell>
          <cell r="C82">
            <v>1</v>
          </cell>
          <cell r="D82">
            <v>0</v>
          </cell>
        </row>
        <row r="83">
          <cell r="B83" t="str">
            <v>Infrastructure for personal mobility, cycle logistics</v>
          </cell>
          <cell r="C83">
            <v>1</v>
          </cell>
          <cell r="D83">
            <v>0</v>
          </cell>
        </row>
        <row r="84">
          <cell r="B84" t="str">
            <v>Infrastructure for rail transport</v>
          </cell>
          <cell r="C84">
            <v>1</v>
          </cell>
          <cell r="D84">
            <v>0</v>
          </cell>
        </row>
        <row r="85">
          <cell r="B85" t="str">
            <v>Infrastructure enabling low-carbon road transport and public transport</v>
          </cell>
          <cell r="C85">
            <v>1</v>
          </cell>
          <cell r="D85">
            <v>0</v>
          </cell>
        </row>
        <row r="86">
          <cell r="B86" t="str">
            <v>Infrastructure enabling low carbon water transport</v>
          </cell>
          <cell r="C86">
            <v>1</v>
          </cell>
          <cell r="D86">
            <v>0</v>
          </cell>
        </row>
        <row r="87">
          <cell r="B87" t="str">
            <v>Low carbon airport infrastructure</v>
          </cell>
          <cell r="C87">
            <v>1</v>
          </cell>
          <cell r="D87">
            <v>0</v>
          </cell>
        </row>
        <row r="88">
          <cell r="B88" t="str">
            <v>Leasing of aircraft</v>
          </cell>
          <cell r="C88">
            <v>1</v>
          </cell>
          <cell r="D88">
            <v>0</v>
          </cell>
        </row>
        <row r="89">
          <cell r="B89" t="str">
            <v>Passenger and freight air transport</v>
          </cell>
          <cell r="C89">
            <v>1</v>
          </cell>
          <cell r="D89">
            <v>0</v>
          </cell>
        </row>
        <row r="90">
          <cell r="B90" t="str">
            <v>Air transport ground handling operations</v>
          </cell>
          <cell r="C90">
            <v>1</v>
          </cell>
          <cell r="D90">
            <v>0</v>
          </cell>
        </row>
        <row r="91">
          <cell r="B91" t="str">
            <v>Construction of new buildings</v>
          </cell>
          <cell r="C91">
            <v>1</v>
          </cell>
          <cell r="D91">
            <v>0</v>
          </cell>
        </row>
        <row r="92">
          <cell r="B92" t="str">
            <v>Renovation of existing buildings</v>
          </cell>
          <cell r="C92">
            <v>1</v>
          </cell>
          <cell r="D92">
            <v>0</v>
          </cell>
        </row>
        <row r="93">
          <cell r="B93" t="str">
            <v>Installation, maintenance and repair of energy efficiency equipment</v>
          </cell>
          <cell r="C93">
            <v>1</v>
          </cell>
          <cell r="D93">
            <v>0</v>
          </cell>
        </row>
        <row r="94">
          <cell r="B94" t="str">
            <v>Installation, maintenance and repair of charging stations for electric vehicles in buildings (and parking spaces attached to buildings)</v>
          </cell>
          <cell r="C94">
            <v>1</v>
          </cell>
          <cell r="D94">
            <v>0</v>
          </cell>
        </row>
        <row r="95">
          <cell r="B95" t="str">
            <v>Installation, maintenance and repair of instruments and devices for measuring, regulation and controlling energy performance of buildings</v>
          </cell>
          <cell r="C95">
            <v>1</v>
          </cell>
          <cell r="D95">
            <v>0</v>
          </cell>
        </row>
        <row r="96">
          <cell r="B96" t="str">
            <v>Installation, maintenance and repair of renewable energy technologies</v>
          </cell>
          <cell r="C96">
            <v>1</v>
          </cell>
          <cell r="D96">
            <v>0</v>
          </cell>
        </row>
        <row r="97">
          <cell r="B97" t="str">
            <v>Acquisition and ownership of buildings</v>
          </cell>
          <cell r="C97">
            <v>1</v>
          </cell>
          <cell r="D97">
            <v>0</v>
          </cell>
        </row>
        <row r="98">
          <cell r="B98" t="str">
            <v>Data processing, hosting and related activities</v>
          </cell>
          <cell r="C98">
            <v>1</v>
          </cell>
          <cell r="D98">
            <v>0</v>
          </cell>
        </row>
        <row r="99">
          <cell r="B99" t="str">
            <v>Data-driven solutions for GHG emissions reductions</v>
          </cell>
          <cell r="C99">
            <v>1</v>
          </cell>
          <cell r="D99">
            <v>0</v>
          </cell>
        </row>
        <row r="100">
          <cell r="B100" t="str">
            <v>Close to market research, development and innovation</v>
          </cell>
          <cell r="C100">
            <v>1</v>
          </cell>
          <cell r="D100">
            <v>0</v>
          </cell>
        </row>
        <row r="101">
          <cell r="B101" t="str">
            <v>Research, development and innovation for direct air capture of CO2</v>
          </cell>
          <cell r="C101">
            <v>1</v>
          </cell>
          <cell r="D101">
            <v>0</v>
          </cell>
        </row>
        <row r="102">
          <cell r="B102" t="str">
            <v>Professional services related to energy performance of buildings</v>
          </cell>
          <cell r="C102">
            <v>1</v>
          </cell>
          <cell r="D102">
            <v>0</v>
          </cell>
        </row>
      </sheetData>
      <sheetData sheetId="3" refreshError="1">
        <row r="1">
          <cell r="B1" t="str">
            <v>Adaptación al cambio climático</v>
          </cell>
          <cell r="D1" t="str">
            <v>Mitigación</v>
          </cell>
        </row>
        <row r="2">
          <cell r="B2" t="str">
            <v>Afforestation</v>
          </cell>
          <cell r="C2">
            <v>1</v>
          </cell>
          <cell r="D2">
            <v>1</v>
          </cell>
        </row>
        <row r="3">
          <cell r="B3" t="str">
            <v>Rehabilitation and restoration of forests, including reforestation and natural forest regeneration after an extreme event</v>
          </cell>
          <cell r="C3">
            <v>1</v>
          </cell>
          <cell r="D3">
            <v>1</v>
          </cell>
        </row>
        <row r="4">
          <cell r="B4" t="str">
            <v>Forest management</v>
          </cell>
          <cell r="C4">
            <v>1</v>
          </cell>
          <cell r="D4">
            <v>1</v>
          </cell>
        </row>
        <row r="5">
          <cell r="B5" t="str">
            <v>Conservation forestry</v>
          </cell>
          <cell r="C5">
            <v>1</v>
          </cell>
          <cell r="D5">
            <v>1</v>
          </cell>
        </row>
        <row r="6">
          <cell r="B6" t="str">
            <v>Restoration of wetlands</v>
          </cell>
          <cell r="C6">
            <v>1</v>
          </cell>
          <cell r="D6">
            <v>1</v>
          </cell>
        </row>
        <row r="7">
          <cell r="B7" t="str">
            <v>Manufacture of renewable energy technologies</v>
          </cell>
          <cell r="C7">
            <v>1</v>
          </cell>
          <cell r="D7">
            <v>1</v>
          </cell>
        </row>
        <row r="8">
          <cell r="B8" t="str">
            <v>Manufacture of equipment for the production and use of hydrogen</v>
          </cell>
          <cell r="C8">
            <v>1</v>
          </cell>
          <cell r="D8">
            <v>1</v>
          </cell>
        </row>
        <row r="9">
          <cell r="B9" t="str">
            <v>Manufacture of low carbon technologies for transport</v>
          </cell>
          <cell r="C9">
            <v>1</v>
          </cell>
          <cell r="D9">
            <v>1</v>
          </cell>
        </row>
        <row r="10">
          <cell r="B10" t="str">
            <v>Manufacture of batteries</v>
          </cell>
          <cell r="C10">
            <v>1</v>
          </cell>
          <cell r="D10">
            <v>0</v>
          </cell>
        </row>
        <row r="11">
          <cell r="B11" t="str">
            <v>Manufacture of energy efficiency equipment for buildings</v>
          </cell>
          <cell r="C11">
            <v>1</v>
          </cell>
          <cell r="D11">
            <v>1</v>
          </cell>
        </row>
        <row r="12">
          <cell r="B12" t="str">
            <v>Manufacture of other low carbon technologies</v>
          </cell>
          <cell r="C12">
            <v>1</v>
          </cell>
          <cell r="D12">
            <v>1</v>
          </cell>
        </row>
        <row r="13">
          <cell r="B13" t="str">
            <v>Manufacture of cement</v>
          </cell>
          <cell r="C13">
            <v>1</v>
          </cell>
          <cell r="D13">
            <v>1</v>
          </cell>
        </row>
        <row r="14">
          <cell r="B14" t="str">
            <v>Manufacture of aluminium</v>
          </cell>
          <cell r="C14">
            <v>1</v>
          </cell>
          <cell r="D14">
            <v>1</v>
          </cell>
        </row>
        <row r="15">
          <cell r="B15" t="str">
            <v>Manufacture of iron and steel</v>
          </cell>
          <cell r="C15">
            <v>1</v>
          </cell>
          <cell r="D15">
            <v>1</v>
          </cell>
        </row>
        <row r="16">
          <cell r="B16" t="str">
            <v>Manufacture of hydrogen</v>
          </cell>
          <cell r="C16">
            <v>1</v>
          </cell>
          <cell r="D16">
            <v>1</v>
          </cell>
        </row>
        <row r="17">
          <cell r="B17" t="str">
            <v>Manufacture of carbon black</v>
          </cell>
          <cell r="C17">
            <v>1</v>
          </cell>
          <cell r="D17">
            <v>1</v>
          </cell>
        </row>
        <row r="18">
          <cell r="B18" t="str">
            <v>Manufacture of soda ash</v>
          </cell>
          <cell r="C18">
            <v>1</v>
          </cell>
          <cell r="D18">
            <v>1</v>
          </cell>
        </row>
        <row r="19">
          <cell r="B19" t="str">
            <v>Manufacture of chlorine</v>
          </cell>
          <cell r="C19">
            <v>1</v>
          </cell>
          <cell r="D19">
            <v>1</v>
          </cell>
        </row>
        <row r="20">
          <cell r="B20" t="str">
            <v>Manufacture of organic basic chemicals</v>
          </cell>
          <cell r="C20">
            <v>1</v>
          </cell>
          <cell r="D20">
            <v>1</v>
          </cell>
        </row>
        <row r="21">
          <cell r="B21" t="str">
            <v>Manufacture of anhydrous ammonia</v>
          </cell>
          <cell r="C21">
            <v>1</v>
          </cell>
          <cell r="D21">
            <v>1</v>
          </cell>
        </row>
        <row r="22">
          <cell r="B22" t="str">
            <v>Manufacture of nitric acid</v>
          </cell>
          <cell r="C22">
            <v>1</v>
          </cell>
          <cell r="D22">
            <v>1</v>
          </cell>
        </row>
        <row r="23">
          <cell r="B23" t="str">
            <v>Manufacture of plastics in primary form</v>
          </cell>
          <cell r="C23">
            <v>1</v>
          </cell>
          <cell r="D23">
            <v>1</v>
          </cell>
        </row>
        <row r="24">
          <cell r="B24" t="str">
            <v>Electricity generation using solar photovoltaic technology</v>
          </cell>
          <cell r="C24">
            <v>1</v>
          </cell>
          <cell r="D24">
            <v>1</v>
          </cell>
        </row>
        <row r="25">
          <cell r="B25" t="str">
            <v>Electricity generation using concentrated solar power (CSP) technology</v>
          </cell>
          <cell r="C25">
            <v>1</v>
          </cell>
          <cell r="D25">
            <v>1</v>
          </cell>
        </row>
        <row r="26">
          <cell r="B26" t="str">
            <v>Electricity generation from wind power</v>
          </cell>
          <cell r="C26">
            <v>1</v>
          </cell>
          <cell r="D26">
            <v>1</v>
          </cell>
        </row>
        <row r="27">
          <cell r="B27" t="str">
            <v>Electricity generation from ocean energy technologies</v>
          </cell>
          <cell r="C27">
            <v>1</v>
          </cell>
          <cell r="D27">
            <v>1</v>
          </cell>
        </row>
        <row r="28">
          <cell r="B28" t="str">
            <v>Electricity generation from hydropower</v>
          </cell>
          <cell r="C28">
            <v>1</v>
          </cell>
          <cell r="D28">
            <v>1</v>
          </cell>
        </row>
        <row r="29">
          <cell r="B29" t="str">
            <v>Electricity generation from geothermal energy</v>
          </cell>
          <cell r="C29">
            <v>1</v>
          </cell>
          <cell r="D29">
            <v>1</v>
          </cell>
        </row>
        <row r="30">
          <cell r="B30" t="str">
            <v>Electricity generation from renewable non-fossil gaseous and liquid fuels</v>
          </cell>
          <cell r="C30">
            <v>1</v>
          </cell>
          <cell r="D30">
            <v>1</v>
          </cell>
        </row>
        <row r="31">
          <cell r="B31" t="str">
            <v>Electricity generation from bioenergy</v>
          </cell>
          <cell r="C31">
            <v>1</v>
          </cell>
          <cell r="D31">
            <v>1</v>
          </cell>
        </row>
        <row r="32">
          <cell r="B32" t="str">
            <v>Transmission and distribution of electricity</v>
          </cell>
          <cell r="C32">
            <v>1</v>
          </cell>
          <cell r="D32">
            <v>1</v>
          </cell>
        </row>
        <row r="33">
          <cell r="B33" t="str">
            <v>Storage of electricity</v>
          </cell>
          <cell r="C33">
            <v>1</v>
          </cell>
          <cell r="D33">
            <v>1</v>
          </cell>
        </row>
        <row r="34">
          <cell r="B34" t="str">
            <v>Storage of thermal energy</v>
          </cell>
          <cell r="C34">
            <v>1</v>
          </cell>
          <cell r="D34">
            <v>1</v>
          </cell>
        </row>
        <row r="35">
          <cell r="B35" t="str">
            <v>Storage of hydrogen</v>
          </cell>
          <cell r="C35">
            <v>1</v>
          </cell>
          <cell r="D35">
            <v>1</v>
          </cell>
        </row>
        <row r="36">
          <cell r="B36" t="str">
            <v>Manufacture of biogas and biofuels for use in transport and of bioliquids</v>
          </cell>
          <cell r="C36">
            <v>1</v>
          </cell>
          <cell r="D36">
            <v>1</v>
          </cell>
        </row>
        <row r="37">
          <cell r="B37" t="str">
            <v>Transmission and distribution networks for renewable and low-carbon gases</v>
          </cell>
          <cell r="C37">
            <v>1</v>
          </cell>
          <cell r="D37">
            <v>1</v>
          </cell>
        </row>
        <row r="38">
          <cell r="B38" t="str">
            <v>District heating/cooling distribution</v>
          </cell>
          <cell r="C38">
            <v>1</v>
          </cell>
          <cell r="D38">
            <v>1</v>
          </cell>
        </row>
        <row r="39">
          <cell r="B39" t="str">
            <v>Installation and operation of electric heat pumps</v>
          </cell>
          <cell r="C39">
            <v>1</v>
          </cell>
          <cell r="D39">
            <v>1</v>
          </cell>
        </row>
        <row r="40">
          <cell r="B40" t="str">
            <v>Cogeneration of heat/cool and power from solar energy</v>
          </cell>
          <cell r="C40">
            <v>1</v>
          </cell>
          <cell r="D40">
            <v>1</v>
          </cell>
        </row>
        <row r="41">
          <cell r="B41" t="str">
            <v>Cogeneration of heat/cool and power from geothermal energy</v>
          </cell>
          <cell r="C41">
            <v>1</v>
          </cell>
          <cell r="D41">
            <v>1</v>
          </cell>
        </row>
        <row r="42">
          <cell r="B42" t="str">
            <v>Cogeneration of heat/cool and power from renewable non-fossil gaseous and liquid fuels</v>
          </cell>
          <cell r="C42">
            <v>1</v>
          </cell>
          <cell r="D42">
            <v>1</v>
          </cell>
        </row>
        <row r="43">
          <cell r="B43" t="str">
            <v>Cogeneration of heat/cool and power from bioenergy</v>
          </cell>
          <cell r="C43">
            <v>1</v>
          </cell>
          <cell r="D43">
            <v>1</v>
          </cell>
        </row>
        <row r="44">
          <cell r="B44" t="str">
            <v>Production of heat/cool from solar thermal heating</v>
          </cell>
          <cell r="C44">
            <v>1</v>
          </cell>
          <cell r="D44">
            <v>1</v>
          </cell>
        </row>
        <row r="45">
          <cell r="B45" t="str">
            <v>Production of heat/cool from geothermal energy</v>
          </cell>
          <cell r="C45">
            <v>1</v>
          </cell>
          <cell r="D45">
            <v>1</v>
          </cell>
        </row>
        <row r="46">
          <cell r="B46" t="str">
            <v>Production of heat/cool from renewable non-fossil gaseous and liquid fuels</v>
          </cell>
          <cell r="C46">
            <v>1</v>
          </cell>
          <cell r="D46">
            <v>1</v>
          </cell>
        </row>
        <row r="47">
          <cell r="B47" t="str">
            <v>Production of heat/cool from bioenergy</v>
          </cell>
          <cell r="C47">
            <v>1</v>
          </cell>
          <cell r="D47">
            <v>1</v>
          </cell>
        </row>
        <row r="48">
          <cell r="B48" t="str">
            <v>Production of heat/cool using waste/heat</v>
          </cell>
          <cell r="C48">
            <v>1</v>
          </cell>
          <cell r="D48">
            <v>1</v>
          </cell>
        </row>
        <row r="49">
          <cell r="B49" t="str">
            <v>Pre-commercial stages of advanced technologies to produce energy from nuclear processes with minimal waste from the fuel cycle</v>
          </cell>
          <cell r="C49">
            <v>1</v>
          </cell>
          <cell r="D49">
            <v>1</v>
          </cell>
        </row>
        <row r="50">
          <cell r="B50" t="str">
            <v>Construction and safe operation of new nuclear power plants for the generation of electricity and/or heat, including for hydrogen production using best available technologies</v>
          </cell>
          <cell r="C50">
            <v>1</v>
          </cell>
          <cell r="D50">
            <v>1</v>
          </cell>
        </row>
        <row r="51">
          <cell r="B51" t="str">
            <v>Electricity generation from nuclear energy in existing installations</v>
          </cell>
          <cell r="C51">
            <v>1</v>
          </cell>
          <cell r="D51">
            <v>1</v>
          </cell>
        </row>
        <row r="52">
          <cell r="B52" t="str">
            <v>Electricity generation from fossil gaseous fuels</v>
          </cell>
          <cell r="C52">
            <v>1</v>
          </cell>
          <cell r="D52">
            <v>1</v>
          </cell>
        </row>
        <row r="53">
          <cell r="B53" t="str">
            <v>High-efficiency co-generation of heat/cool and power from fossil gaseous fuels</v>
          </cell>
          <cell r="C53">
            <v>1</v>
          </cell>
          <cell r="D53">
            <v>1</v>
          </cell>
        </row>
        <row r="54">
          <cell r="B54" t="str">
            <v>Production of heat/cool from fossil gaseous fuels in an efficient district heating and cooling system</v>
          </cell>
          <cell r="C54">
            <v>1</v>
          </cell>
          <cell r="D54">
            <v>1</v>
          </cell>
        </row>
        <row r="55">
          <cell r="B55" t="str">
            <v>Construction, extension and operation of water collection, treatment and supply systems</v>
          </cell>
          <cell r="C55">
            <v>1</v>
          </cell>
          <cell r="D55" t="str">
            <v>Construction, extension and operation of water collection, treatment and supply systems</v>
          </cell>
        </row>
        <row r="56">
          <cell r="B56" t="str">
            <v>Renewal of water collection, treatment and supply systems</v>
          </cell>
          <cell r="C56">
            <v>1</v>
          </cell>
          <cell r="D56">
            <v>1</v>
          </cell>
        </row>
        <row r="57">
          <cell r="B57" t="str">
            <v>Construction, extension and operation of waste water collection and treatment</v>
          </cell>
          <cell r="C57">
            <v>1</v>
          </cell>
          <cell r="D57">
            <v>1</v>
          </cell>
        </row>
        <row r="58">
          <cell r="B58" t="str">
            <v>Renewal of waste water collection and treatment</v>
          </cell>
          <cell r="C58">
            <v>1</v>
          </cell>
          <cell r="D58">
            <v>1</v>
          </cell>
        </row>
        <row r="59">
          <cell r="B59" t="str">
            <v>Collection and transport of non-hazardous waste in source segregated fractions</v>
          </cell>
          <cell r="C59">
            <v>1</v>
          </cell>
          <cell r="D59">
            <v>1</v>
          </cell>
        </row>
        <row r="60">
          <cell r="B60" t="str">
            <v>Anaerobic digestion of sewage sludge</v>
          </cell>
          <cell r="C60">
            <v>1</v>
          </cell>
          <cell r="D60">
            <v>1</v>
          </cell>
        </row>
        <row r="61">
          <cell r="B61" t="str">
            <v>Anaerobic digestion of bio-waste</v>
          </cell>
          <cell r="C61">
            <v>1</v>
          </cell>
          <cell r="D61">
            <v>1</v>
          </cell>
        </row>
        <row r="62">
          <cell r="B62" t="str">
            <v>Composting of bio-waste</v>
          </cell>
          <cell r="C62">
            <v>1</v>
          </cell>
          <cell r="D62">
            <v>1</v>
          </cell>
        </row>
        <row r="63">
          <cell r="B63" t="str">
            <v>Material recovery from non-hazardous waste</v>
          </cell>
          <cell r="C63">
            <v>1</v>
          </cell>
          <cell r="D63">
            <v>1</v>
          </cell>
        </row>
        <row r="64">
          <cell r="B64" t="str">
            <v>Landfill gas capture and utilisation</v>
          </cell>
          <cell r="C64">
            <v>1</v>
          </cell>
          <cell r="D64">
            <v>1</v>
          </cell>
        </row>
        <row r="65">
          <cell r="B65" t="str">
            <v>Transport of CO2</v>
          </cell>
          <cell r="C65">
            <v>1</v>
          </cell>
          <cell r="D65">
            <v>1</v>
          </cell>
        </row>
        <row r="66">
          <cell r="B66" t="str">
            <v>Underground permanent geological storage of CO2</v>
          </cell>
          <cell r="C66">
            <v>1</v>
          </cell>
          <cell r="D66">
            <v>1</v>
          </cell>
        </row>
        <row r="67">
          <cell r="B67" t="str">
            <v>Desalination</v>
          </cell>
          <cell r="C67">
            <v>1</v>
          </cell>
          <cell r="D67">
            <v>0</v>
          </cell>
        </row>
        <row r="68">
          <cell r="B68" t="str">
            <v>Passenger interurban rail transport</v>
          </cell>
          <cell r="C68">
            <v>1</v>
          </cell>
          <cell r="D68">
            <v>1</v>
          </cell>
        </row>
        <row r="69">
          <cell r="B69" t="str">
            <v>Freight rail transport</v>
          </cell>
          <cell r="C69">
            <v>1</v>
          </cell>
          <cell r="D69">
            <v>1</v>
          </cell>
        </row>
        <row r="70">
          <cell r="B70" t="str">
            <v>Urban and suburban transport, road passenger transport</v>
          </cell>
          <cell r="C70">
            <v>1</v>
          </cell>
          <cell r="D70">
            <v>1</v>
          </cell>
        </row>
        <row r="71">
          <cell r="B71" t="str">
            <v>Operation of personal mobility devices, cycle logistics</v>
          </cell>
          <cell r="C71">
            <v>1</v>
          </cell>
          <cell r="D71">
            <v>1</v>
          </cell>
        </row>
        <row r="72">
          <cell r="B72" t="str">
            <v>Transport by motorbikes, passenger cars and light commercial vehicles</v>
          </cell>
          <cell r="C72">
            <v>1</v>
          </cell>
          <cell r="D72">
            <v>0</v>
          </cell>
        </row>
        <row r="73">
          <cell r="B73" t="str">
            <v>Freight transport services by road</v>
          </cell>
          <cell r="C73">
            <v>1</v>
          </cell>
          <cell r="D73">
            <v>1</v>
          </cell>
        </row>
        <row r="74">
          <cell r="B74" t="str">
            <v>Inland passenger water transport</v>
          </cell>
          <cell r="C74">
            <v>1</v>
          </cell>
          <cell r="D74">
            <v>1</v>
          </cell>
        </row>
        <row r="75">
          <cell r="B75" t="str">
            <v>Inland freight water transport</v>
          </cell>
          <cell r="C75">
            <v>1</v>
          </cell>
          <cell r="D75">
            <v>1</v>
          </cell>
        </row>
        <row r="76">
          <cell r="B76" t="str">
            <v>Retrofitting of inland water passenger and freight transport</v>
          </cell>
          <cell r="C76">
            <v>1</v>
          </cell>
          <cell r="D76">
            <v>1</v>
          </cell>
        </row>
        <row r="77">
          <cell r="B77" t="str">
            <v>Sea and coastal freight water transport, vessels for port operations and auxiliary activities</v>
          </cell>
          <cell r="C77">
            <v>1</v>
          </cell>
          <cell r="D77">
            <v>1</v>
          </cell>
        </row>
        <row r="78">
          <cell r="B78" t="str">
            <v>Sea and coastal passenger water transport</v>
          </cell>
          <cell r="C78">
            <v>1</v>
          </cell>
          <cell r="D78">
            <v>1</v>
          </cell>
        </row>
        <row r="79">
          <cell r="B79" t="str">
            <v>Retrofitting of sea and coastal freight and passenger water transport</v>
          </cell>
          <cell r="C79">
            <v>1</v>
          </cell>
          <cell r="D79">
            <v>1</v>
          </cell>
        </row>
        <row r="80">
          <cell r="B80" t="str">
            <v>Infrastructure for personal mobility, cycle logistics</v>
          </cell>
          <cell r="C80">
            <v>1</v>
          </cell>
          <cell r="D80">
            <v>1</v>
          </cell>
        </row>
        <row r="81">
          <cell r="B81" t="str">
            <v>Infrastructure for rail transport</v>
          </cell>
          <cell r="C81">
            <v>1</v>
          </cell>
          <cell r="D81">
            <v>1</v>
          </cell>
        </row>
        <row r="82">
          <cell r="B82" t="str">
            <v>Infrastructure enabling road transport and public transport</v>
          </cell>
          <cell r="C82">
            <v>1</v>
          </cell>
          <cell r="D82">
            <v>0</v>
          </cell>
        </row>
        <row r="83">
          <cell r="B83" t="str">
            <v>Infrastructure for water transport</v>
          </cell>
          <cell r="C83">
            <v>1</v>
          </cell>
          <cell r="D83">
            <v>0</v>
          </cell>
        </row>
        <row r="84">
          <cell r="B84" t="str">
            <v>Airport infrastructure</v>
          </cell>
          <cell r="C84">
            <v>1</v>
          </cell>
          <cell r="D84">
            <v>0</v>
          </cell>
        </row>
        <row r="85">
          <cell r="B85" t="str">
            <v>Construction of new buildings</v>
          </cell>
          <cell r="C85">
            <v>1</v>
          </cell>
          <cell r="D85">
            <v>1</v>
          </cell>
        </row>
        <row r="86">
          <cell r="B86" t="str">
            <v>Renovation of existing buildings</v>
          </cell>
          <cell r="C86">
            <v>1</v>
          </cell>
          <cell r="D86">
            <v>1</v>
          </cell>
        </row>
        <row r="87">
          <cell r="B87" t="str">
            <v>Installation, maintenance and repair of energy efficiency equipment</v>
          </cell>
          <cell r="C87">
            <v>1</v>
          </cell>
          <cell r="D87">
            <v>1</v>
          </cell>
        </row>
        <row r="88">
          <cell r="B88" t="str">
            <v>Installation, maintenance and repair of charging stations for electric vehicles in buildings (and parking spaces attached to buildings)</v>
          </cell>
          <cell r="C88">
            <v>1</v>
          </cell>
          <cell r="D88">
            <v>1</v>
          </cell>
        </row>
        <row r="89">
          <cell r="B89" t="str">
            <v>Installation, maintenance and repair of instruments and devices for measuring, regulation and controlling energy performance of buildings</v>
          </cell>
          <cell r="C89">
            <v>1</v>
          </cell>
          <cell r="D89">
            <v>1</v>
          </cell>
        </row>
        <row r="90">
          <cell r="B90" t="str">
            <v>Installation, maintenance and repair of renewable energy technologies</v>
          </cell>
          <cell r="C90">
            <v>1</v>
          </cell>
          <cell r="D90">
            <v>1</v>
          </cell>
        </row>
        <row r="91">
          <cell r="B91" t="str">
            <v>Acquisition and ownership of buildings</v>
          </cell>
          <cell r="C91">
            <v>1</v>
          </cell>
          <cell r="D91">
            <v>1</v>
          </cell>
        </row>
        <row r="92">
          <cell r="B92" t="str">
            <v>Data processing, hosting and related activities</v>
          </cell>
          <cell r="C92">
            <v>1</v>
          </cell>
          <cell r="D92">
            <v>1</v>
          </cell>
        </row>
        <row r="93">
          <cell r="B93" t="str">
            <v>Computer programming, consultancy and related activities</v>
          </cell>
          <cell r="C93">
            <v>1</v>
          </cell>
          <cell r="D93">
            <v>0</v>
          </cell>
        </row>
        <row r="94">
          <cell r="B94" t="str">
            <v>Programming and broadcasting activities</v>
          </cell>
          <cell r="C94">
            <v>1</v>
          </cell>
          <cell r="D94">
            <v>0</v>
          </cell>
        </row>
        <row r="95">
          <cell r="B95" t="str">
            <v>Software enabling physical climate risk management and adaptation</v>
          </cell>
          <cell r="C95">
            <v>1</v>
          </cell>
          <cell r="D95">
            <v>0</v>
          </cell>
        </row>
        <row r="96">
          <cell r="B96" t="str">
            <v>Engineering activities and related technical consultancy dedicated to adaptation to climate change</v>
          </cell>
          <cell r="C96">
            <v>1</v>
          </cell>
          <cell r="D96">
            <v>0</v>
          </cell>
        </row>
        <row r="97">
          <cell r="B97" t="str">
            <v>Close to market research, development and innovation</v>
          </cell>
          <cell r="C97">
            <v>1</v>
          </cell>
          <cell r="D97">
            <v>1</v>
          </cell>
        </row>
        <row r="98">
          <cell r="B98" t="str">
            <v>Consultancy for physical climate risk management and adaptation</v>
          </cell>
          <cell r="C98">
            <v>1</v>
          </cell>
          <cell r="D98">
            <v>0</v>
          </cell>
        </row>
        <row r="99">
          <cell r="B99" t="str">
            <v>Non-life insurance: underwriting of climate-related perils</v>
          </cell>
          <cell r="C99">
            <v>1</v>
          </cell>
          <cell r="D99">
            <v>0</v>
          </cell>
        </row>
        <row r="100">
          <cell r="B100" t="str">
            <v>Reinsurance</v>
          </cell>
          <cell r="C100">
            <v>1</v>
          </cell>
          <cell r="D100">
            <v>0</v>
          </cell>
        </row>
        <row r="101">
          <cell r="B101" t="str">
            <v>Education</v>
          </cell>
          <cell r="C101">
            <v>1</v>
          </cell>
          <cell r="D101">
            <v>0</v>
          </cell>
        </row>
        <row r="102">
          <cell r="B102" t="str">
            <v>Residential care activities</v>
          </cell>
          <cell r="D102">
            <v>0</v>
          </cell>
        </row>
        <row r="103">
          <cell r="B103" t="str">
            <v>Creative, arts and entertainment activities</v>
          </cell>
          <cell r="D103">
            <v>0</v>
          </cell>
        </row>
        <row r="104">
          <cell r="B104" t="str">
            <v>Libraries, archives, museums and cultural activities</v>
          </cell>
          <cell r="D104">
            <v>0</v>
          </cell>
        </row>
        <row r="105">
          <cell r="B105" t="str">
            <v>Motion picture, video and television programme production, sound recording and music publishing activities</v>
          </cell>
          <cell r="D105">
            <v>0</v>
          </cell>
        </row>
        <row r="106">
          <cell r="B106" t="str">
            <v>Emergency Services</v>
          </cell>
          <cell r="C106">
            <v>1</v>
          </cell>
          <cell r="D106">
            <v>0</v>
          </cell>
        </row>
        <row r="107">
          <cell r="B107" t="str">
            <v>Flood risk prevention and protection infrastructure</v>
          </cell>
          <cell r="C107">
            <v>1</v>
          </cell>
          <cell r="D107">
            <v>0</v>
          </cell>
        </row>
      </sheetData>
      <sheetData sheetId="4" refreshError="1">
        <row r="1">
          <cell r="B1" t="str">
            <v>Uso sostenible y protección de los recursos hídricos y marinos</v>
          </cell>
          <cell r="D1" t="str">
            <v>Econ Circular</v>
          </cell>
        </row>
        <row r="2">
          <cell r="B2" t="str">
            <v>Manufacture, installation and associated services for leakage control technologies enabling leakage reduction and prevention in water supply systems</v>
          </cell>
          <cell r="C2">
            <v>1</v>
          </cell>
          <cell r="D2">
            <v>0</v>
          </cell>
        </row>
        <row r="3">
          <cell r="B3" t="str">
            <v>Water supply</v>
          </cell>
          <cell r="C3">
            <v>1</v>
          </cell>
          <cell r="D3">
            <v>0</v>
          </cell>
        </row>
        <row r="4">
          <cell r="B4" t="str">
            <v>Urban Waste Water Treatment</v>
          </cell>
          <cell r="C4">
            <v>1</v>
          </cell>
          <cell r="D4">
            <v>0</v>
          </cell>
        </row>
        <row r="5">
          <cell r="B5" t="str">
            <v>Sustainable urban drainage systems (SUDS)</v>
          </cell>
          <cell r="C5">
            <v>1</v>
          </cell>
          <cell r="D5">
            <v>0</v>
          </cell>
        </row>
        <row r="6">
          <cell r="B6" t="str">
            <v>Nature-based solutions for flood and drought risk prevention and protection</v>
          </cell>
          <cell r="C6">
            <v>1</v>
          </cell>
          <cell r="D6">
            <v>0</v>
          </cell>
        </row>
        <row r="7">
          <cell r="B7" t="str">
            <v>Provision of IT/OT data-driven solutions for leakage reduction</v>
          </cell>
          <cell r="C7">
            <v>1</v>
          </cell>
          <cell r="D7">
            <v>0</v>
          </cell>
        </row>
      </sheetData>
      <sheetData sheetId="5" refreshError="1">
        <row r="1">
          <cell r="B1" t="str">
            <v>Economía circular</v>
          </cell>
          <cell r="D1" t="str">
            <v>Contaminación</v>
          </cell>
        </row>
        <row r="2">
          <cell r="B2" t="str">
            <v>Manufacture of plastic packaging goods</v>
          </cell>
          <cell r="C2">
            <v>1</v>
          </cell>
          <cell r="D2">
            <v>0</v>
          </cell>
        </row>
        <row r="3">
          <cell r="B3" t="str">
            <v>Manufacture of electrical and electronic equipment</v>
          </cell>
          <cell r="C3">
            <v>1</v>
          </cell>
          <cell r="D3">
            <v>0</v>
          </cell>
        </row>
        <row r="4">
          <cell r="B4" t="str">
            <v>Phosphorus recovery from waste water</v>
          </cell>
          <cell r="C4">
            <v>1</v>
          </cell>
          <cell r="D4">
            <v>0</v>
          </cell>
        </row>
        <row r="5">
          <cell r="B5" t="str">
            <v>Production of alternative water resources for purposes other than human consumption</v>
          </cell>
          <cell r="C5">
            <v>1</v>
          </cell>
          <cell r="D5">
            <v>0</v>
          </cell>
        </row>
        <row r="6">
          <cell r="B6" t="str">
            <v>Collection and transport of non-hazardous and hazardous waste</v>
          </cell>
          <cell r="C6">
            <v>1</v>
          </cell>
          <cell r="D6">
            <v>0</v>
          </cell>
        </row>
        <row r="7">
          <cell r="B7" t="str">
            <v>Treatment of hazardous waste</v>
          </cell>
          <cell r="C7">
            <v>1</v>
          </cell>
          <cell r="D7">
            <v>1</v>
          </cell>
        </row>
        <row r="8">
          <cell r="B8" t="str">
            <v>Recovery of bio-waste by anaerobic digestion or composting</v>
          </cell>
          <cell r="C8">
            <v>1</v>
          </cell>
          <cell r="D8">
            <v>0</v>
          </cell>
        </row>
        <row r="9">
          <cell r="B9" t="str">
            <v>Depollution and dismantling of end-of-life products</v>
          </cell>
          <cell r="C9">
            <v>1</v>
          </cell>
          <cell r="D9">
            <v>0</v>
          </cell>
        </row>
        <row r="10">
          <cell r="B10" t="str">
            <v>Sorting and material recovery of non-hazardous waste</v>
          </cell>
          <cell r="C10">
            <v>1</v>
          </cell>
          <cell r="D10">
            <v>0</v>
          </cell>
        </row>
        <row r="11">
          <cell r="B11" t="str">
            <v>Construction of new buildings</v>
          </cell>
          <cell r="C11">
            <v>1</v>
          </cell>
          <cell r="D11">
            <v>0</v>
          </cell>
        </row>
        <row r="12">
          <cell r="B12" t="str">
            <v>Renovation of existing buildings</v>
          </cell>
          <cell r="C12">
            <v>1</v>
          </cell>
          <cell r="D12">
            <v>0</v>
          </cell>
        </row>
        <row r="13">
          <cell r="B13" t="str">
            <v>Demolition and wrecking of buildings and other structures</v>
          </cell>
          <cell r="C13">
            <v>1</v>
          </cell>
          <cell r="D13">
            <v>0</v>
          </cell>
        </row>
        <row r="14">
          <cell r="B14" t="str">
            <v>Maintenance of roads and motorways</v>
          </cell>
          <cell r="C14">
            <v>1</v>
          </cell>
          <cell r="D14">
            <v>0</v>
          </cell>
        </row>
        <row r="15">
          <cell r="B15" t="str">
            <v>Use of concrete in civil engineering</v>
          </cell>
          <cell r="C15">
            <v>1</v>
          </cell>
          <cell r="D15">
            <v>0</v>
          </cell>
        </row>
        <row r="16">
          <cell r="B16" t="str">
            <v>Provision of IT/OT data-driven solutions</v>
          </cell>
          <cell r="C16">
            <v>1</v>
          </cell>
          <cell r="D16">
            <v>0</v>
          </cell>
        </row>
        <row r="17">
          <cell r="B17" t="str">
            <v>Repair, refurbishment and remanufacturing</v>
          </cell>
          <cell r="C17">
            <v>1</v>
          </cell>
          <cell r="D17">
            <v>0</v>
          </cell>
        </row>
        <row r="18">
          <cell r="B18" t="str">
            <v>Sale of spare parts</v>
          </cell>
          <cell r="C18">
            <v>1</v>
          </cell>
          <cell r="D18">
            <v>0</v>
          </cell>
        </row>
        <row r="19">
          <cell r="B19" t="str">
            <v>Preparation for re-use of end-of-life products and product components</v>
          </cell>
          <cell r="C19">
            <v>1</v>
          </cell>
          <cell r="D19">
            <v>0</v>
          </cell>
        </row>
        <row r="20">
          <cell r="B20" t="str">
            <v>Sale of second-hand goods</v>
          </cell>
          <cell r="C20">
            <v>1</v>
          </cell>
          <cell r="D20">
            <v>0</v>
          </cell>
        </row>
        <row r="21">
          <cell r="B21" t="str">
            <v>Product-as-a-service and other circular use- and result-oriented service models</v>
          </cell>
          <cell r="C21">
            <v>1</v>
          </cell>
          <cell r="D21">
            <v>0</v>
          </cell>
        </row>
        <row r="22">
          <cell r="B22" t="str">
            <v>Marketplace for the trade of second-hand goods for reuse</v>
          </cell>
          <cell r="C22">
            <v>1</v>
          </cell>
          <cell r="D22">
            <v>0</v>
          </cell>
        </row>
      </sheetData>
      <sheetData sheetId="6" refreshError="1">
        <row r="1">
          <cell r="B1" t="str">
            <v>Prevención y control de la contaminación</v>
          </cell>
          <cell r="D1" t="str">
            <v>Biodiversidad</v>
          </cell>
        </row>
        <row r="2">
          <cell r="B2" t="str">
            <v>Manufacture of active pharmaceutical ingredients (API) or active substances</v>
          </cell>
          <cell r="C2">
            <v>1</v>
          </cell>
          <cell r="D2">
            <v>0</v>
          </cell>
        </row>
        <row r="3">
          <cell r="B3" t="str">
            <v>Manufacture of medicinal products</v>
          </cell>
          <cell r="C3">
            <v>1</v>
          </cell>
          <cell r="D3">
            <v>0</v>
          </cell>
        </row>
        <row r="4">
          <cell r="B4" t="str">
            <v>Collection and transport of hazardous waste</v>
          </cell>
          <cell r="C4">
            <v>1</v>
          </cell>
          <cell r="D4">
            <v>0</v>
          </cell>
        </row>
        <row r="5">
          <cell r="B5" t="str">
            <v>Treatment of hazardous waste</v>
          </cell>
          <cell r="C5">
            <v>1</v>
          </cell>
          <cell r="D5">
            <v>0</v>
          </cell>
        </row>
        <row r="6">
          <cell r="B6" t="str">
            <v>Remediation of legally non-conforming landfills and abandoned or illegal waste dumps</v>
          </cell>
          <cell r="C6">
            <v>1</v>
          </cell>
          <cell r="D6">
            <v>0</v>
          </cell>
        </row>
        <row r="7">
          <cell r="B7" t="str">
            <v>Remediation of contaminated sites and areas</v>
          </cell>
          <cell r="C7">
            <v>1</v>
          </cell>
          <cell r="D7">
            <v>0</v>
          </cell>
        </row>
      </sheetData>
      <sheetData sheetId="7" refreshError="1">
        <row r="1">
          <cell r="B1" t="str">
            <v>Protección y recuperación de la biodiversidad y los ecosistemas</v>
          </cell>
        </row>
        <row r="2">
          <cell r="B2" t="str">
            <v>Conservation, including restoration, of habitats, ecosystems and species</v>
          </cell>
          <cell r="C2">
            <v>1</v>
          </cell>
        </row>
        <row r="3">
          <cell r="B3" t="str">
            <v>Hotels, holiday, camping grounds and similar accommodation</v>
          </cell>
          <cell r="C3">
            <v>1</v>
          </cell>
        </row>
      </sheetData>
      <sheetData sheetId="8" refreshError="1"/>
      <sheetData sheetId="9" refreshError="1"/>
      <sheetData sheetId="10" refreshError="1"/>
      <sheetData sheetId="1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Elegibility Map &amp; Matching"/>
      <sheetName val="Hoja1"/>
      <sheetName val="Codes &amp; Descr. SFICS24"/>
      <sheetName val="Codes &amp; Descr. SFICS25"/>
    </sheetNames>
    <sheetDataSet>
      <sheetData sheetId="0"/>
      <sheetData sheetId="1"/>
      <sheetData sheetId="2"/>
      <sheetData sheetId="3">
        <row r="4">
          <cell r="B4" t="str">
            <v>LEVEL 1 DESCRIPTION</v>
          </cell>
          <cell r="C4" t="str">
            <v>LEVEL 1 CODE</v>
          </cell>
          <cell r="D4" t="str">
            <v>LEVEL 2 DESCRIPTION</v>
          </cell>
          <cell r="E4" t="str">
            <v>LEVEL 2 CODE</v>
          </cell>
          <cell r="F4" t="str">
            <v>LEVEL 3 DESCRIPTION</v>
          </cell>
          <cell r="G4" t="str">
            <v>LEVEL  CODE</v>
          </cell>
          <cell r="H4" t="str">
            <v>LEVEL 3 DESCRIPTION + CODE</v>
          </cell>
        </row>
        <row r="5">
          <cell r="B5" t="str">
            <v>Energia</v>
          </cell>
          <cell r="C5">
            <v>21</v>
          </cell>
          <cell r="D5" t="str">
            <v>Energia renovável</v>
          </cell>
          <cell r="E5">
            <v>2101</v>
          </cell>
          <cell r="F5" t="str">
            <v>Solar fotovoltaica - Geração de eletricidade</v>
          </cell>
          <cell r="G5">
            <v>210101</v>
          </cell>
          <cell r="H5" t="str">
            <v xml:space="preserve">A.1.1. Geração de eletricidade usando tecnologia solar fotovoltaica </v>
          </cell>
        </row>
        <row r="6">
          <cell r="B6" t="str">
            <v>Energia</v>
          </cell>
          <cell r="C6">
            <v>21</v>
          </cell>
          <cell r="D6" t="str">
            <v>Energia renovável</v>
          </cell>
          <cell r="E6">
            <v>2101</v>
          </cell>
          <cell r="F6" t="str">
            <v>Energia solar concentrada (CSP) - Geração de eletricidade</v>
          </cell>
          <cell r="G6">
            <v>210102</v>
          </cell>
          <cell r="H6" t="str">
            <v xml:space="preserve">A.1.2. Geração de eletricidade usando tecnologia de energia solar concentrada (CSP) </v>
          </cell>
        </row>
        <row r="7">
          <cell r="B7" t="str">
            <v>Energia</v>
          </cell>
          <cell r="C7">
            <v>21</v>
          </cell>
          <cell r="D7" t="str">
            <v>Energia renovável</v>
          </cell>
          <cell r="E7">
            <v>2101</v>
          </cell>
          <cell r="F7" t="str">
            <v>Energia eólica - Geração de eletricidade</v>
          </cell>
          <cell r="G7">
            <v>210103</v>
          </cell>
          <cell r="H7" t="str">
            <v xml:space="preserve">A.1.3. Geração de eletricidade a partir da energia eólica </v>
          </cell>
        </row>
        <row r="8">
          <cell r="B8" t="str">
            <v>Energia</v>
          </cell>
          <cell r="C8">
            <v>21</v>
          </cell>
          <cell r="D8" t="str">
            <v>Energia renovável</v>
          </cell>
          <cell r="E8">
            <v>2101</v>
          </cell>
          <cell r="F8" t="str">
            <v>Tecnologias de energia oceânica - Geração de eletricidade</v>
          </cell>
          <cell r="G8">
            <v>210104</v>
          </cell>
          <cell r="H8" t="str">
            <v xml:space="preserve">A.1.4. Geração de eletricidade a partir de tecnologias de energia oceânica </v>
          </cell>
        </row>
        <row r="9">
          <cell r="B9" t="str">
            <v>Energia</v>
          </cell>
          <cell r="C9">
            <v>21</v>
          </cell>
          <cell r="D9" t="str">
            <v>Energia renovável</v>
          </cell>
          <cell r="E9">
            <v>2101</v>
          </cell>
          <cell r="F9" t="str">
            <v>Energia hidroelétrica - Geração de eletricidade</v>
          </cell>
          <cell r="G9">
            <v>210105</v>
          </cell>
          <cell r="H9" t="str">
            <v xml:space="preserve">A.1,5. Geração de eletricidade a partir de energia hidroelétrica </v>
          </cell>
        </row>
        <row r="10">
          <cell r="B10" t="str">
            <v>Energia</v>
          </cell>
          <cell r="C10">
            <v>21</v>
          </cell>
          <cell r="D10" t="str">
            <v>Energia renovável</v>
          </cell>
          <cell r="E10">
            <v>2101</v>
          </cell>
          <cell r="F10" t="str">
            <v>Energia geotérmica - Geração de eletricidade</v>
          </cell>
          <cell r="G10">
            <v>210106</v>
          </cell>
          <cell r="H10" t="str">
            <v xml:space="preserve">A.1.6. Geração de eletricidade a partir de energia geotérmica </v>
          </cell>
        </row>
        <row r="11">
          <cell r="B11" t="str">
            <v>Energia</v>
          </cell>
          <cell r="C11">
            <v>21</v>
          </cell>
          <cell r="D11" t="str">
            <v>Energia renovável</v>
          </cell>
          <cell r="E11">
            <v>2101</v>
          </cell>
          <cell r="F11" t="str">
            <v xml:space="preserve">Energia solar - cogeração calor/frio/energia </v>
          </cell>
          <cell r="G11">
            <v>210107</v>
          </cell>
          <cell r="H11" t="str">
            <v xml:space="preserve">A.1.17. Cogeração de calor/frio e energia solar </v>
          </cell>
        </row>
        <row r="12">
          <cell r="B12" t="str">
            <v>Energia</v>
          </cell>
          <cell r="C12">
            <v>21</v>
          </cell>
          <cell r="D12" t="str">
            <v>Energia renovável</v>
          </cell>
          <cell r="E12">
            <v>2101</v>
          </cell>
          <cell r="F12" t="str">
            <v>Energia geotérmica - cogeração calor/frio/energia</v>
          </cell>
          <cell r="G12">
            <v>210108</v>
          </cell>
          <cell r="H12" t="str">
            <v xml:space="preserve">A.1.18. Cogeração de calor/frio e energia proveniente de energia geotérmica </v>
          </cell>
        </row>
        <row r="13">
          <cell r="B13" t="str">
            <v>Energia</v>
          </cell>
          <cell r="C13">
            <v>21</v>
          </cell>
          <cell r="D13" t="str">
            <v>Energia renovável</v>
          </cell>
          <cell r="E13">
            <v>2101</v>
          </cell>
          <cell r="F13" t="str">
            <v>Solar térmica - produção de calor/frio</v>
          </cell>
          <cell r="G13">
            <v>210109</v>
          </cell>
          <cell r="H13" t="str">
            <v xml:space="preserve">A.1.21. Produção de calor/frio a partir do aquecimento térmico solar </v>
          </cell>
        </row>
        <row r="14">
          <cell r="B14" t="str">
            <v>Energia</v>
          </cell>
          <cell r="C14">
            <v>21</v>
          </cell>
          <cell r="D14" t="str">
            <v>Energia renovável</v>
          </cell>
          <cell r="E14">
            <v>2101</v>
          </cell>
          <cell r="F14" t="str">
            <v>Energia geotérmica - produção de calor/frio</v>
          </cell>
          <cell r="G14">
            <v>210110</v>
          </cell>
          <cell r="H14" t="str">
            <v xml:space="preserve">A.1.22. Produção de calor/frio a partir de energia geotérmica </v>
          </cell>
        </row>
        <row r="15">
          <cell r="B15" t="str">
            <v>Energia</v>
          </cell>
          <cell r="C15">
            <v>21</v>
          </cell>
          <cell r="D15" t="str">
            <v>Combustíveis renováveis, bioenergia e aquecimento residual</v>
          </cell>
          <cell r="E15">
            <v>2102</v>
          </cell>
          <cell r="F15" t="str">
            <v>Combustíveis renováveis - Geração de eletricidade</v>
          </cell>
          <cell r="G15">
            <v>210201</v>
          </cell>
          <cell r="H15" t="str">
            <v xml:space="preserve">A.1.7. Geração de eletricidade a partir de combustíveis gasosos e líquidos não fósseis renováveis </v>
          </cell>
        </row>
        <row r="16">
          <cell r="B16" t="str">
            <v>Energia</v>
          </cell>
          <cell r="C16">
            <v>21</v>
          </cell>
          <cell r="D16" t="str">
            <v>Combustíveis renováveis, bioenergia e aquecimento residual</v>
          </cell>
          <cell r="E16">
            <v>2102</v>
          </cell>
          <cell r="F16" t="str">
            <v>Bioenergia - Geração de eletricidade</v>
          </cell>
          <cell r="G16">
            <v>210202</v>
          </cell>
          <cell r="H16" t="str">
            <v xml:space="preserve">A.1.8. Geração de eletricidade a partir de bioenergia </v>
          </cell>
        </row>
        <row r="17">
          <cell r="B17" t="str">
            <v>Energia</v>
          </cell>
          <cell r="C17">
            <v>21</v>
          </cell>
          <cell r="D17" t="str">
            <v>Combustíveis renováveis, bioenergia e aquecimento residual</v>
          </cell>
          <cell r="E17">
            <v>2102</v>
          </cell>
          <cell r="F17" t="str">
            <v>Fabricação de Biogas/biocombustíveis para transporte</v>
          </cell>
          <cell r="G17">
            <v>210203</v>
          </cell>
          <cell r="H17" t="str">
            <v xml:space="preserve">A.1.13. Fabricação de biogás e biocombustíveis para uso no transporte e de biolíquidos </v>
          </cell>
        </row>
        <row r="18">
          <cell r="B18" t="str">
            <v>Energia</v>
          </cell>
          <cell r="C18">
            <v>21</v>
          </cell>
          <cell r="D18" t="str">
            <v>Combustíveis renováveis, bioenergia e aquecimento residual</v>
          </cell>
          <cell r="E18">
            <v>2102</v>
          </cell>
          <cell r="F18" t="str">
            <v>Combustíveis renováveis - cogeração calor/frio/energia</v>
          </cell>
          <cell r="G18">
            <v>210204</v>
          </cell>
          <cell r="H18" t="str">
            <v xml:space="preserve">A.1.19. Cogeração de calor/frio e energia a partir de combustíveis gasosos e líquidos não fósseis renováveis </v>
          </cell>
        </row>
        <row r="19">
          <cell r="B19" t="str">
            <v>Energia</v>
          </cell>
          <cell r="C19">
            <v>21</v>
          </cell>
          <cell r="D19" t="str">
            <v>Combustíveis renováveis, bioenergia e aquecimento residual</v>
          </cell>
          <cell r="E19">
            <v>2102</v>
          </cell>
          <cell r="F19" t="str">
            <v>Bioenergia -  cogeração calor/frio/energia</v>
          </cell>
          <cell r="G19">
            <v>210205</v>
          </cell>
          <cell r="H19" t="str">
            <v xml:space="preserve">A.1.20. Cogeração de calor/frio e energia proveniente da bioenergia </v>
          </cell>
        </row>
        <row r="20">
          <cell r="B20" t="str">
            <v>Energia</v>
          </cell>
          <cell r="C20">
            <v>21</v>
          </cell>
          <cell r="D20" t="str">
            <v>Combustíveis renováveis, bioenergia e aquecimento residual</v>
          </cell>
          <cell r="E20">
            <v>2102</v>
          </cell>
          <cell r="F20" t="str">
            <v>Combustíveis renováveis - produção de calor/frio</v>
          </cell>
          <cell r="G20">
            <v>210206</v>
          </cell>
          <cell r="H20" t="str">
            <v xml:space="preserve">A.1.23. Produção de calor/frio a partir de combustíveis gasosos e líquidos renováveis não fósseis </v>
          </cell>
        </row>
        <row r="21">
          <cell r="B21" t="str">
            <v>Energia</v>
          </cell>
          <cell r="C21">
            <v>21</v>
          </cell>
          <cell r="D21" t="str">
            <v>Combustíveis renováveis, bioenergia e aquecimento residual</v>
          </cell>
          <cell r="E21">
            <v>2102</v>
          </cell>
          <cell r="F21" t="str">
            <v>Bioenergia - produção de calor/frio</v>
          </cell>
          <cell r="G21">
            <v>210207</v>
          </cell>
          <cell r="H21" t="str">
            <v xml:space="preserve">A.1.24. Produção de calor/frio a partir de bioenergia </v>
          </cell>
        </row>
        <row r="22">
          <cell r="B22" t="str">
            <v>Energia</v>
          </cell>
          <cell r="C22">
            <v>21</v>
          </cell>
          <cell r="D22" t="str">
            <v>Combustíveis renováveis, bioenergia e aquecimento residual</v>
          </cell>
          <cell r="E22">
            <v>2102</v>
          </cell>
          <cell r="F22" t="str">
            <v>Calor residual - produção de calor/frio</v>
          </cell>
          <cell r="G22">
            <v>210208</v>
          </cell>
          <cell r="H22" t="str">
            <v xml:space="preserve">A.1.25. Produção de calor/frio usando calor residual </v>
          </cell>
        </row>
        <row r="23">
          <cell r="B23" t="str">
            <v>Energia</v>
          </cell>
          <cell r="C23">
            <v>21</v>
          </cell>
          <cell r="D23" t="str">
            <v>Transmissão e distribuição de energia</v>
          </cell>
          <cell r="E23">
            <v>2104</v>
          </cell>
          <cell r="F23" t="str">
            <v>Transmissão e distribuição de eletricidade</v>
          </cell>
          <cell r="G23">
            <v>210419</v>
          </cell>
          <cell r="H23" t="str">
            <v xml:space="preserve">A.1.9. Transmissão e distribuição de eletricidade </v>
          </cell>
        </row>
        <row r="24">
          <cell r="B24" t="str">
            <v>Energia</v>
          </cell>
          <cell r="C24">
            <v>21</v>
          </cell>
          <cell r="D24" t="str">
            <v>Transmissão e distribuição de energia</v>
          </cell>
          <cell r="E24">
            <v>2104</v>
          </cell>
          <cell r="F24" t="str">
            <v xml:space="preserve">Redes para gases renováveis/de baixo carbono </v>
          </cell>
          <cell r="G24">
            <v>210420</v>
          </cell>
          <cell r="H24" t="str">
            <v xml:space="preserve">A.1.14. Redes de transmissão e distribuição de gases renováveis e de baixo carbono </v>
          </cell>
        </row>
        <row r="25">
          <cell r="B25" t="str">
            <v>Energia</v>
          </cell>
          <cell r="C25">
            <v>21</v>
          </cell>
          <cell r="D25" t="str">
            <v>Transmissão e distribuição de energia</v>
          </cell>
          <cell r="E25">
            <v>2104</v>
          </cell>
          <cell r="F25" t="str">
            <v>Distribuição de aquecimento/arrefecimento distrital</v>
          </cell>
          <cell r="G25">
            <v>210421</v>
          </cell>
          <cell r="H25" t="str">
            <v xml:space="preserve">A.1.15. Distribuição de aquecimento/arrefecimento distrital </v>
          </cell>
        </row>
        <row r="26">
          <cell r="B26" t="str">
            <v>Energia</v>
          </cell>
          <cell r="C26">
            <v>21</v>
          </cell>
          <cell r="D26" t="str">
            <v>Armazenamento de energia</v>
          </cell>
          <cell r="E26">
            <v>2106</v>
          </cell>
          <cell r="F26" t="str">
            <v xml:space="preserve">Armazenamento de eletricidade </v>
          </cell>
          <cell r="G26">
            <v>210601</v>
          </cell>
          <cell r="H26" t="str">
            <v xml:space="preserve">A.1.10. Armazenamento de eletricidade </v>
          </cell>
        </row>
        <row r="27">
          <cell r="B27" t="str">
            <v>Energia</v>
          </cell>
          <cell r="C27">
            <v>21</v>
          </cell>
          <cell r="D27" t="str">
            <v>Armazenamento de energia</v>
          </cell>
          <cell r="E27">
            <v>2106</v>
          </cell>
          <cell r="F27" t="str">
            <v xml:space="preserve">Armazenamento de energia térmica </v>
          </cell>
          <cell r="G27">
            <v>210602</v>
          </cell>
          <cell r="H27" t="str">
            <v xml:space="preserve">A.1.11. Armazenamento de energia térmica </v>
          </cell>
        </row>
        <row r="28">
          <cell r="B28" t="str">
            <v>Energia</v>
          </cell>
          <cell r="C28">
            <v>21</v>
          </cell>
          <cell r="D28" t="str">
            <v>Armazenamento de energia</v>
          </cell>
          <cell r="E28">
            <v>2106</v>
          </cell>
          <cell r="F28" t="str">
            <v xml:space="preserve">Armazenamento de hidrogênio </v>
          </cell>
          <cell r="G28">
            <v>210603</v>
          </cell>
          <cell r="H28" t="str">
            <v xml:space="preserve">A.1.12. Armazenamento de hidrogénio </v>
          </cell>
        </row>
        <row r="29">
          <cell r="B29" t="str">
            <v>Energia</v>
          </cell>
          <cell r="C29">
            <v>21</v>
          </cell>
          <cell r="D29" t="str">
            <v>Instalação e operação de bombas de calor elétricas</v>
          </cell>
          <cell r="E29">
            <v>2105</v>
          </cell>
          <cell r="F29" t="str">
            <v>Instalação e operação de bombas de calor elétricas</v>
          </cell>
          <cell r="G29">
            <v>210501</v>
          </cell>
          <cell r="H29" t="str">
            <v xml:space="preserve">A.1.16. Instalação e operação de bombas de calor elétricas </v>
          </cell>
        </row>
        <row r="30">
          <cell r="B30" t="str">
            <v>Energia</v>
          </cell>
          <cell r="C30">
            <v>21</v>
          </cell>
          <cell r="D30" t="str">
            <v>Combustíveis gasosos nucleares e fósseis</v>
          </cell>
          <cell r="E30">
            <v>2103</v>
          </cell>
          <cell r="F30" t="str">
            <v>Energia nuclear - Produzir energia com desperdício mínimo</v>
          </cell>
          <cell r="G30">
            <v>210301</v>
          </cell>
          <cell r="H30" t="str">
            <v xml:space="preserve">A.1.26. Estágios pré-comerciais de tecnologias avançadas para produzir energia a partir de processos nucleares com desperdício mínimo do ciclo de combustível </v>
          </cell>
        </row>
        <row r="31">
          <cell r="B31" t="str">
            <v>Energia</v>
          </cell>
          <cell r="C31">
            <v>21</v>
          </cell>
          <cell r="D31" t="str">
            <v>Combustíveis gasosos nucleares e fósseis</v>
          </cell>
          <cell r="E31">
            <v>2103</v>
          </cell>
          <cell r="F31" t="str">
            <v>Energia nuclear - Construção / operação segura</v>
          </cell>
          <cell r="G31">
            <v>210302</v>
          </cell>
          <cell r="H31" t="str">
            <v xml:space="preserve">A.1.27. Construção e exploração segura de novas centrais nucleares, para a geração de eletricidade e/ou calor, incluindo para a produção de hidrogénio, utilizando as melhores tecnologias disponíveis </v>
          </cell>
        </row>
        <row r="32">
          <cell r="B32" t="str">
            <v>Energia</v>
          </cell>
          <cell r="C32">
            <v>21</v>
          </cell>
          <cell r="D32" t="str">
            <v>Combustíveis gasosos nucleares e fósseis</v>
          </cell>
          <cell r="E32">
            <v>2103</v>
          </cell>
          <cell r="F32" t="str">
            <v>Energia nuclear - Geração de eletricidade</v>
          </cell>
          <cell r="G32">
            <v>210303</v>
          </cell>
          <cell r="H32" t="str">
            <v xml:space="preserve">A.1.28. Geração de eletricidade a partir de energia nuclear em instalações existentes </v>
          </cell>
        </row>
        <row r="33">
          <cell r="B33" t="str">
            <v>Energia</v>
          </cell>
          <cell r="C33">
            <v>21</v>
          </cell>
          <cell r="D33" t="str">
            <v>Combustíveis gasosos nucleares e fósseis</v>
          </cell>
          <cell r="E33">
            <v>2103</v>
          </cell>
          <cell r="F33" t="str">
            <v>Combustíveis gasosos fósseis - Geração de eletricidade</v>
          </cell>
          <cell r="G33">
            <v>210304</v>
          </cell>
          <cell r="H33" t="str">
            <v xml:space="preserve">A.1.29. Geração de eletricidade a partir de combustíveis fósseis gasosos </v>
          </cell>
        </row>
        <row r="34">
          <cell r="B34" t="str">
            <v>Energia</v>
          </cell>
          <cell r="C34">
            <v>21</v>
          </cell>
          <cell r="D34" t="str">
            <v>Combustíveis gasosos nucleares e fósseis</v>
          </cell>
          <cell r="E34">
            <v>2103</v>
          </cell>
          <cell r="F34" t="str">
            <v>Combustíveis gasosos fósseis - produção de calor/frio</v>
          </cell>
          <cell r="G34">
            <v>210305</v>
          </cell>
          <cell r="H34" t="str">
            <v xml:space="preserve">A.1.30. Produção de calor/frio a partir de combustíveis fósseis gasosos num eficiente sistema de aquecimento e arrefecimento urbano </v>
          </cell>
        </row>
        <row r="35">
          <cell r="B35" t="str">
            <v>Energia</v>
          </cell>
          <cell r="C35">
            <v>21</v>
          </cell>
          <cell r="D35" t="str">
            <v>Combustíveis gasosos nucleares e fósseis</v>
          </cell>
          <cell r="E35">
            <v>2103</v>
          </cell>
          <cell r="F35" t="str">
            <v>Combustíveis gasosos fósseis - Co-geração de calor/frio e energia</v>
          </cell>
          <cell r="G35">
            <v>210306</v>
          </cell>
          <cell r="H35" t="str">
            <v xml:space="preserve">A.1.31. Co-geração de calor/frio e energia a partir de combustíveis fósseis </v>
          </cell>
        </row>
        <row r="36">
          <cell r="B36" t="str">
            <v>Energia</v>
          </cell>
          <cell r="C36">
            <v>21</v>
          </cell>
          <cell r="D36" t="str">
            <v>Aquisição de Energia Renovável</v>
          </cell>
          <cell r="E36">
            <v>2107</v>
          </cell>
          <cell r="F36" t="str">
            <v xml:space="preserve">Aquisição de Energia Renovável </v>
          </cell>
          <cell r="G36">
            <v>210701</v>
          </cell>
          <cell r="H36" t="str">
            <v xml:space="preserve">A.1.32. Aquisição de Energia Renovável </v>
          </cell>
        </row>
        <row r="37">
          <cell r="B37" t="str">
            <v>Transporte</v>
          </cell>
          <cell r="C37">
            <v>22</v>
          </cell>
          <cell r="D37" t="str">
            <v>Transporte terrestre</v>
          </cell>
          <cell r="E37">
            <v>2201</v>
          </cell>
          <cell r="F37" t="str">
            <v xml:space="preserve">Transporte ferroviário interurbano de passageiros </v>
          </cell>
          <cell r="G37">
            <v>220101</v>
          </cell>
          <cell r="H37" t="str">
            <v xml:space="preserve">A.2.1. Transporte ferroviário interurbano de passageiros </v>
          </cell>
        </row>
        <row r="38">
          <cell r="B38" t="str">
            <v>Transporte</v>
          </cell>
          <cell r="C38">
            <v>22</v>
          </cell>
          <cell r="D38" t="str">
            <v>Transporte terrestre</v>
          </cell>
          <cell r="E38">
            <v>2201</v>
          </cell>
          <cell r="F38" t="str">
            <v xml:space="preserve">Transporte ferroviário de mercadorias </v>
          </cell>
          <cell r="G38">
            <v>220102</v>
          </cell>
          <cell r="H38" t="str">
            <v xml:space="preserve">A.2.2. Transporte ferroviário de mercadorias </v>
          </cell>
        </row>
        <row r="39">
          <cell r="B39" t="str">
            <v>Transporte</v>
          </cell>
          <cell r="C39">
            <v>22</v>
          </cell>
          <cell r="D39" t="str">
            <v>Transporte terrestre</v>
          </cell>
          <cell r="E39">
            <v>2201</v>
          </cell>
          <cell r="F39" t="str">
            <v xml:space="preserve">Transportes urbanos e suburbanos, transportes rodoviários de passageiros </v>
          </cell>
          <cell r="G39">
            <v>220103</v>
          </cell>
          <cell r="H39" t="str">
            <v xml:space="preserve">A.2.3. Transportes urbanos e suburbanos, transportes rodoviários de passageiros </v>
          </cell>
        </row>
        <row r="40">
          <cell r="B40" t="str">
            <v>Transporte</v>
          </cell>
          <cell r="C40">
            <v>22</v>
          </cell>
          <cell r="D40" t="str">
            <v>Transporte terrestre</v>
          </cell>
          <cell r="E40">
            <v>2201</v>
          </cell>
          <cell r="F40" t="str">
            <v xml:space="preserve">Dispositivos de mobilidade pessoal, logística de ciclo </v>
          </cell>
          <cell r="G40">
            <v>220104</v>
          </cell>
          <cell r="H40" t="str">
            <v xml:space="preserve">A.2.4. Operação de dispositivos de mobilidade pessoal, logística de ciclo </v>
          </cell>
        </row>
        <row r="41">
          <cell r="B41" t="str">
            <v>Transporte</v>
          </cell>
          <cell r="C41">
            <v>22</v>
          </cell>
          <cell r="D41" t="str">
            <v>Transporte terrestre</v>
          </cell>
          <cell r="E41">
            <v>2201</v>
          </cell>
          <cell r="F41" t="str">
            <v xml:space="preserve">Motas, carros de passageiros e veículos comerciais ligeiros </v>
          </cell>
          <cell r="G41">
            <v>220105</v>
          </cell>
          <cell r="H41" t="str">
            <v xml:space="preserve">A.2,5. Transporte por motas, carros de passageiros e veículos comerciais ligeiros </v>
          </cell>
        </row>
        <row r="42">
          <cell r="B42" t="str">
            <v>Transporte</v>
          </cell>
          <cell r="C42">
            <v>22</v>
          </cell>
          <cell r="D42" t="str">
            <v>Transporte terrestre</v>
          </cell>
          <cell r="E42">
            <v>2201</v>
          </cell>
          <cell r="F42" t="str">
            <v xml:space="preserve">Transporte rodoviário de mercadorias </v>
          </cell>
          <cell r="G42">
            <v>220106</v>
          </cell>
          <cell r="H42" t="str">
            <v xml:space="preserve">A.2.6. Serviços de transporte de mercadorias por estrada </v>
          </cell>
        </row>
        <row r="43">
          <cell r="B43" t="str">
            <v>Transporte</v>
          </cell>
          <cell r="C43">
            <v>22</v>
          </cell>
          <cell r="D43" t="str">
            <v>Transporte marítimo e fluvial</v>
          </cell>
          <cell r="E43">
            <v>2202</v>
          </cell>
          <cell r="F43" t="str">
            <v xml:space="preserve">Transporte de água interior de passageiros </v>
          </cell>
          <cell r="G43">
            <v>220201</v>
          </cell>
          <cell r="H43" t="str">
            <v xml:space="preserve">A.2.7. Transporte de água de passageiros no interior </v>
          </cell>
        </row>
        <row r="44">
          <cell r="B44" t="str">
            <v>Transporte</v>
          </cell>
          <cell r="C44">
            <v>22</v>
          </cell>
          <cell r="D44" t="str">
            <v>Transporte marítimo e fluvial</v>
          </cell>
          <cell r="E44">
            <v>2202</v>
          </cell>
          <cell r="F44" t="str">
            <v>Transporte de água interior de mercadorias</v>
          </cell>
          <cell r="G44">
            <v>220202</v>
          </cell>
          <cell r="H44" t="str">
            <v xml:space="preserve">A.2.8. Transporte terrestre de água de carga </v>
          </cell>
        </row>
        <row r="45">
          <cell r="B45" t="str">
            <v>Transporte</v>
          </cell>
          <cell r="C45">
            <v>22</v>
          </cell>
          <cell r="D45" t="str">
            <v>Transporte marítimo e fluvial</v>
          </cell>
          <cell r="E45">
            <v>2202</v>
          </cell>
          <cell r="F45" t="str">
            <v xml:space="preserve">Readaptação do transporte terrestre </v>
          </cell>
          <cell r="G45">
            <v>220203</v>
          </cell>
          <cell r="H45" t="str">
            <v xml:space="preserve">A.2.9. Readaptação do transporte de passageiros e de mercadorias em águas interiores </v>
          </cell>
        </row>
        <row r="46">
          <cell r="B46" t="str">
            <v>Transporte</v>
          </cell>
          <cell r="C46">
            <v>22</v>
          </cell>
          <cell r="D46" t="str">
            <v>Transporte marítimo e fluvial</v>
          </cell>
          <cell r="E46">
            <v>2202</v>
          </cell>
          <cell r="F46" t="str">
            <v xml:space="preserve">Transporte marítimo e costeiro de mercadorias, navios para operações portuárias e atividades auxiliares </v>
          </cell>
          <cell r="G46">
            <v>220204</v>
          </cell>
          <cell r="H46" t="str">
            <v xml:space="preserve">A.2.10. Transporte marítimo e costeiro de água de carga, navios para operações portuárias e atividades auxiliares </v>
          </cell>
        </row>
        <row r="47">
          <cell r="B47" t="str">
            <v>Transporte</v>
          </cell>
          <cell r="C47">
            <v>22</v>
          </cell>
          <cell r="D47" t="str">
            <v>Transporte marítimo e fluvial</v>
          </cell>
          <cell r="E47">
            <v>2202</v>
          </cell>
          <cell r="F47" t="str">
            <v xml:space="preserve">Transporte marítimo e costeiro de passageiros </v>
          </cell>
          <cell r="G47">
            <v>220205</v>
          </cell>
          <cell r="H47" t="str">
            <v xml:space="preserve">A.2.11. Transporte marítimo e costeiro de água de passageiros </v>
          </cell>
        </row>
        <row r="48">
          <cell r="B48" t="str">
            <v>Transporte</v>
          </cell>
          <cell r="C48">
            <v>22</v>
          </cell>
          <cell r="D48" t="str">
            <v>Transporte marítimo e fluvial</v>
          </cell>
          <cell r="E48">
            <v>2202</v>
          </cell>
          <cell r="F48" t="str">
            <v xml:space="preserve">Readaptação do transporte marítimo e costeiro de mercadorias e de passageiros </v>
          </cell>
          <cell r="G48">
            <v>220206</v>
          </cell>
          <cell r="H48" t="str">
            <v xml:space="preserve">A.2.12. Readaptação do transporte marítimo e costeiro de mercadorias e de água de passageiros </v>
          </cell>
        </row>
        <row r="49">
          <cell r="B49" t="str">
            <v>Transporte</v>
          </cell>
          <cell r="C49">
            <v>22</v>
          </cell>
          <cell r="D49" t="str">
            <v xml:space="preserve">Transporte aéreo </v>
          </cell>
          <cell r="E49">
            <v>2203</v>
          </cell>
          <cell r="F49" t="str">
            <v xml:space="preserve">Locação de aeronaves </v>
          </cell>
          <cell r="G49">
            <v>220301</v>
          </cell>
          <cell r="H49" t="str">
            <v xml:space="preserve">A.2.18. Locação de aeronaves </v>
          </cell>
        </row>
        <row r="50">
          <cell r="B50" t="str">
            <v>Transporte</v>
          </cell>
          <cell r="C50">
            <v>22</v>
          </cell>
          <cell r="D50" t="str">
            <v xml:space="preserve">Transporte aéreo </v>
          </cell>
          <cell r="E50">
            <v>2203</v>
          </cell>
          <cell r="F50" t="str">
            <v xml:space="preserve">Transporte aéreo de passageiros e mercadorias </v>
          </cell>
          <cell r="G50">
            <v>220302</v>
          </cell>
          <cell r="H50" t="str">
            <v xml:space="preserve">A.2.19. Transporte aéreo de passageiros e mercadorias </v>
          </cell>
        </row>
        <row r="51">
          <cell r="B51" t="str">
            <v>Transporte</v>
          </cell>
          <cell r="C51">
            <v>22</v>
          </cell>
          <cell r="D51" t="str">
            <v xml:space="preserve">Transporte aéreo </v>
          </cell>
          <cell r="E51">
            <v>2203</v>
          </cell>
          <cell r="F51" t="str">
            <v xml:space="preserve">Operações de transporte aéreo em terra </v>
          </cell>
          <cell r="G51">
            <v>220303</v>
          </cell>
          <cell r="H51" t="str">
            <v xml:space="preserve">A.2.20. Operações de transporte aéreo em terra </v>
          </cell>
        </row>
        <row r="52">
          <cell r="B52" t="str">
            <v>Transporte</v>
          </cell>
          <cell r="C52">
            <v>22</v>
          </cell>
          <cell r="D52" t="str">
            <v>Infra-estrutura de transporte</v>
          </cell>
          <cell r="E52">
            <v>2204</v>
          </cell>
          <cell r="F52" t="str">
            <v xml:space="preserve">Mobilidade pessoal, logística de ciclo </v>
          </cell>
          <cell r="G52">
            <v>220401</v>
          </cell>
          <cell r="H52" t="str">
            <v xml:space="preserve">A.2.13. Infraestrutura para mobilidade pessoal, logística de ciclo </v>
          </cell>
        </row>
        <row r="53">
          <cell r="B53" t="str">
            <v>Transporte</v>
          </cell>
          <cell r="C53">
            <v>22</v>
          </cell>
          <cell r="D53" t="str">
            <v>Infra-estrutura de transporte</v>
          </cell>
          <cell r="E53">
            <v>2204</v>
          </cell>
          <cell r="F53" t="str">
            <v xml:space="preserve">Transportes rodoviários de baixo carbono e transportes públicos </v>
          </cell>
          <cell r="G53">
            <v>220402</v>
          </cell>
          <cell r="H53" t="str">
            <v xml:space="preserve">A.2.15. Infra-estruturas que permitem o transporte rodoviário de baixo carbono e os transportes públicos </v>
          </cell>
        </row>
        <row r="54">
          <cell r="B54" t="str">
            <v>Transporte</v>
          </cell>
          <cell r="C54">
            <v>22</v>
          </cell>
          <cell r="D54" t="str">
            <v>Infra-estrutura de transporte</v>
          </cell>
          <cell r="E54">
            <v>2204</v>
          </cell>
          <cell r="F54" t="str">
            <v xml:space="preserve">Infra-estrutura de transporte de água </v>
          </cell>
          <cell r="G54">
            <v>220403</v>
          </cell>
          <cell r="H54" t="str">
            <v xml:space="preserve">A.2.16. Infraestrutura que permite o transporte de água com baixo carbono </v>
          </cell>
        </row>
        <row r="55">
          <cell r="B55" t="str">
            <v>Transporte</v>
          </cell>
          <cell r="C55">
            <v>22</v>
          </cell>
          <cell r="D55" t="str">
            <v>Infra-estrutura de transporte</v>
          </cell>
          <cell r="E55">
            <v>2204</v>
          </cell>
          <cell r="F55" t="str">
            <v xml:space="preserve">Infra-estrutura aeroportuária </v>
          </cell>
          <cell r="G55">
            <v>220404</v>
          </cell>
          <cell r="H55" t="str">
            <v xml:space="preserve">A.2.17. Infra-estrutura aeroportuária de baixo carbono </v>
          </cell>
        </row>
        <row r="56">
          <cell r="B56" t="str">
            <v>Transporte</v>
          </cell>
          <cell r="C56">
            <v>22</v>
          </cell>
          <cell r="D56" t="str">
            <v>Infra-estrutura de transporte</v>
          </cell>
          <cell r="E56">
            <v>2204</v>
          </cell>
          <cell r="F56" t="str">
            <v xml:space="preserve">Transporte ferroviário </v>
          </cell>
          <cell r="G56">
            <v>220405</v>
          </cell>
          <cell r="H56" t="str">
            <v xml:space="preserve">A.2.14. Infra-estruturas para o transporte ferroviário </v>
          </cell>
        </row>
        <row r="57">
          <cell r="B57" t="str">
            <v>Transporte</v>
          </cell>
          <cell r="C57">
            <v>22</v>
          </cell>
          <cell r="D57" t="str">
            <v xml:space="preserve">Veículos movidos a hidrogénio </v>
          </cell>
          <cell r="E57">
            <v>2205</v>
          </cell>
          <cell r="F57" t="str">
            <v xml:space="preserve">Veículos movidos a hidrogênio </v>
          </cell>
          <cell r="G57">
            <v>220501</v>
          </cell>
          <cell r="H57" t="str">
            <v xml:space="preserve">A.2.21. Veículos movidos a hidrogénio </v>
          </cell>
        </row>
        <row r="58">
          <cell r="B58" t="str">
            <v>Real estate</v>
          </cell>
          <cell r="C58">
            <v>23</v>
          </cell>
          <cell r="D58" t="str">
            <v xml:space="preserve">Construção de novos edifícios </v>
          </cell>
          <cell r="E58">
            <v>2301</v>
          </cell>
          <cell r="F58" t="str">
            <v xml:space="preserve">Espanha - Construção de edifícios residenciais </v>
          </cell>
          <cell r="G58">
            <v>230102</v>
          </cell>
          <cell r="H58" t="str">
            <v xml:space="preserve">A.3.1. Espanha - Construção de edifícios residenciais </v>
          </cell>
        </row>
        <row r="59">
          <cell r="B59" t="str">
            <v>Real estate</v>
          </cell>
          <cell r="C59">
            <v>23</v>
          </cell>
          <cell r="D59" t="str">
            <v xml:space="preserve">Construção de novos edifícios </v>
          </cell>
          <cell r="E59">
            <v>2301</v>
          </cell>
          <cell r="F59" t="str">
            <v xml:space="preserve">Espanha - Construção de edifícios comerciais </v>
          </cell>
          <cell r="G59">
            <v>230103</v>
          </cell>
          <cell r="H59" t="str">
            <v xml:space="preserve">A.3.1. Espanha - Construção de edifícios comerciais </v>
          </cell>
        </row>
        <row r="60">
          <cell r="B60" t="str">
            <v>Real estate</v>
          </cell>
          <cell r="C60">
            <v>23</v>
          </cell>
          <cell r="D60" t="str">
            <v xml:space="preserve">Construção de novos edifícios </v>
          </cell>
          <cell r="E60">
            <v>2301</v>
          </cell>
          <cell r="F60" t="str">
            <v xml:space="preserve">Portugal - Construção de edifícios residenciais </v>
          </cell>
          <cell r="G60">
            <v>230104</v>
          </cell>
          <cell r="H60" t="str">
            <v xml:space="preserve">A.3.1. Portugal - Construção de edifícios residenciais </v>
          </cell>
        </row>
        <row r="61">
          <cell r="B61" t="str">
            <v>Real estate</v>
          </cell>
          <cell r="C61">
            <v>23</v>
          </cell>
          <cell r="D61" t="str">
            <v xml:space="preserve">Construção de novos edifícios </v>
          </cell>
          <cell r="E61">
            <v>2301</v>
          </cell>
          <cell r="F61" t="str">
            <v xml:space="preserve">Portugal - Construção de edifícios comerciais </v>
          </cell>
          <cell r="G61">
            <v>230105</v>
          </cell>
          <cell r="H61" t="str">
            <v xml:space="preserve">A.3.1. Portugal - Construção de edifícios comerciais </v>
          </cell>
        </row>
        <row r="62">
          <cell r="B62" t="str">
            <v>Real estate</v>
          </cell>
          <cell r="C62">
            <v>23</v>
          </cell>
          <cell r="D62" t="str">
            <v xml:space="preserve">Construção de novos edifícios </v>
          </cell>
          <cell r="E62">
            <v>2301</v>
          </cell>
          <cell r="F62" t="str">
            <v xml:space="preserve">Polônia - Construção de edifícios residenciais </v>
          </cell>
          <cell r="G62">
            <v>230106</v>
          </cell>
          <cell r="H62" t="str">
            <v xml:space="preserve">A.3.1. Polônia - Construção de edifícios residenciais </v>
          </cell>
        </row>
        <row r="63">
          <cell r="B63" t="str">
            <v>Real estate</v>
          </cell>
          <cell r="C63">
            <v>23</v>
          </cell>
          <cell r="D63" t="str">
            <v xml:space="preserve">Construção de novos edifícios </v>
          </cell>
          <cell r="E63">
            <v>2301</v>
          </cell>
          <cell r="F63" t="str">
            <v xml:space="preserve">Polônia - Construção de edifícios comerciais </v>
          </cell>
          <cell r="G63">
            <v>230107</v>
          </cell>
          <cell r="H63" t="str">
            <v xml:space="preserve">A.3.1. Polônia - Construção de edifícios comerciais </v>
          </cell>
        </row>
        <row r="64">
          <cell r="B64" t="str">
            <v>Real estate</v>
          </cell>
          <cell r="C64">
            <v>23</v>
          </cell>
          <cell r="D64" t="str">
            <v xml:space="preserve">Construção de novos edifícios </v>
          </cell>
          <cell r="E64">
            <v>2301</v>
          </cell>
          <cell r="F64" t="str">
            <v xml:space="preserve">Reino Unido - Construção de novos edifícios residenciais </v>
          </cell>
          <cell r="G64">
            <v>230108</v>
          </cell>
          <cell r="H64" t="str">
            <v xml:space="preserve">A.3.1. Reino Unido - Construção de novos edifícios residenciais </v>
          </cell>
        </row>
        <row r="65">
          <cell r="B65" t="str">
            <v>Real estate</v>
          </cell>
          <cell r="C65">
            <v>23</v>
          </cell>
          <cell r="D65" t="str">
            <v xml:space="preserve">Construção de novos edifícios </v>
          </cell>
          <cell r="E65">
            <v>2301</v>
          </cell>
          <cell r="F65" t="str">
            <v xml:space="preserve">Outros países  - Construção de edifícios residenciais </v>
          </cell>
          <cell r="G65">
            <v>230109</v>
          </cell>
          <cell r="H65" t="str">
            <v xml:space="preserve">A.3.1. Outros países  - Construção de edifícios residenciais </v>
          </cell>
        </row>
        <row r="66">
          <cell r="B66" t="str">
            <v>Real estate</v>
          </cell>
          <cell r="C66">
            <v>23</v>
          </cell>
          <cell r="D66" t="str">
            <v xml:space="preserve">Construção de novos edifícios </v>
          </cell>
          <cell r="E66">
            <v>2301</v>
          </cell>
          <cell r="F66" t="str">
            <v xml:space="preserve">Outros países e Reino Unido- Construção de edifícios comerciais </v>
          </cell>
          <cell r="G66">
            <v>230110</v>
          </cell>
          <cell r="H66" t="str">
            <v xml:space="preserve">A.3.1. Outros países e Reino Unido- Construção de edifícios comerciais </v>
          </cell>
        </row>
        <row r="67">
          <cell r="B67" t="str">
            <v>Real estate</v>
          </cell>
          <cell r="C67">
            <v>23</v>
          </cell>
          <cell r="D67" t="str">
            <v xml:space="preserve">A.3.2. Renovação dos edifícios existentes </v>
          </cell>
          <cell r="E67">
            <v>2302</v>
          </cell>
          <cell r="F67" t="str">
            <v>N/A</v>
          </cell>
          <cell r="G67" t="str">
            <v>-</v>
          </cell>
          <cell r="H67" t="str">
            <v>N/A</v>
          </cell>
        </row>
        <row r="68">
          <cell r="B68" t="str">
            <v>Real estate</v>
          </cell>
          <cell r="C68">
            <v>23</v>
          </cell>
          <cell r="D68" t="str">
            <v>Aquisição de edifícios</v>
          </cell>
          <cell r="E68">
            <v>2304</v>
          </cell>
          <cell r="F68" t="str">
            <v>Espanha - Aquisição de edifícios residenciais</v>
          </cell>
          <cell r="G68">
            <v>230401</v>
          </cell>
          <cell r="H68" t="str">
            <v>A.3.7. Espanha - Aquisição de edifícios residenciais</v>
          </cell>
        </row>
        <row r="69">
          <cell r="B69" t="str">
            <v>Real estate</v>
          </cell>
          <cell r="C69">
            <v>23</v>
          </cell>
          <cell r="D69" t="str">
            <v>Aquisição de edifícios</v>
          </cell>
          <cell r="E69">
            <v>2304</v>
          </cell>
          <cell r="F69" t="str">
            <v xml:space="preserve">Espanha - Aquisição de edifícios comerciais </v>
          </cell>
          <cell r="G69">
            <v>230402</v>
          </cell>
          <cell r="H69" t="str">
            <v xml:space="preserve">A.3.7. Espanha - Aquisição de edifícios comerciais </v>
          </cell>
        </row>
        <row r="70">
          <cell r="B70" t="str">
            <v>Real estate</v>
          </cell>
          <cell r="C70">
            <v>23</v>
          </cell>
          <cell r="D70" t="str">
            <v>Aquisição de edifícios</v>
          </cell>
          <cell r="E70">
            <v>2304</v>
          </cell>
          <cell r="F70" t="str">
            <v xml:space="preserve">Portugal - Aquisição de edifícios residenciais </v>
          </cell>
          <cell r="G70">
            <v>230403</v>
          </cell>
          <cell r="H70" t="str">
            <v xml:space="preserve">A.3.7. Portugal - Aquisição de edifícios residenciais </v>
          </cell>
        </row>
        <row r="71">
          <cell r="B71" t="str">
            <v>Real estate</v>
          </cell>
          <cell r="C71">
            <v>23</v>
          </cell>
          <cell r="D71" t="str">
            <v>Aquisição de edifícios</v>
          </cell>
          <cell r="E71">
            <v>2304</v>
          </cell>
          <cell r="F71" t="str">
            <v xml:space="preserve">Portugal - Aquisição de edifícios comerciais </v>
          </cell>
          <cell r="G71">
            <v>230404</v>
          </cell>
          <cell r="H71" t="str">
            <v xml:space="preserve">A.3.7. Portugal - Aquisição de edifícios comerciais </v>
          </cell>
        </row>
        <row r="72">
          <cell r="B72" t="str">
            <v>Real estate</v>
          </cell>
          <cell r="C72">
            <v>23</v>
          </cell>
          <cell r="D72" t="str">
            <v>Aquisição de edifícios</v>
          </cell>
          <cell r="E72">
            <v>2304</v>
          </cell>
          <cell r="F72" t="str">
            <v xml:space="preserve">Polônia – Aquisição de edifícios residenciais </v>
          </cell>
          <cell r="G72">
            <v>230405</v>
          </cell>
          <cell r="H72" t="str">
            <v xml:space="preserve">A.3.7. Polônia – Aquisição de edifícios residenciais </v>
          </cell>
        </row>
        <row r="73">
          <cell r="B73" t="str">
            <v>Real estate</v>
          </cell>
          <cell r="C73">
            <v>23</v>
          </cell>
          <cell r="D73" t="str">
            <v>Aquisição de edifícios</v>
          </cell>
          <cell r="E73">
            <v>2304</v>
          </cell>
          <cell r="F73" t="str">
            <v xml:space="preserve">Polônia – Aquisição de edifícios comerciais </v>
          </cell>
          <cell r="G73">
            <v>230406</v>
          </cell>
          <cell r="H73" t="str">
            <v xml:space="preserve">A.3.7 Poland - Acquisition of commercial buildings . Polônia – Aquisição de edifícios comerciais </v>
          </cell>
        </row>
        <row r="74">
          <cell r="B74" t="str">
            <v>Real estate</v>
          </cell>
          <cell r="C74">
            <v>23</v>
          </cell>
          <cell r="D74" t="str">
            <v>Aquisição de edifícios</v>
          </cell>
          <cell r="E74">
            <v>2304</v>
          </cell>
          <cell r="F74" t="str">
            <v xml:space="preserve">Reino Unido – Aquisição de edifícios residenciais </v>
          </cell>
          <cell r="G74">
            <v>230407</v>
          </cell>
          <cell r="H74" t="str">
            <v xml:space="preserve">A.3.7. Reino Unido – Aquisição de edifícios residenciais </v>
          </cell>
        </row>
        <row r="75">
          <cell r="B75" t="str">
            <v>Real estate</v>
          </cell>
          <cell r="C75">
            <v>23</v>
          </cell>
          <cell r="D75" t="str">
            <v>Aquisição de edifícios</v>
          </cell>
          <cell r="E75">
            <v>2304</v>
          </cell>
          <cell r="F75" t="str">
            <v xml:space="preserve">Outros países - aquisição de edifícios residenciais </v>
          </cell>
          <cell r="G75">
            <v>230408</v>
          </cell>
          <cell r="H75" t="str">
            <v xml:space="preserve">A.3.7. Outros países - aquisição de edifícios residenciais </v>
          </cell>
        </row>
        <row r="76">
          <cell r="B76" t="str">
            <v>Real estate</v>
          </cell>
          <cell r="C76">
            <v>23</v>
          </cell>
          <cell r="D76" t="str">
            <v>Aquisição de edifícios</v>
          </cell>
          <cell r="E76">
            <v>2304</v>
          </cell>
          <cell r="F76" t="str">
            <v xml:space="preserve">Outros países e Reino Unido - Aquisição de edifícios comerciais </v>
          </cell>
          <cell r="G76">
            <v>230409</v>
          </cell>
          <cell r="H76" t="str">
            <v xml:space="preserve">A.3.7. Outros países e Reino Unido - Aquisição de edifícios comerciais </v>
          </cell>
        </row>
        <row r="77">
          <cell r="B77" t="str">
            <v>Real estate</v>
          </cell>
          <cell r="C77">
            <v>23</v>
          </cell>
          <cell r="D77" t="str">
            <v xml:space="preserve">Engenharia civil </v>
          </cell>
          <cell r="E77">
            <v>2306</v>
          </cell>
          <cell r="F77" t="str">
            <v xml:space="preserve">Manutenção de estradas e autoestradas </v>
          </cell>
          <cell r="G77">
            <v>230601</v>
          </cell>
          <cell r="H77" t="str">
            <v xml:space="preserve">A.3.9. Manutenção de estradas e autoestradas </v>
          </cell>
        </row>
        <row r="78">
          <cell r="B78" t="str">
            <v>Real estate</v>
          </cell>
          <cell r="C78">
            <v>23</v>
          </cell>
          <cell r="D78" t="str">
            <v xml:space="preserve">Engenharia civil </v>
          </cell>
          <cell r="E78">
            <v>2306</v>
          </cell>
          <cell r="F78" t="str">
            <v xml:space="preserve">Uso de concreto na engenharia civil </v>
          </cell>
          <cell r="G78">
            <v>230602</v>
          </cell>
          <cell r="H78" t="str">
            <v xml:space="preserve">A.3.10. Uso de concreto na engenharia civil </v>
          </cell>
        </row>
        <row r="79">
          <cell r="B79" t="str">
            <v>Real estate</v>
          </cell>
          <cell r="C79">
            <v>23</v>
          </cell>
          <cell r="D79" t="str">
            <v xml:space="preserve">Instalação, manutenção e reparação </v>
          </cell>
          <cell r="E79">
            <v>2303</v>
          </cell>
          <cell r="F79" t="str">
            <v xml:space="preserve">Equipamento de eficiência energética </v>
          </cell>
          <cell r="G79">
            <v>230301</v>
          </cell>
          <cell r="H79" t="str">
            <v xml:space="preserve">A.3.3. Equipamento de eficiência energética </v>
          </cell>
        </row>
        <row r="80">
          <cell r="B80" t="str">
            <v>Real estate</v>
          </cell>
          <cell r="C80">
            <v>23</v>
          </cell>
          <cell r="D80" t="str">
            <v xml:space="preserve">Instalação, manutenção e reparação </v>
          </cell>
          <cell r="E80">
            <v>2303</v>
          </cell>
          <cell r="F80" t="str">
            <v xml:space="preserve">Estações de carregamento de veículos elétricos (edifícios e estacionamento) </v>
          </cell>
          <cell r="G80">
            <v>230302</v>
          </cell>
          <cell r="H80" t="str">
            <v xml:space="preserve">A.3.4. Estações de carregamento de veículos elétricos (edifícios e estacionamento) </v>
          </cell>
        </row>
        <row r="81">
          <cell r="B81" t="str">
            <v>Real estate</v>
          </cell>
          <cell r="C81">
            <v>23</v>
          </cell>
          <cell r="D81" t="str">
            <v xml:space="preserve">Instalação, manutenção e reparação </v>
          </cell>
          <cell r="E81">
            <v>2303</v>
          </cell>
          <cell r="F81" t="str">
            <v xml:space="preserve">Instrumentos e dispositivos para o desempenho energético dos edifícios </v>
          </cell>
          <cell r="G81">
            <v>230303</v>
          </cell>
          <cell r="H81" t="str">
            <v xml:space="preserve">A.3.5. Instrumentos e dispositivos para o desempenho energético dos edifícios </v>
          </cell>
        </row>
        <row r="82">
          <cell r="B82" t="str">
            <v>Real estate</v>
          </cell>
          <cell r="C82">
            <v>23</v>
          </cell>
          <cell r="D82" t="str">
            <v xml:space="preserve">Instalação, manutenção e reparação </v>
          </cell>
          <cell r="E82">
            <v>2303</v>
          </cell>
          <cell r="F82" t="str">
            <v xml:space="preserve">Tecnologias de energia renovável </v>
          </cell>
          <cell r="G82">
            <v>230304</v>
          </cell>
          <cell r="H82" t="str">
            <v xml:space="preserve">A.3.6. Tecnologias de energia renovável </v>
          </cell>
        </row>
        <row r="83">
          <cell r="B83" t="str">
            <v>Real estate</v>
          </cell>
          <cell r="C83">
            <v>23</v>
          </cell>
          <cell r="D83" t="str">
            <v xml:space="preserve">A.3.8. Demolição de edifícios e outras estruturas </v>
          </cell>
          <cell r="E83">
            <v>2305</v>
          </cell>
          <cell r="F83" t="str">
            <v>N/A</v>
          </cell>
          <cell r="G83" t="str">
            <v>N/A</v>
          </cell>
          <cell r="H83" t="str">
            <v>N/A</v>
          </cell>
        </row>
        <row r="84">
          <cell r="B84" t="str">
            <v>Água e Resíduos</v>
          </cell>
          <cell r="C84">
            <v>26</v>
          </cell>
          <cell r="D84" t="str">
            <v>Águas residuais</v>
          </cell>
          <cell r="E84">
            <v>2602</v>
          </cell>
          <cell r="F84" t="str">
            <v>Recolha e tratamento de águas residuais</v>
          </cell>
          <cell r="G84">
            <v>260201</v>
          </cell>
          <cell r="H84" t="str">
            <v>A.6.3. Recolha e tratamento de águas residuais</v>
          </cell>
        </row>
        <row r="85">
          <cell r="B85" t="str">
            <v>Água e Resíduos</v>
          </cell>
          <cell r="C85">
            <v>26</v>
          </cell>
          <cell r="D85" t="str">
            <v>Águas residuais</v>
          </cell>
          <cell r="E85">
            <v>2602</v>
          </cell>
          <cell r="F85" t="str">
            <v xml:space="preserve">Tratamento de águas residuais urbanas </v>
          </cell>
          <cell r="G85">
            <v>260202</v>
          </cell>
          <cell r="H85" t="str">
            <v xml:space="preserve">A.6.14. Tratamento de águas residuais urbanas </v>
          </cell>
        </row>
        <row r="86">
          <cell r="B86" t="str">
            <v>Água e Resíduos</v>
          </cell>
          <cell r="C86">
            <v>26</v>
          </cell>
          <cell r="D86" t="str">
            <v>Águas residuais</v>
          </cell>
          <cell r="E86">
            <v>2602</v>
          </cell>
          <cell r="F86" t="str">
            <v>Sistemas de drenagem urbana sustentável (SUDS)</v>
          </cell>
          <cell r="G86">
            <v>260203</v>
          </cell>
          <cell r="H86" t="str">
            <v>A.6.15. Sistemas de drenagem urbana sustentável (SUDS)</v>
          </cell>
        </row>
        <row r="87">
          <cell r="B87" t="str">
            <v>Água e Resíduos</v>
          </cell>
          <cell r="C87">
            <v>26</v>
          </cell>
          <cell r="D87" t="str">
            <v>Águas residuais</v>
          </cell>
          <cell r="E87">
            <v>2602</v>
          </cell>
          <cell r="F87" t="str">
            <v xml:space="preserve">Recuperação de fósforo das águas residuais </v>
          </cell>
          <cell r="G87">
            <v>260204</v>
          </cell>
          <cell r="H87" t="str">
            <v xml:space="preserve">A.6.16. Recuperação de fósforo das águas residuais </v>
          </cell>
        </row>
        <row r="88">
          <cell r="B88" t="str">
            <v>Água e Resíduos</v>
          </cell>
          <cell r="C88">
            <v>26</v>
          </cell>
          <cell r="D88" t="str">
            <v>Águas residuais</v>
          </cell>
          <cell r="E88">
            <v>2602</v>
          </cell>
          <cell r="F88" t="str">
            <v xml:space="preserve">Produção de recursos hídricos alternativos (sem consumo humano) </v>
          </cell>
          <cell r="G88">
            <v>260205</v>
          </cell>
          <cell r="H88" t="str">
            <v xml:space="preserve">A.6.17. Produção de recursos hídricos alternativos (sem consumo humano) </v>
          </cell>
        </row>
        <row r="89">
          <cell r="B89" t="str">
            <v>Água e Resíduos</v>
          </cell>
          <cell r="C89">
            <v>26</v>
          </cell>
          <cell r="D89" t="str">
            <v>Waste management</v>
          </cell>
          <cell r="E89">
            <v>2604</v>
          </cell>
          <cell r="F89" t="str">
            <v xml:space="preserve">Resíduos não perigosos - Recolha/transporte (frações segregadas da fonte) </v>
          </cell>
          <cell r="G89">
            <v>260401</v>
          </cell>
          <cell r="H89" t="str">
            <v xml:space="preserve">A.6.4. Resíduos não perigosos - Recolha/transporte (frações segregadas da fonte) </v>
          </cell>
        </row>
        <row r="90">
          <cell r="B90" t="str">
            <v>Água e Resíduos</v>
          </cell>
          <cell r="C90">
            <v>26</v>
          </cell>
          <cell r="D90" t="str">
            <v>Gestão de resíduos</v>
          </cell>
          <cell r="E90">
            <v>2604</v>
          </cell>
          <cell r="F90" t="str">
            <v xml:space="preserve">Resíduos não perigosos - recuperação de materiais </v>
          </cell>
          <cell r="G90">
            <v>260402</v>
          </cell>
          <cell r="H90" t="str">
            <v xml:space="preserve">A.6.8. Resíduos não perigosos - recuperação de materiais </v>
          </cell>
        </row>
        <row r="91">
          <cell r="B91" t="str">
            <v>Água e Resíduos</v>
          </cell>
          <cell r="C91">
            <v>26</v>
          </cell>
          <cell r="D91" t="str">
            <v>Gestão de resíduos</v>
          </cell>
          <cell r="E91">
            <v>2604</v>
          </cell>
          <cell r="F91" t="str">
            <v xml:space="preserve">Resíduos não perigosos e perigosos - recolha/transporte </v>
          </cell>
          <cell r="G91">
            <v>260403</v>
          </cell>
          <cell r="H91" t="str">
            <v xml:space="preserve">A.6.18. Resíduos não perigosos e perigosos - recolha/transporte </v>
          </cell>
        </row>
        <row r="92">
          <cell r="B92" t="str">
            <v>Água e Resíduos</v>
          </cell>
          <cell r="C92">
            <v>26</v>
          </cell>
          <cell r="D92" t="str">
            <v>Gestão de resíduos</v>
          </cell>
          <cell r="E92">
            <v>2604</v>
          </cell>
          <cell r="F92" t="str">
            <v xml:space="preserve">Resíduos perigosos - tratamento </v>
          </cell>
          <cell r="G92">
            <v>260404</v>
          </cell>
          <cell r="H92" t="str">
            <v xml:space="preserve">A.6.19. Resíduos perigosos - tratamento </v>
          </cell>
        </row>
        <row r="93">
          <cell r="B93" t="str">
            <v>Água e Resíduos</v>
          </cell>
          <cell r="C93">
            <v>26</v>
          </cell>
          <cell r="D93" t="str">
            <v>Gestão de resíduos</v>
          </cell>
          <cell r="E93">
            <v>2604</v>
          </cell>
          <cell r="F93" t="str">
            <v xml:space="preserve">Despoluição/desmantelamento de produtos em fim de vida </v>
          </cell>
          <cell r="G93">
            <v>260405</v>
          </cell>
          <cell r="H93" t="str">
            <v xml:space="preserve">A.6.22. Despoluição/desmantelamento de produtos em fim de vida </v>
          </cell>
        </row>
        <row r="94">
          <cell r="B94" t="str">
            <v>Água e Resíduos</v>
          </cell>
          <cell r="C94">
            <v>26</v>
          </cell>
          <cell r="D94" t="str">
            <v>Gestão de resíduos</v>
          </cell>
          <cell r="E94">
            <v>2604</v>
          </cell>
          <cell r="F94" t="str">
            <v xml:space="preserve">Resíduos não perigosos - separação </v>
          </cell>
          <cell r="G94">
            <v>260406</v>
          </cell>
          <cell r="H94" t="str">
            <v xml:space="preserve">A.6.21. Resíduos não perigosos - separação </v>
          </cell>
        </row>
        <row r="95">
          <cell r="B95" t="str">
            <v>Água e Resíduos</v>
          </cell>
          <cell r="C95">
            <v>26</v>
          </cell>
          <cell r="D95" t="str">
            <v>Gestão de resíduos</v>
          </cell>
          <cell r="E95">
            <v>2604</v>
          </cell>
          <cell r="F95" t="str">
            <v xml:space="preserve">Resíduos perigosos - Recolha/transporte </v>
          </cell>
          <cell r="G95">
            <v>260407</v>
          </cell>
          <cell r="H95" t="str">
            <v xml:space="preserve">A.6.23. Resíduos perigosos - Recolha/transporte </v>
          </cell>
        </row>
        <row r="96">
          <cell r="B96" t="str">
            <v>Água e Resíduos</v>
          </cell>
          <cell r="C96">
            <v>26</v>
          </cell>
          <cell r="D96" t="str">
            <v xml:space="preserve">Gestão de bio-resíduos </v>
          </cell>
          <cell r="E96">
            <v>2603</v>
          </cell>
          <cell r="F96" t="str">
            <v xml:space="preserve">Lodo de esgoto - digestão anaeróbica </v>
          </cell>
          <cell r="G96">
            <v>260301</v>
          </cell>
          <cell r="H96" t="str">
            <v xml:space="preserve">A.6.5. Lodo de esgoto - digestão anaeróbica </v>
          </cell>
        </row>
        <row r="97">
          <cell r="B97" t="str">
            <v>Água e Resíduos</v>
          </cell>
          <cell r="C97">
            <v>26</v>
          </cell>
          <cell r="D97" t="str">
            <v xml:space="preserve">Gestão de bio-resíduos </v>
          </cell>
          <cell r="E97">
            <v>2603</v>
          </cell>
          <cell r="F97" t="str">
            <v xml:space="preserve">Bio-resíduos - digestão anaeróbica </v>
          </cell>
          <cell r="G97">
            <v>260302</v>
          </cell>
          <cell r="H97" t="str">
            <v xml:space="preserve">A.6.6. Bio-resíduos - digestão anaeróbica </v>
          </cell>
        </row>
        <row r="98">
          <cell r="B98" t="str">
            <v>Água e Resíduos</v>
          </cell>
          <cell r="C98">
            <v>26</v>
          </cell>
          <cell r="D98" t="str">
            <v xml:space="preserve">Gestão de bio-resíduos </v>
          </cell>
          <cell r="E98">
            <v>2603</v>
          </cell>
          <cell r="F98" t="str">
            <v xml:space="preserve">Bio-resíduos - compostagem </v>
          </cell>
          <cell r="G98">
            <v>260303</v>
          </cell>
          <cell r="H98" t="str">
            <v xml:space="preserve">A.6.7. Bio-resíduos - compostagem </v>
          </cell>
        </row>
        <row r="99">
          <cell r="B99" t="str">
            <v>Água e Resíduos</v>
          </cell>
          <cell r="C99">
            <v>26</v>
          </cell>
          <cell r="D99" t="str">
            <v xml:space="preserve">Gestão de bio-resíduos </v>
          </cell>
          <cell r="E99">
            <v>2603</v>
          </cell>
          <cell r="F99" t="str">
            <v xml:space="preserve">Captação e utilização de bio-gás </v>
          </cell>
          <cell r="G99">
            <v>260304</v>
          </cell>
          <cell r="H99" t="str">
            <v xml:space="preserve">A.6.9. Captação e utilização de bio-gás </v>
          </cell>
        </row>
        <row r="100">
          <cell r="B100" t="str">
            <v>Água e Resíduos</v>
          </cell>
          <cell r="C100">
            <v>26</v>
          </cell>
          <cell r="D100" t="str">
            <v xml:space="preserve">Gestão de bio-resíduos </v>
          </cell>
          <cell r="E100">
            <v>2603</v>
          </cell>
          <cell r="F100" t="str">
            <v xml:space="preserve">Bio-resíduos - recuperação </v>
          </cell>
          <cell r="G100">
            <v>260305</v>
          </cell>
          <cell r="H100" t="str">
            <v xml:space="preserve">A.6.20. Bio-resíduos - recuperação </v>
          </cell>
        </row>
        <row r="101">
          <cell r="B101" t="str">
            <v>Água e Resíduos</v>
          </cell>
          <cell r="C101">
            <v>26</v>
          </cell>
          <cell r="D101" t="str">
            <v xml:space="preserve">Abastecimento de água </v>
          </cell>
          <cell r="E101">
            <v>2601</v>
          </cell>
          <cell r="F101" t="str">
            <v xml:space="preserve">Sistemas de recolha, tratamento e abastecimento de água </v>
          </cell>
          <cell r="G101">
            <v>260101</v>
          </cell>
          <cell r="H101" t="str">
            <v xml:space="preserve">A.6.1. Sistemas de recolha, tratamento e abastecimento de água </v>
          </cell>
        </row>
        <row r="102">
          <cell r="B102" t="str">
            <v>Água e Resíduos</v>
          </cell>
          <cell r="C102">
            <v>26</v>
          </cell>
          <cell r="D102" t="str">
            <v xml:space="preserve">Abastecimento de água </v>
          </cell>
          <cell r="E102">
            <v>2601</v>
          </cell>
          <cell r="F102" t="str">
            <v xml:space="preserve">Dessalinização </v>
          </cell>
          <cell r="G102">
            <v>260102</v>
          </cell>
          <cell r="H102" t="str">
            <v>A.6.12. Dessalinização</v>
          </cell>
        </row>
        <row r="103">
          <cell r="B103" t="str">
            <v>Água e Resíduos</v>
          </cell>
          <cell r="C103">
            <v>26</v>
          </cell>
          <cell r="D103" t="str">
            <v xml:space="preserve">Abastecimento de água </v>
          </cell>
          <cell r="E103">
            <v>2601</v>
          </cell>
          <cell r="F103" t="str">
            <v xml:space="preserve">Abastecimento de água </v>
          </cell>
          <cell r="G103">
            <v>260103</v>
          </cell>
          <cell r="H103" t="str">
            <v xml:space="preserve">A.6.13. Abastecimento de água </v>
          </cell>
        </row>
        <row r="104">
          <cell r="B104" t="str">
            <v>Água e Resíduos</v>
          </cell>
          <cell r="C104">
            <v>26</v>
          </cell>
          <cell r="D104" t="str">
            <v xml:space="preserve">Abastecimento de água </v>
          </cell>
          <cell r="E104">
            <v>2601</v>
          </cell>
          <cell r="F104" t="str">
            <v xml:space="preserve">Gestão Sustentável da Água </v>
          </cell>
          <cell r="G104">
            <v>260104</v>
          </cell>
          <cell r="H104" t="str">
            <v xml:space="preserve">A.6.2. Gestão Sustentável da Água </v>
          </cell>
        </row>
        <row r="105">
          <cell r="B105" t="str">
            <v>Água e Resíduos</v>
          </cell>
          <cell r="C105">
            <v>26</v>
          </cell>
          <cell r="D105" t="str">
            <v>Remediação</v>
          </cell>
          <cell r="E105">
            <v>2605</v>
          </cell>
          <cell r="F105" t="str">
            <v xml:space="preserve">Remediação - aterros legalmente não conformes, lixeiras abandonadas/ilegais de resíduos </v>
          </cell>
          <cell r="G105">
            <v>260501</v>
          </cell>
          <cell r="H105" t="str">
            <v xml:space="preserve">A.6.24. Remediação - aterros legalmente não conformes, lixeiras abandonadas/ilegais de resíduos </v>
          </cell>
        </row>
        <row r="106">
          <cell r="B106" t="str">
            <v>Água e Resíduos</v>
          </cell>
          <cell r="C106">
            <v>26</v>
          </cell>
          <cell r="D106" t="str">
            <v>Remediação</v>
          </cell>
          <cell r="E106">
            <v>2605</v>
          </cell>
          <cell r="F106" t="str">
            <v xml:space="preserve">Remediação - locais e áreas contaminadas </v>
          </cell>
          <cell r="G106">
            <v>260502</v>
          </cell>
          <cell r="H106" t="str">
            <v xml:space="preserve">A.6.25. Remediação - locais e áreas contaminadas </v>
          </cell>
        </row>
        <row r="107">
          <cell r="B107" t="str">
            <v>Água e Resíduos</v>
          </cell>
          <cell r="C107">
            <v>26</v>
          </cell>
          <cell r="D107" t="str">
            <v xml:space="preserve">Transporte e armazenamento de carbono </v>
          </cell>
          <cell r="E107">
            <v>2606</v>
          </cell>
          <cell r="F107" t="str">
            <v xml:space="preserve">Transporte de CO2 </v>
          </cell>
          <cell r="G107">
            <v>260601</v>
          </cell>
          <cell r="H107" t="str">
            <v>A.6.10. Transporte de CO2</v>
          </cell>
        </row>
        <row r="108">
          <cell r="B108" t="str">
            <v>Água e Resíduos</v>
          </cell>
          <cell r="C108">
            <v>26</v>
          </cell>
          <cell r="D108" t="str">
            <v xml:space="preserve">Transporte e armazenamento de carbono </v>
          </cell>
          <cell r="E108">
            <v>2606</v>
          </cell>
          <cell r="F108" t="str">
            <v xml:space="preserve">Armazenamento subterrâneo de CO2 </v>
          </cell>
          <cell r="G108">
            <v>260602</v>
          </cell>
          <cell r="H108" t="str">
            <v xml:space="preserve">A.6.11. Armazenamento subterrâneo de CO2 </v>
          </cell>
        </row>
        <row r="109">
          <cell r="B109" t="str">
            <v>Água e Resíduos</v>
          </cell>
          <cell r="C109">
            <v>26</v>
          </cell>
          <cell r="D109" t="str">
            <v>Gestão de resíduos</v>
          </cell>
          <cell r="E109">
            <v>2604</v>
          </cell>
          <cell r="F109" t="str">
            <v>Utilização de materiais reciclados</v>
          </cell>
          <cell r="G109">
            <v>260408</v>
          </cell>
          <cell r="H109" t="str">
            <v>A.6.26. Materiais reciclados</v>
          </cell>
        </row>
        <row r="110">
          <cell r="B110" t="str">
            <v>Agricultura, silvicultura e pescas</v>
          </cell>
          <cell r="C110">
            <v>27</v>
          </cell>
          <cell r="D110" t="str">
            <v xml:space="preserve">Agricultura sustentável </v>
          </cell>
          <cell r="E110">
            <v>2703</v>
          </cell>
          <cell r="F110" t="str">
            <v xml:space="preserve">Cultivo sustentável de culturas </v>
          </cell>
          <cell r="G110">
            <v>270301</v>
          </cell>
          <cell r="H110" t="str">
            <v xml:space="preserve">A.7.7. Cultivo sustentável de culturas </v>
          </cell>
        </row>
        <row r="111">
          <cell r="B111" t="str">
            <v>Agricultura, silvicultura e pescas</v>
          </cell>
          <cell r="C111">
            <v>27</v>
          </cell>
          <cell r="D111" t="str">
            <v xml:space="preserve">Agricultura sustentável </v>
          </cell>
          <cell r="E111">
            <v>2703</v>
          </cell>
          <cell r="F111" t="str">
            <v xml:space="preserve">Remediação do solo </v>
          </cell>
          <cell r="G111">
            <v>270302</v>
          </cell>
          <cell r="H111" t="str">
            <v xml:space="preserve">A.7.8. Remediação do solo </v>
          </cell>
        </row>
        <row r="112">
          <cell r="B112" t="str">
            <v>Agricultura, silvicultura e pescas</v>
          </cell>
          <cell r="C112">
            <v>27</v>
          </cell>
          <cell r="D112" t="str">
            <v xml:space="preserve">Agricultura sustentável </v>
          </cell>
          <cell r="E112">
            <v>2703</v>
          </cell>
          <cell r="F112" t="str">
            <v xml:space="preserve">Tecnologias agrícolas de baixo carbono </v>
          </cell>
          <cell r="G112">
            <v>270303</v>
          </cell>
          <cell r="H112" t="str">
            <v xml:space="preserve">A.7.9. Tecnologias agrícolas de baixo carbono </v>
          </cell>
        </row>
        <row r="113">
          <cell r="B113" t="str">
            <v>Agricultura, silvicultura e pescas</v>
          </cell>
          <cell r="C113">
            <v>27</v>
          </cell>
          <cell r="D113" t="str">
            <v xml:space="preserve">Agricultura sustentável </v>
          </cell>
          <cell r="E113">
            <v>2703</v>
          </cell>
          <cell r="F113" t="str">
            <v xml:space="preserve">Máquinas elétricas eficientes (Expt. tecnologia para produção pecuária) </v>
          </cell>
          <cell r="G113">
            <v>270304</v>
          </cell>
          <cell r="H113" t="str">
            <v xml:space="preserve">A.7.10. Máquinas elétricas eficientes (Expt. tecnologia para produção pecuária) </v>
          </cell>
        </row>
        <row r="114">
          <cell r="B114" t="str">
            <v>Agricultura, silvicultura e pescas</v>
          </cell>
          <cell r="C114">
            <v>27</v>
          </cell>
          <cell r="D114" t="str">
            <v xml:space="preserve">Agricultura sustentável </v>
          </cell>
          <cell r="E114">
            <v>2703</v>
          </cell>
          <cell r="F114" t="str">
            <v xml:space="preserve">Agricultura regenerativa </v>
          </cell>
          <cell r="G114">
            <v>270305</v>
          </cell>
          <cell r="H114" t="str">
            <v xml:space="preserve">A.7.11. Agricultura regenerativa </v>
          </cell>
        </row>
        <row r="115">
          <cell r="B115" t="str">
            <v>Agricultura, silvicultura e pescas</v>
          </cell>
          <cell r="C115">
            <v>27</v>
          </cell>
          <cell r="D115" t="str">
            <v xml:space="preserve">Agricultura sustentável </v>
          </cell>
          <cell r="E115">
            <v>2703</v>
          </cell>
          <cell r="F115" t="str">
            <v xml:space="preserve">Estruturas agrícolas </v>
          </cell>
          <cell r="G115">
            <v>270306</v>
          </cell>
          <cell r="H115" t="str">
            <v xml:space="preserve">A.7.12. Estruturas agrícolas </v>
          </cell>
        </row>
        <row r="116">
          <cell r="B116" t="str">
            <v>Agricultura, silvicultura e pescas</v>
          </cell>
          <cell r="C116">
            <v>27</v>
          </cell>
          <cell r="D116" t="str">
            <v xml:space="preserve">Agricultura sustentável </v>
          </cell>
          <cell r="E116">
            <v>2703</v>
          </cell>
          <cell r="F116" t="str">
            <v>Integrated Crop-Livestock-Forestry Systems (ICLFS)</v>
          </cell>
          <cell r="G116">
            <v>270307</v>
          </cell>
          <cell r="H116" t="str">
            <v>A.7.13. Integrated Crop-Livestock-Forestry Systems (ICLFS)</v>
          </cell>
        </row>
        <row r="117">
          <cell r="B117" t="str">
            <v>Agricultura, silvicultura e pescas</v>
          </cell>
          <cell r="C117">
            <v>27</v>
          </cell>
          <cell r="D117" t="str">
            <v xml:space="preserve">Agricultura sustentável </v>
          </cell>
          <cell r="E117">
            <v>2703</v>
          </cell>
          <cell r="F117" t="str">
            <v xml:space="preserve">Produção sustentável de alimentos </v>
          </cell>
          <cell r="G117">
            <v>270308</v>
          </cell>
          <cell r="H117" t="str">
            <v xml:space="preserve">A.7.14. Produção sustentável de alimentos </v>
          </cell>
        </row>
        <row r="118">
          <cell r="B118" t="str">
            <v>Agricultura, silvicultura e pescas</v>
          </cell>
          <cell r="C118">
            <v>27</v>
          </cell>
          <cell r="D118" t="str">
            <v xml:space="preserve">Agricultura sustentável </v>
          </cell>
          <cell r="E118">
            <v>2703</v>
          </cell>
          <cell r="F118" t="str">
            <v xml:space="preserve">Produção agrícola sustentável </v>
          </cell>
          <cell r="G118">
            <v>270309</v>
          </cell>
          <cell r="H118" t="str">
            <v xml:space="preserve">A.7.18. Produção agrícola sustentável </v>
          </cell>
        </row>
        <row r="119">
          <cell r="B119" t="str">
            <v>Agricultura, silvicultura e pescas</v>
          </cell>
          <cell r="C119">
            <v>27</v>
          </cell>
          <cell r="D119" t="str">
            <v xml:space="preserve">Agricultura sustentável </v>
          </cell>
          <cell r="E119">
            <v>2703</v>
          </cell>
          <cell r="F119" t="str">
            <v>Agricultura organica</v>
          </cell>
          <cell r="G119">
            <v>270310</v>
          </cell>
          <cell r="H119" t="str">
            <v>A.7.19. Agricultura organica</v>
          </cell>
        </row>
        <row r="120">
          <cell r="B120" t="str">
            <v>Agricultura, silvicultura e pescas</v>
          </cell>
          <cell r="C120">
            <v>27</v>
          </cell>
          <cell r="D120" t="str">
            <v xml:space="preserve">Agricultura sustentável </v>
          </cell>
          <cell r="E120">
            <v>2703</v>
          </cell>
          <cell r="F120" t="str">
            <v xml:space="preserve">Compra e transformação de terras sustentáveis </v>
          </cell>
          <cell r="G120">
            <v>270311</v>
          </cell>
          <cell r="H120" t="str">
            <v xml:space="preserve">A.7.20. Compra e transformação de terras sustentáveis </v>
          </cell>
        </row>
        <row r="121">
          <cell r="B121" t="str">
            <v>Agricultura, silvicultura e pescas</v>
          </cell>
          <cell r="C121">
            <v>27</v>
          </cell>
          <cell r="D121" t="str">
            <v xml:space="preserve">Florestação / Reflorestação </v>
          </cell>
          <cell r="E121">
            <v>2701</v>
          </cell>
          <cell r="F121" t="str">
            <v xml:space="preserve">Florestação </v>
          </cell>
          <cell r="G121">
            <v>270101</v>
          </cell>
          <cell r="H121" t="str">
            <v>A.7.1. Florestação</v>
          </cell>
        </row>
        <row r="122">
          <cell r="B122" t="str">
            <v>Agricultura, silvicultura e pescas</v>
          </cell>
          <cell r="C122">
            <v>27</v>
          </cell>
          <cell r="D122" t="str">
            <v xml:space="preserve">Florestação / Reflorestação </v>
          </cell>
          <cell r="E122">
            <v>2701</v>
          </cell>
          <cell r="F122" t="str">
            <v xml:space="preserve">Gestão florestal </v>
          </cell>
          <cell r="G122">
            <v>270102</v>
          </cell>
          <cell r="H122" t="str">
            <v xml:space="preserve">A.7.3. Gestão florestal </v>
          </cell>
        </row>
        <row r="123">
          <cell r="B123" t="str">
            <v>Agricultura, silvicultura e pescas</v>
          </cell>
          <cell r="C123">
            <v>27</v>
          </cell>
          <cell r="D123" t="str">
            <v xml:space="preserve">Conservação da terra, restauração, remediação do solo </v>
          </cell>
          <cell r="E123">
            <v>2702</v>
          </cell>
          <cell r="F123" t="str">
            <v xml:space="preserve">Reabilitação e restauração de florestas </v>
          </cell>
          <cell r="G123">
            <v>270201</v>
          </cell>
          <cell r="H123" t="str">
            <v xml:space="preserve">A.7.2. Reabilitação e restauração de florestas </v>
          </cell>
        </row>
        <row r="124">
          <cell r="B124" t="str">
            <v>Agricultura, silvicultura e pescas</v>
          </cell>
          <cell r="C124">
            <v>27</v>
          </cell>
          <cell r="D124" t="str">
            <v xml:space="preserve">Conservação da terra, restauração, remediação do solo </v>
          </cell>
          <cell r="E124">
            <v>2702</v>
          </cell>
          <cell r="F124" t="str">
            <v xml:space="preserve">Conservação florestal </v>
          </cell>
          <cell r="G124">
            <v>270202</v>
          </cell>
          <cell r="H124" t="str">
            <v xml:space="preserve">A.7.4. Conservação florestal </v>
          </cell>
        </row>
        <row r="125">
          <cell r="B125" t="str">
            <v>Agricultura, silvicultura e pescas</v>
          </cell>
          <cell r="C125">
            <v>27</v>
          </cell>
          <cell r="D125" t="str">
            <v xml:space="preserve">Conservação da terra, restauração, remediação do solo </v>
          </cell>
          <cell r="E125">
            <v>2702</v>
          </cell>
          <cell r="F125" t="str">
            <v xml:space="preserve">Restauração de zonas húmidas </v>
          </cell>
          <cell r="G125">
            <v>270203</v>
          </cell>
          <cell r="H125" t="str">
            <v xml:space="preserve">A.7.5. Restauração de zonas húmidas </v>
          </cell>
        </row>
        <row r="126">
          <cell r="B126" t="str">
            <v>Agricultura, silvicultura e pescas</v>
          </cell>
          <cell r="C126">
            <v>27</v>
          </cell>
          <cell r="D126" t="str">
            <v xml:space="preserve">Conservação da terra, restauração, remediação do solo </v>
          </cell>
          <cell r="E126">
            <v>2702</v>
          </cell>
          <cell r="F126" t="str">
            <v xml:space="preserve">Conservação/restauro de habitats, ecossistemas e espécies </v>
          </cell>
          <cell r="G126">
            <v>270204</v>
          </cell>
          <cell r="H126" t="str">
            <v xml:space="preserve">A.7.6. Conservação/restauro de habitats, ecossistemas e espécies </v>
          </cell>
        </row>
        <row r="127">
          <cell r="B127" t="str">
            <v>Agricultura, silvicultura e pescas</v>
          </cell>
          <cell r="C127">
            <v>27</v>
          </cell>
          <cell r="D127" t="str">
            <v xml:space="preserve">A.7.17. Sequestro de carbono </v>
          </cell>
          <cell r="E127">
            <v>2706</v>
          </cell>
          <cell r="F127" t="str">
            <v>N/A</v>
          </cell>
          <cell r="G127" t="str">
            <v>-</v>
          </cell>
          <cell r="H127" t="str">
            <v>N/A</v>
          </cell>
        </row>
        <row r="128">
          <cell r="B128" t="str">
            <v>Agricultura, silvicultura e pescas</v>
          </cell>
          <cell r="C128">
            <v>27</v>
          </cell>
          <cell r="D128" t="str">
            <v>A.7.15. Pecuária</v>
          </cell>
          <cell r="E128">
            <v>2704</v>
          </cell>
          <cell r="F128" t="str">
            <v>N/A</v>
          </cell>
          <cell r="G128" t="str">
            <v>-</v>
          </cell>
          <cell r="H128" t="str">
            <v>N/A</v>
          </cell>
        </row>
        <row r="129">
          <cell r="B129" t="str">
            <v>Agricultura, silvicultura e pescas</v>
          </cell>
          <cell r="C129">
            <v>27</v>
          </cell>
          <cell r="D129" t="str">
            <v xml:space="preserve">A.7.16. Aquacultura e pesca sustentáveis </v>
          </cell>
          <cell r="E129">
            <v>2705</v>
          </cell>
          <cell r="F129" t="str">
            <v>N/A</v>
          </cell>
          <cell r="G129" t="str">
            <v>-</v>
          </cell>
          <cell r="H129" t="str">
            <v>N/A</v>
          </cell>
        </row>
        <row r="130">
          <cell r="B130" t="str">
            <v>Indústrias transformadoras</v>
          </cell>
          <cell r="C130">
            <v>28</v>
          </cell>
          <cell r="D130" t="str">
            <v>Transporte</v>
          </cell>
          <cell r="E130">
            <v>2803</v>
          </cell>
          <cell r="F130" t="str">
            <v xml:space="preserve">Tecnologias de baixo carbono para transporte </v>
          </cell>
          <cell r="G130">
            <v>280301</v>
          </cell>
          <cell r="H130" t="str">
            <v xml:space="preserve">A.8.4. Tecnologias de baixo carbono para transporte </v>
          </cell>
        </row>
        <row r="131">
          <cell r="B131" t="str">
            <v>Indústrias transformadoras</v>
          </cell>
          <cell r="C131">
            <v>28</v>
          </cell>
          <cell r="D131" t="str">
            <v>Transporte</v>
          </cell>
          <cell r="E131">
            <v>2803</v>
          </cell>
          <cell r="F131" t="str">
            <v xml:space="preserve">Fabricação de componentes de mobilidade </v>
          </cell>
          <cell r="G131">
            <v>280302</v>
          </cell>
          <cell r="H131" t="str">
            <v xml:space="preserve">A.8.18. Fabricação de componentes de mobilidade </v>
          </cell>
        </row>
        <row r="132">
          <cell r="B132" t="str">
            <v>Indústrias transformadoras</v>
          </cell>
          <cell r="C132">
            <v>28</v>
          </cell>
          <cell r="D132" t="str">
            <v>Transporte</v>
          </cell>
          <cell r="E132">
            <v>2803</v>
          </cell>
          <cell r="F132" t="str">
            <v xml:space="preserve">Fabricação de componentes de material circulante ferroviário </v>
          </cell>
          <cell r="G132">
            <v>280303</v>
          </cell>
          <cell r="H132" t="str">
            <v xml:space="preserve">A.8.19. Fabrico de componentes de material circulante ferroviário </v>
          </cell>
        </row>
        <row r="133">
          <cell r="B133" t="str">
            <v>Indústrias transformadoras</v>
          </cell>
          <cell r="C133">
            <v>28</v>
          </cell>
          <cell r="D133" t="str">
            <v>Transporte</v>
          </cell>
          <cell r="E133">
            <v>2803</v>
          </cell>
          <cell r="F133" t="str">
            <v xml:space="preserve">Fabricação de aeronaves </v>
          </cell>
          <cell r="G133">
            <v>280304</v>
          </cell>
          <cell r="H133" t="str">
            <v xml:space="preserve">A.8.21. Fabricação de aeronaves </v>
          </cell>
        </row>
        <row r="134">
          <cell r="B134" t="str">
            <v>Indústrias transformadoras</v>
          </cell>
          <cell r="C134">
            <v>28</v>
          </cell>
          <cell r="D134" t="str">
            <v>Tecnologias de energias renováveis e hidrogénio</v>
          </cell>
          <cell r="E134">
            <v>2802</v>
          </cell>
          <cell r="F134" t="str">
            <v xml:space="preserve">Fabricação de tecnologias de energia renovável </v>
          </cell>
          <cell r="G134">
            <v>280201</v>
          </cell>
          <cell r="H134" t="str">
            <v xml:space="preserve">A.8.1. Fabricação de tecnologias de energia renovável </v>
          </cell>
        </row>
        <row r="135">
          <cell r="B135" t="str">
            <v>Indústrias transformadoras</v>
          </cell>
          <cell r="C135">
            <v>28</v>
          </cell>
          <cell r="D135" t="str">
            <v>Tecnologias de energias renováveis e hidrogénio</v>
          </cell>
          <cell r="E135">
            <v>2802</v>
          </cell>
          <cell r="F135" t="str">
            <v xml:space="preserve">Equipamento para produção e utilização de hidrogênio </v>
          </cell>
          <cell r="G135">
            <v>280202</v>
          </cell>
          <cell r="H135" t="str">
            <v xml:space="preserve">A.8.2. Equipamento para produção e utilização de hidrogênio </v>
          </cell>
        </row>
        <row r="136">
          <cell r="B136" t="str">
            <v>Indústrias transformadoras</v>
          </cell>
          <cell r="C136">
            <v>28</v>
          </cell>
          <cell r="D136" t="str">
            <v>Tecnologias de energias renováveis e hidrogénio</v>
          </cell>
          <cell r="E136">
            <v>2802</v>
          </cell>
          <cell r="F136" t="str">
            <v xml:space="preserve">Fabricação de hidrogênio </v>
          </cell>
          <cell r="G136">
            <v>280203</v>
          </cell>
          <cell r="H136" t="str">
            <v xml:space="preserve">A.8.3. Fabricação de hidrogênio </v>
          </cell>
        </row>
        <row r="137">
          <cell r="B137" t="str">
            <v>Indústrias transformadoras</v>
          </cell>
          <cell r="C137">
            <v>28</v>
          </cell>
          <cell r="D137" t="str">
            <v xml:space="preserve">Equipamentos e tecnologias de eficiência </v>
          </cell>
          <cell r="E137">
            <v>2805</v>
          </cell>
          <cell r="F137" t="str">
            <v xml:space="preserve">Equipamento de eficiência energética para edifícios </v>
          </cell>
          <cell r="G137">
            <v>280501</v>
          </cell>
          <cell r="H137" t="str">
            <v xml:space="preserve">A.8.6. Equipamento de eficiência energética para edifícios </v>
          </cell>
        </row>
        <row r="138">
          <cell r="B138" t="str">
            <v>Indústrias transformadoras</v>
          </cell>
          <cell r="C138">
            <v>28</v>
          </cell>
          <cell r="D138" t="str">
            <v>Equipamentos e tecnologias de eficiência energética</v>
          </cell>
          <cell r="E138">
            <v>2805</v>
          </cell>
          <cell r="F138" t="str">
            <v>Outras tecnologias de baixo carbono</v>
          </cell>
          <cell r="G138">
            <v>280502</v>
          </cell>
          <cell r="H138" t="str">
            <v>A.8.7. Outras tecnologias de baixo carbono</v>
          </cell>
        </row>
        <row r="139">
          <cell r="B139" t="str">
            <v>Indústrias transformadoras</v>
          </cell>
          <cell r="C139">
            <v>28</v>
          </cell>
          <cell r="D139" t="str">
            <v>Equipamentos e tecnologias de eficiência energética</v>
          </cell>
          <cell r="E139">
            <v>2805</v>
          </cell>
          <cell r="F139" t="str">
            <v xml:space="preserve">Fabricação de equipamentos para transmissão e distribuição elétrica </v>
          </cell>
          <cell r="G139">
            <v>280503</v>
          </cell>
          <cell r="H139" t="str">
            <v xml:space="preserve">A.8.20. Fabricação de equipamentos para transmissão e distribuição elétrica </v>
          </cell>
        </row>
        <row r="140">
          <cell r="B140" t="str">
            <v>Indústrias transformadoras</v>
          </cell>
          <cell r="C140">
            <v>28</v>
          </cell>
          <cell r="D140" t="str">
            <v>Equipamentos e tecnologias de eficiência energética</v>
          </cell>
          <cell r="E140">
            <v>2805</v>
          </cell>
          <cell r="F140" t="str">
            <v xml:space="preserve">Fabricação de equipamentos eficientes em termos de consumo de energia </v>
          </cell>
          <cell r="G140">
            <v>280504</v>
          </cell>
          <cell r="H140" t="str">
            <v xml:space="preserve">A.8.27. Fabricação de equipamentos eficientes em termos de consumo de energia </v>
          </cell>
        </row>
        <row r="141">
          <cell r="B141" t="str">
            <v>Indústrias transformadoras</v>
          </cell>
          <cell r="C141">
            <v>28</v>
          </cell>
          <cell r="D141" t="str">
            <v>Equipamentos e tecnologias de eficiência energética</v>
          </cell>
          <cell r="E141">
            <v>2805</v>
          </cell>
          <cell r="F141" t="str">
            <v xml:space="preserve">Fabricação de tecnologias de controlo de fugas </v>
          </cell>
          <cell r="G141">
            <v>280505</v>
          </cell>
          <cell r="H141" t="str">
            <v xml:space="preserve">A.8.22. Fabricação de tecnologias de controlo de fugas </v>
          </cell>
        </row>
        <row r="142">
          <cell r="B142" t="str">
            <v>Indústrias transformadoras</v>
          </cell>
          <cell r="C142">
            <v>28</v>
          </cell>
          <cell r="D142" t="str">
            <v>Equipamentos e tecnologias de eficiência energética</v>
          </cell>
          <cell r="E142">
            <v>2801</v>
          </cell>
          <cell r="F142" t="str">
            <v xml:space="preserve">Reparação, remodelação e remanufatura </v>
          </cell>
          <cell r="G142">
            <v>280101</v>
          </cell>
          <cell r="H142" t="str">
            <v xml:space="preserve">A.8.29. Reparação, remodelação e remanufatura </v>
          </cell>
        </row>
        <row r="143">
          <cell r="B143" t="str">
            <v>Indústrias transformadoras</v>
          </cell>
          <cell r="C143">
            <v>28</v>
          </cell>
          <cell r="D143" t="str">
            <v xml:space="preserve">Economia circular </v>
          </cell>
          <cell r="E143">
            <v>2801</v>
          </cell>
          <cell r="F143" t="str">
            <v xml:space="preserve">Venda de peças de reposição </v>
          </cell>
          <cell r="G143">
            <v>280102</v>
          </cell>
          <cell r="H143" t="str">
            <v xml:space="preserve">A.8.30. Venda de peças de reposição </v>
          </cell>
        </row>
        <row r="144">
          <cell r="B144" t="str">
            <v>Indústrias transformadoras</v>
          </cell>
          <cell r="C144">
            <v>28</v>
          </cell>
          <cell r="D144" t="str">
            <v xml:space="preserve">Economia circular </v>
          </cell>
          <cell r="E144">
            <v>2801</v>
          </cell>
          <cell r="F144" t="str">
            <v xml:space="preserve">Reutilização de produtos e componentes em fim de vida útil </v>
          </cell>
          <cell r="G144">
            <v>280103</v>
          </cell>
          <cell r="H144" t="str">
            <v xml:space="preserve">A.8.31. Reutilização de produtos e componentes em fim de vida útil </v>
          </cell>
        </row>
        <row r="145">
          <cell r="B145" t="str">
            <v>Indústrias transformadoras</v>
          </cell>
          <cell r="C145">
            <v>28</v>
          </cell>
          <cell r="D145" t="str">
            <v xml:space="preserve">Economia circular </v>
          </cell>
          <cell r="E145">
            <v>2801</v>
          </cell>
          <cell r="F145" t="str">
            <v xml:space="preserve">Venda de bens em segunda mão </v>
          </cell>
          <cell r="G145">
            <v>280104</v>
          </cell>
          <cell r="H145" t="str">
            <v xml:space="preserve">A.8.32. Venda de bens em segunda mão </v>
          </cell>
        </row>
        <row r="146">
          <cell r="B146" t="str">
            <v>Indústrias transformadoras</v>
          </cell>
          <cell r="C146">
            <v>28</v>
          </cell>
          <cell r="D146" t="str">
            <v xml:space="preserve">Economia circular </v>
          </cell>
          <cell r="E146">
            <v>2801</v>
          </cell>
          <cell r="F146" t="str">
            <v xml:space="preserve">Produto como serviço e outros modelos de uso circular </v>
          </cell>
          <cell r="G146">
            <v>280105</v>
          </cell>
          <cell r="H146" t="str">
            <v xml:space="preserve">A.8.33. Produto como serviço e outros modelos de uso circular </v>
          </cell>
        </row>
        <row r="147">
          <cell r="B147" t="str">
            <v>Indústrias transformadoras</v>
          </cell>
          <cell r="C147">
            <v>28</v>
          </cell>
          <cell r="D147" t="str">
            <v xml:space="preserve">Economia circular </v>
          </cell>
          <cell r="E147">
            <v>2801</v>
          </cell>
          <cell r="F147" t="str">
            <v xml:space="preserve">Mercado para bens em segunda mão </v>
          </cell>
          <cell r="G147">
            <v>280106</v>
          </cell>
          <cell r="H147" t="str">
            <v xml:space="preserve">A.8.34. Mercado para bens em segunda mão </v>
          </cell>
        </row>
        <row r="148">
          <cell r="B148" t="str">
            <v>Indústrias transformadoras</v>
          </cell>
          <cell r="C148">
            <v>28</v>
          </cell>
          <cell r="D148" t="str">
            <v xml:space="preserve">Combustível e produtos químicos </v>
          </cell>
          <cell r="E148">
            <v>2807</v>
          </cell>
          <cell r="F148" t="str">
            <v xml:space="preserve">Fabricação de carbonato de sódio </v>
          </cell>
          <cell r="G148">
            <v>280701</v>
          </cell>
          <cell r="H148" t="str">
            <v xml:space="preserve">A.8.12. Fabricação de carbonato de sódio </v>
          </cell>
        </row>
        <row r="149">
          <cell r="B149" t="str">
            <v>Indústrias transformadoras</v>
          </cell>
          <cell r="C149">
            <v>28</v>
          </cell>
          <cell r="D149" t="str">
            <v xml:space="preserve">Combustível e produtos químicos </v>
          </cell>
          <cell r="E149">
            <v>2807</v>
          </cell>
          <cell r="F149" t="str">
            <v xml:space="preserve">Fabricação de cloro </v>
          </cell>
          <cell r="G149">
            <v>280702</v>
          </cell>
          <cell r="H149" t="str">
            <v xml:space="preserve">A.8.15. Fabricação de cloro </v>
          </cell>
        </row>
        <row r="150">
          <cell r="B150" t="str">
            <v>Indústrias transformadoras</v>
          </cell>
          <cell r="C150">
            <v>28</v>
          </cell>
          <cell r="D150" t="str">
            <v xml:space="preserve">Combustível e produtos químicos </v>
          </cell>
          <cell r="E150">
            <v>2807</v>
          </cell>
          <cell r="F150" t="str">
            <v xml:space="preserve">Fabricação de materiais orgânicos básicos </v>
          </cell>
          <cell r="G150">
            <v>280703</v>
          </cell>
          <cell r="H150" t="str">
            <v xml:space="preserve">A.8.13. Fabricação de materiais orgânicos básicos </v>
          </cell>
        </row>
        <row r="151">
          <cell r="B151" t="str">
            <v>Indústrias transformadoras</v>
          </cell>
          <cell r="C151">
            <v>28</v>
          </cell>
          <cell r="D151" t="str">
            <v xml:space="preserve">Combustível e produtos químicos </v>
          </cell>
          <cell r="E151">
            <v>2807</v>
          </cell>
          <cell r="F151" t="str">
            <v xml:space="preserve">Fabricação de amoníaco </v>
          </cell>
          <cell r="G151">
            <v>280704</v>
          </cell>
          <cell r="H151" t="str">
            <v xml:space="preserve">A.8.16. Fabricação de amoníaco </v>
          </cell>
        </row>
        <row r="152">
          <cell r="B152" t="str">
            <v>Indústrias transformadoras</v>
          </cell>
          <cell r="C152">
            <v>28</v>
          </cell>
          <cell r="D152" t="str">
            <v xml:space="preserve">Combustível e produtos químicos </v>
          </cell>
          <cell r="E152">
            <v>2807</v>
          </cell>
          <cell r="F152" t="str">
            <v xml:space="preserve">Fabricação de ácido nítrico </v>
          </cell>
          <cell r="G152">
            <v>280705</v>
          </cell>
          <cell r="H152" t="str">
            <v xml:space="preserve">A.8.14. Fabricação de ácido nítrico </v>
          </cell>
        </row>
        <row r="153">
          <cell r="B153" t="str">
            <v>Indústrias transformadoras</v>
          </cell>
          <cell r="C153">
            <v>28</v>
          </cell>
          <cell r="D153" t="str">
            <v xml:space="preserve">Combustível e produtos químicos </v>
          </cell>
          <cell r="E153">
            <v>2807</v>
          </cell>
          <cell r="F153" t="str">
            <v xml:space="preserve">Fabricação de nafta limpa </v>
          </cell>
          <cell r="G153">
            <v>280706</v>
          </cell>
          <cell r="H153" t="str">
            <v xml:space="preserve">A.8.26. Fabricação de nafta limpa </v>
          </cell>
        </row>
        <row r="154">
          <cell r="B154" t="str">
            <v>Indústrias transformadoras</v>
          </cell>
          <cell r="C154">
            <v>28</v>
          </cell>
          <cell r="D154" t="str">
            <v xml:space="preserve">Economia circular </v>
          </cell>
          <cell r="E154">
            <v>2801</v>
          </cell>
          <cell r="F154" t="str">
            <v>Fabricação de equipamentos eléctricos e electrónicos</v>
          </cell>
          <cell r="G154">
            <v>280107</v>
          </cell>
          <cell r="H154" t="str">
            <v>A.8.35. Fabricação de equipamentos eléctricos e electrónicos</v>
          </cell>
        </row>
        <row r="155">
          <cell r="B155" t="str">
            <v>Indústrias transformadoras</v>
          </cell>
          <cell r="C155">
            <v>28</v>
          </cell>
          <cell r="D155" t="str">
            <v xml:space="preserve">Cimento, alumínio, ferro, aço e outros </v>
          </cell>
          <cell r="E155">
            <v>2806</v>
          </cell>
          <cell r="F155" t="str">
            <v xml:space="preserve">Fabricação de cimento </v>
          </cell>
          <cell r="G155">
            <v>280601</v>
          </cell>
          <cell r="H155" t="str">
            <v xml:space="preserve">A.8.8. Fabricação de cimento </v>
          </cell>
        </row>
        <row r="156">
          <cell r="B156" t="str">
            <v>Indústrias transformadoras</v>
          </cell>
          <cell r="C156">
            <v>28</v>
          </cell>
          <cell r="D156" t="str">
            <v xml:space="preserve">Cimento, alumínio, ferro, aço e outros </v>
          </cell>
          <cell r="E156">
            <v>2806</v>
          </cell>
          <cell r="F156" t="str">
            <v xml:space="preserve">Fabricação de alumínio </v>
          </cell>
          <cell r="G156">
            <v>280602</v>
          </cell>
          <cell r="H156" t="str">
            <v xml:space="preserve">A.8.9. Fabricação de alumínio </v>
          </cell>
        </row>
        <row r="157">
          <cell r="B157" t="str">
            <v>Indústrias transformadoras</v>
          </cell>
          <cell r="C157">
            <v>28</v>
          </cell>
          <cell r="D157" t="str">
            <v xml:space="preserve">Cimento, alumínio, ferro, aço e outros </v>
          </cell>
          <cell r="E157">
            <v>2806</v>
          </cell>
          <cell r="F157" t="str">
            <v xml:space="preserve">Fabricação de ferro e aço </v>
          </cell>
          <cell r="G157">
            <v>280603</v>
          </cell>
          <cell r="H157" t="str">
            <v xml:space="preserve">A.8.10. Fabricação de ferro e aço </v>
          </cell>
        </row>
        <row r="158">
          <cell r="B158" t="str">
            <v>Indústrias transformadoras</v>
          </cell>
          <cell r="C158">
            <v>28</v>
          </cell>
          <cell r="D158" t="str">
            <v xml:space="preserve">Cimento, alumínio, ferro, aço e outros </v>
          </cell>
          <cell r="E158">
            <v>2806</v>
          </cell>
          <cell r="F158" t="str">
            <v xml:space="preserve">Fabricação de negro de carbono </v>
          </cell>
          <cell r="G158">
            <v>280604</v>
          </cell>
          <cell r="H158" t="str">
            <v xml:space="preserve">A.8.11. Fabricação de negro de carbono </v>
          </cell>
        </row>
        <row r="159">
          <cell r="B159" t="str">
            <v>Indústrias transformadoras</v>
          </cell>
          <cell r="C159">
            <v>28</v>
          </cell>
          <cell r="D159" t="str">
            <v xml:space="preserve">Plásticos </v>
          </cell>
          <cell r="E159">
            <v>2808</v>
          </cell>
          <cell r="F159" t="str">
            <v xml:space="preserve">Fabricação de plásticos na forma primária </v>
          </cell>
          <cell r="G159">
            <v>280801</v>
          </cell>
          <cell r="H159" t="str">
            <v xml:space="preserve">A.8.17. Fabricação de plásticos na forma primária </v>
          </cell>
        </row>
        <row r="160">
          <cell r="B160" t="str">
            <v>Indústrias transformadoras</v>
          </cell>
          <cell r="C160">
            <v>28</v>
          </cell>
          <cell r="D160" t="str">
            <v xml:space="preserve">Plásticos </v>
          </cell>
          <cell r="E160">
            <v>2808</v>
          </cell>
          <cell r="F160" t="str">
            <v xml:space="preserve">Fabricação de embalagens de plástico </v>
          </cell>
          <cell r="G160">
            <v>280802</v>
          </cell>
          <cell r="H160" t="str">
            <v xml:space="preserve">A.8.23. Fabricação de embalagens de plástico </v>
          </cell>
        </row>
        <row r="161">
          <cell r="B161" t="str">
            <v>Indústrias transformadoras</v>
          </cell>
          <cell r="C161">
            <v>28</v>
          </cell>
          <cell r="D161" t="str">
            <v>Farmacêutica</v>
          </cell>
          <cell r="E161">
            <v>2809</v>
          </cell>
          <cell r="F161" t="str">
            <v xml:space="preserve">Fabricação de ingredientes farmacêuticos ativos (API) ou substâncias ativas </v>
          </cell>
          <cell r="G161">
            <v>280901</v>
          </cell>
          <cell r="H161" t="str">
            <v xml:space="preserve">A.8.24. Fabricação de ingredientes farmacêuticos ativos (API) ou substâncias ativas </v>
          </cell>
        </row>
        <row r="162">
          <cell r="B162" t="str">
            <v>Indústrias transformadoras</v>
          </cell>
          <cell r="C162">
            <v>28</v>
          </cell>
          <cell r="D162" t="str">
            <v>Farmacêutica</v>
          </cell>
          <cell r="E162">
            <v>2809</v>
          </cell>
          <cell r="F162" t="str">
            <v xml:space="preserve">Fabricação de medicamentos </v>
          </cell>
          <cell r="G162">
            <v>280902</v>
          </cell>
          <cell r="H162" t="str">
            <v xml:space="preserve">A.8.25. Fabricação de medicamentos </v>
          </cell>
        </row>
        <row r="163">
          <cell r="B163" t="str">
            <v>Indústrias transformadoras</v>
          </cell>
          <cell r="C163">
            <v>28</v>
          </cell>
          <cell r="D163" t="str">
            <v>A.8.5. Fabrico de baterias</v>
          </cell>
          <cell r="E163">
            <v>2804</v>
          </cell>
          <cell r="F163" t="str">
            <v>N/A</v>
          </cell>
          <cell r="G163" t="str">
            <v>-</v>
          </cell>
          <cell r="H163" t="str">
            <v>N/A</v>
          </cell>
        </row>
        <row r="164">
          <cell r="B164" t="str">
            <v>Alojamento e restauração</v>
          </cell>
          <cell r="C164">
            <v>29</v>
          </cell>
          <cell r="D164" t="str">
            <v xml:space="preserve">A.9.1. Hotéis, férias, parques de campismo e alojamento semelhante </v>
          </cell>
          <cell r="E164">
            <v>2901</v>
          </cell>
          <cell r="F164" t="str">
            <v>N/A</v>
          </cell>
          <cell r="G164" t="str">
            <v>-</v>
          </cell>
          <cell r="H164" t="str">
            <v>N/A</v>
          </cell>
        </row>
        <row r="165">
          <cell r="B165" t="str">
            <v xml:space="preserve">TI e Comunicações </v>
          </cell>
          <cell r="C165">
            <v>30</v>
          </cell>
          <cell r="D165" t="str">
            <v xml:space="preserve">Soluções e software orientados por dados </v>
          </cell>
          <cell r="E165">
            <v>3002</v>
          </cell>
          <cell r="F165" t="str">
            <v xml:space="preserve">Reduções de emissões de gases com efeito de estufa </v>
          </cell>
          <cell r="G165">
            <v>300201</v>
          </cell>
          <cell r="H165" t="str">
            <v>A.10.2. Reduções de emissões de gases com efeito de estufa</v>
          </cell>
        </row>
        <row r="166">
          <cell r="B166" t="str">
            <v xml:space="preserve">TI e Comunicações </v>
          </cell>
          <cell r="C166">
            <v>30</v>
          </cell>
          <cell r="D166" t="str">
            <v xml:space="preserve">Soluções e software orientados por dados </v>
          </cell>
          <cell r="E166">
            <v>3002</v>
          </cell>
          <cell r="F166" t="str">
            <v>Gestão e adaptação dos riscos climáticos físicos</v>
          </cell>
          <cell r="G166">
            <v>300202</v>
          </cell>
          <cell r="H166" t="str">
            <v>A.10.3. Gestão e adaptação dos riscos climáticos físicos</v>
          </cell>
        </row>
        <row r="167">
          <cell r="B167" t="str">
            <v xml:space="preserve">TI e Comunicações </v>
          </cell>
          <cell r="C167">
            <v>30</v>
          </cell>
          <cell r="D167" t="str">
            <v xml:space="preserve">Soluções e software orientados por dados </v>
          </cell>
          <cell r="E167">
            <v>3002</v>
          </cell>
          <cell r="F167" t="str">
            <v xml:space="preserve">Redução de fugas </v>
          </cell>
          <cell r="G167">
            <v>300203</v>
          </cell>
          <cell r="H167" t="str">
            <v xml:space="preserve">A.10.4.Redução de fugas </v>
          </cell>
        </row>
        <row r="168">
          <cell r="B168" t="str">
            <v xml:space="preserve">TI e Comunicações </v>
          </cell>
          <cell r="C168">
            <v>30</v>
          </cell>
          <cell r="D168" t="str">
            <v xml:space="preserve">Soluções e software orientados por dados </v>
          </cell>
          <cell r="E168">
            <v>3002</v>
          </cell>
          <cell r="F168" t="str">
            <v>Outros</v>
          </cell>
          <cell r="G168">
            <v>300204</v>
          </cell>
          <cell r="H168" t="str">
            <v>A.10.5. Outros</v>
          </cell>
        </row>
        <row r="169">
          <cell r="B169" t="str">
            <v xml:space="preserve">TI e Comunicações </v>
          </cell>
          <cell r="C169">
            <v>30</v>
          </cell>
          <cell r="D169" t="str">
            <v xml:space="preserve">A.10.1. Processamento de dados e atividades relacionadas </v>
          </cell>
          <cell r="E169">
            <v>3001</v>
          </cell>
          <cell r="F169" t="str">
            <v>-</v>
          </cell>
          <cell r="G169" t="str">
            <v>-</v>
          </cell>
          <cell r="H169" t="str">
            <v xml:space="preserve">A.10.1. Processamento de dados e atividades relacionadas </v>
          </cell>
        </row>
        <row r="170">
          <cell r="B170" t="str">
            <v xml:space="preserve">TI e Comunicações </v>
          </cell>
          <cell r="C170">
            <v>30</v>
          </cell>
          <cell r="D170" t="str">
            <v xml:space="preserve">A.10.6. Investigação, desenvolvimento e inovação </v>
          </cell>
          <cell r="E170">
            <v>3003</v>
          </cell>
          <cell r="F170" t="str">
            <v>N/A</v>
          </cell>
          <cell r="G170" t="str">
            <v>-</v>
          </cell>
          <cell r="H170" t="str">
            <v>N/A</v>
          </cell>
        </row>
        <row r="171">
          <cell r="B171" t="str">
            <v>Indústrias transformadoras</v>
          </cell>
          <cell r="C171">
            <v>28</v>
          </cell>
          <cell r="D171" t="str">
            <v xml:space="preserve">Captura de CO2 do ar </v>
          </cell>
          <cell r="E171">
            <v>2810</v>
          </cell>
          <cell r="F171" t="str">
            <v>Captação direta do CO2 do ar (Investigação, desenvolvimento e inovação)</v>
          </cell>
          <cell r="G171">
            <v>281001</v>
          </cell>
          <cell r="H171" t="str">
            <v>A.8.28 Captação direta do CO2 do ar (Investigação, desenvolvimento e inovação)</v>
          </cell>
        </row>
        <row r="172">
          <cell r="B172" t="str">
            <v>Actividades profissionais, científicas e técnicas</v>
          </cell>
          <cell r="C172">
            <v>24</v>
          </cell>
          <cell r="D172" t="str">
            <v xml:space="preserve">Desempenho energético dos serviços profissionais de edifícios </v>
          </cell>
          <cell r="E172">
            <v>2401</v>
          </cell>
          <cell r="F172" t="str">
            <v>N/A</v>
          </cell>
          <cell r="G172" t="str">
            <v>-</v>
          </cell>
          <cell r="H172" t="str">
            <v>N/A</v>
          </cell>
        </row>
        <row r="173">
          <cell r="B173" t="str">
            <v>Gestão do Risco de Catástrofes</v>
          </cell>
          <cell r="C173">
            <v>25</v>
          </cell>
          <cell r="D173" t="str">
            <v xml:space="preserve">Soluções de prevenção e proteção de inundações/secas </v>
          </cell>
          <cell r="E173">
            <v>2501</v>
          </cell>
          <cell r="F173" t="str">
            <v>N/A</v>
          </cell>
          <cell r="G173" t="str">
            <v>-</v>
          </cell>
          <cell r="H173" t="str">
            <v>N/A</v>
          </cell>
        </row>
        <row r="174">
          <cell r="B174" t="str">
            <v>Gestão do Risco de Catástrofes</v>
          </cell>
          <cell r="C174">
            <v>25</v>
          </cell>
          <cell r="D174" t="str">
            <v xml:space="preserve">Serviços de emergência </v>
          </cell>
          <cell r="E174">
            <v>2502</v>
          </cell>
          <cell r="F174" t="str">
            <v>N/A</v>
          </cell>
          <cell r="G174" t="str">
            <v>-</v>
          </cell>
          <cell r="H174" t="str">
            <v>N/A</v>
          </cell>
        </row>
        <row r="175">
          <cell r="B175" t="str">
            <v>Gestão do Risco de Catástrofes</v>
          </cell>
          <cell r="C175">
            <v>25</v>
          </cell>
          <cell r="D175" t="str">
            <v xml:space="preserve">Infraestrutura de prevenção e proteção de riscos de inundação </v>
          </cell>
          <cell r="E175">
            <v>2503</v>
          </cell>
          <cell r="F175" t="str">
            <v>N/A</v>
          </cell>
          <cell r="G175" t="str">
            <v>-</v>
          </cell>
          <cell r="H175" t="str">
            <v>N/A</v>
          </cell>
        </row>
        <row r="176">
          <cell r="B176" t="str">
            <v xml:space="preserve">Outros setores </v>
          </cell>
          <cell r="C176">
            <v>31</v>
          </cell>
          <cell r="D176" t="str">
            <v xml:space="preserve">A.11.2. Seguro não-vida </v>
          </cell>
          <cell r="E176">
            <v>3102</v>
          </cell>
          <cell r="F176" t="str">
            <v>N/A</v>
          </cell>
          <cell r="G176" t="str">
            <v>-</v>
          </cell>
          <cell r="H176" t="str">
            <v>N/A</v>
          </cell>
        </row>
        <row r="177">
          <cell r="B177" t="str">
            <v xml:space="preserve">Outros setores </v>
          </cell>
          <cell r="C177">
            <v>31</v>
          </cell>
          <cell r="D177" t="str">
            <v xml:space="preserve">A.11.3. Re-seguro </v>
          </cell>
          <cell r="E177">
            <v>3103</v>
          </cell>
          <cell r="F177" t="str">
            <v>N/A</v>
          </cell>
          <cell r="G177" t="str">
            <v>-</v>
          </cell>
          <cell r="H177" t="str">
            <v>N/A</v>
          </cell>
        </row>
        <row r="178">
          <cell r="B178" t="str">
            <v xml:space="preserve">Outros setores </v>
          </cell>
          <cell r="C178">
            <v>31</v>
          </cell>
          <cell r="D178" t="str">
            <v xml:space="preserve">A.11.1. Mercado do carbono </v>
          </cell>
          <cell r="E178">
            <v>3101</v>
          </cell>
          <cell r="F178" t="str">
            <v>N/A</v>
          </cell>
          <cell r="G178" t="str">
            <v>-</v>
          </cell>
          <cell r="H178" t="str">
            <v>N/A</v>
          </cell>
        </row>
        <row r="179">
          <cell r="B179" t="str">
            <v xml:space="preserve">Outros setores </v>
          </cell>
          <cell r="C179">
            <v>31</v>
          </cell>
          <cell r="D179" t="str">
            <v xml:space="preserve">A.11.4. Adaptação climática </v>
          </cell>
          <cell r="E179">
            <v>3104</v>
          </cell>
          <cell r="F179" t="str">
            <v>N/A</v>
          </cell>
          <cell r="G179" t="str">
            <v>-</v>
          </cell>
          <cell r="H179" t="str">
            <v>N/A</v>
          </cell>
        </row>
        <row r="180">
          <cell r="B180" t="str">
            <v>Educação</v>
          </cell>
          <cell r="C180" t="str">
            <v>35</v>
          </cell>
          <cell r="D180" t="str">
            <v>B.1.1. Centros públicos de serviços educacionais</v>
          </cell>
          <cell r="E180">
            <v>3501</v>
          </cell>
          <cell r="F180" t="str">
            <v>N/A</v>
          </cell>
          <cell r="G180" t="str">
            <v>-</v>
          </cell>
          <cell r="H180" t="str">
            <v>N/A</v>
          </cell>
        </row>
        <row r="181">
          <cell r="B181" t="str">
            <v>Educação</v>
          </cell>
          <cell r="C181" t="str">
            <v>35</v>
          </cell>
          <cell r="D181" t="str">
            <v>B.1.2. Centros públicos de educação desportiva e cultural</v>
          </cell>
          <cell r="E181">
            <v>3502</v>
          </cell>
          <cell r="F181" t="str">
            <v>N/A</v>
          </cell>
          <cell r="G181" t="str">
            <v>-</v>
          </cell>
          <cell r="H181" t="str">
            <v>N/A</v>
          </cell>
        </row>
        <row r="182">
          <cell r="B182" t="str">
            <v>Educação</v>
          </cell>
          <cell r="C182" t="str">
            <v>35</v>
          </cell>
          <cell r="D182" t="str">
            <v>B.1.3. Centros públicos para outras atividades</v>
          </cell>
          <cell r="E182">
            <v>3503</v>
          </cell>
          <cell r="F182" t="str">
            <v>N/A</v>
          </cell>
          <cell r="G182" t="str">
            <v>-</v>
          </cell>
          <cell r="H182" t="str">
            <v>N/A</v>
          </cell>
        </row>
        <row r="183">
          <cell r="B183" t="str">
            <v>Educação</v>
          </cell>
          <cell r="C183" t="str">
            <v>35</v>
          </cell>
          <cell r="D183" t="str">
            <v>B.1.4.  Empréstimos estudantis</v>
          </cell>
          <cell r="E183">
            <v>3504</v>
          </cell>
          <cell r="F183" t="str">
            <v>N/A</v>
          </cell>
          <cell r="G183" t="str">
            <v>-</v>
          </cell>
          <cell r="H183" t="str">
            <v>N/A</v>
          </cell>
        </row>
        <row r="184">
          <cell r="B184" t="str">
            <v>Educação</v>
          </cell>
          <cell r="C184" t="str">
            <v>35</v>
          </cell>
          <cell r="D184" t="str">
            <v>B.1.5. Empréstimos para financiar a requalificação e o aprimoramento de competências</v>
          </cell>
          <cell r="E184">
            <v>3505</v>
          </cell>
          <cell r="F184" t="str">
            <v>N/A</v>
          </cell>
          <cell r="G184" t="str">
            <v>-</v>
          </cell>
          <cell r="H184" t="str">
            <v>N/A</v>
          </cell>
        </row>
        <row r="185">
          <cell r="B185" t="str">
            <v xml:space="preserve">Cuidados de saúde </v>
          </cell>
          <cell r="C185" t="str">
            <v>36</v>
          </cell>
          <cell r="D185" t="str">
            <v>B.2.1. Investigação e desenvolvimento (I&amp;D), fabrico farmacêutico e médico</v>
          </cell>
          <cell r="E185">
            <v>3601</v>
          </cell>
          <cell r="F185" t="str">
            <v>N/A</v>
          </cell>
          <cell r="G185" t="str">
            <v>-</v>
          </cell>
          <cell r="H185" t="str">
            <v>N/A</v>
          </cell>
        </row>
        <row r="186">
          <cell r="B186" t="str">
            <v xml:space="preserve">Cuidados de saúde </v>
          </cell>
          <cell r="C186" t="str">
            <v>36</v>
          </cell>
          <cell r="D186" t="str">
            <v>B.2.2. Serviços de saúde e ativos em hospitais públicos</v>
          </cell>
          <cell r="E186">
            <v>3602</v>
          </cell>
          <cell r="F186" t="str">
            <v>N/A</v>
          </cell>
          <cell r="G186" t="str">
            <v>-</v>
          </cell>
          <cell r="H186" t="str">
            <v>N/A</v>
          </cell>
        </row>
        <row r="187">
          <cell r="B187" t="str">
            <v xml:space="preserve">Cuidados de saúde </v>
          </cell>
          <cell r="C187" t="str">
            <v>36</v>
          </cell>
          <cell r="D187" t="str">
            <v>B.2.3.  Serviços de saúde pública em instalações especializadas de cuidados residenciais/trabalho social para população alvos</v>
          </cell>
          <cell r="E187">
            <v>3603</v>
          </cell>
          <cell r="F187" t="str">
            <v>N/A</v>
          </cell>
          <cell r="G187" t="str">
            <v>-</v>
          </cell>
          <cell r="H187" t="str">
            <v>N/A</v>
          </cell>
        </row>
        <row r="188">
          <cell r="B188" t="str">
            <v>Transporte</v>
          </cell>
          <cell r="C188" t="str">
            <v>37</v>
          </cell>
          <cell r="D188" t="str">
            <v>B.3.1. Estradas e infraestruturas relacionadas para melhorar as ligações de transporte para áreas rurais subdesenvolvidas, ou onde a conectividade rodoviária não existe ou é claramente inadequada</v>
          </cell>
          <cell r="E188">
            <v>3701</v>
          </cell>
          <cell r="F188" t="str">
            <v>N/A</v>
          </cell>
          <cell r="G188" t="str">
            <v>-</v>
          </cell>
          <cell r="H188" t="str">
            <v>N/A</v>
          </cell>
        </row>
        <row r="189">
          <cell r="B189" t="str">
            <v>Transporte</v>
          </cell>
          <cell r="C189" t="str">
            <v>37</v>
          </cell>
          <cell r="D189" t="str">
            <v>B.3.2. Infraestruturas de transporte público, incluindo ferrovias de superfície e subterrâneas para trazer desenvolvimento socioeconómico às áreas populacionais alvo</v>
          </cell>
          <cell r="E189">
            <v>3702</v>
          </cell>
          <cell r="F189" t="str">
            <v>N/A</v>
          </cell>
          <cell r="G189" t="str">
            <v>-</v>
          </cell>
          <cell r="H189" t="str">
            <v>N/A</v>
          </cell>
        </row>
        <row r="190">
          <cell r="B190" t="str">
            <v>Transporte</v>
          </cell>
          <cell r="C190" t="str">
            <v>37</v>
          </cell>
          <cell r="D190" t="str">
            <v>B.3.3. Infraestruturas de transporte para ajudar as pessoas com deficiência a deslocarem-se mais facilmente</v>
          </cell>
          <cell r="E190">
            <v>3703</v>
          </cell>
          <cell r="F190" t="str">
            <v>N/A</v>
          </cell>
          <cell r="G190" t="str">
            <v>-</v>
          </cell>
          <cell r="H190" t="str">
            <v>N/A</v>
          </cell>
        </row>
        <row r="191">
          <cell r="B191" t="str">
            <v>Energia</v>
          </cell>
          <cell r="C191" t="str">
            <v>38</v>
          </cell>
          <cell r="D191" t="str">
            <v>B.4.1. Projetos de energia limpa</v>
          </cell>
          <cell r="E191">
            <v>3801</v>
          </cell>
          <cell r="F191" t="str">
            <v>N/A</v>
          </cell>
          <cell r="G191" t="str">
            <v>-</v>
          </cell>
          <cell r="H191" t="str">
            <v>N/A</v>
          </cell>
        </row>
        <row r="192">
          <cell r="B192" t="str">
            <v>Água e Resíduos</v>
          </cell>
          <cell r="C192" t="str">
            <v>39</v>
          </cell>
          <cell r="D192" t="str">
            <v>B.5.1. Infraestruturas de recolha, tratamento e distribuição de água nas áreas populacionais alvo</v>
          </cell>
          <cell r="E192">
            <v>3901</v>
          </cell>
          <cell r="F192" t="str">
            <v>N/A</v>
          </cell>
          <cell r="G192" t="str">
            <v>-</v>
          </cell>
          <cell r="H192" t="str">
            <v>N/A</v>
          </cell>
        </row>
        <row r="193">
          <cell r="B193" t="str">
            <v>Água e Resíduos</v>
          </cell>
          <cell r="C193" t="str">
            <v>39</v>
          </cell>
          <cell r="D193" t="str">
            <v>B.5.2. Infraestruturas de tratamento e recolha de esgotos e águas residuais (não derivadas de fontes de combustíveis fósseis) e de edifícios e estruturas de apoio integral nas áreas populacionais alvo</v>
          </cell>
          <cell r="E193">
            <v>3902</v>
          </cell>
          <cell r="F193" t="str">
            <v>N/A</v>
          </cell>
          <cell r="G193" t="str">
            <v>-</v>
          </cell>
          <cell r="H193" t="str">
            <v>N/A</v>
          </cell>
        </row>
        <row r="194">
          <cell r="B194" t="str">
            <v>Água e Resíduos</v>
          </cell>
          <cell r="C194" t="str">
            <v>39</v>
          </cell>
          <cell r="D194" t="str">
            <v>B.5.3. Recolha, triagem, eliminação, tratamento e reciclagem de resíduos perigosos e não perigosos nas áreas populacionais alvo</v>
          </cell>
          <cell r="E194">
            <v>3903</v>
          </cell>
          <cell r="F194" t="str">
            <v>N/A</v>
          </cell>
          <cell r="G194" t="str">
            <v>-</v>
          </cell>
          <cell r="H194" t="str">
            <v>N/A</v>
          </cell>
        </row>
        <row r="195">
          <cell r="B195" t="str">
            <v>Real estate</v>
          </cell>
          <cell r="C195" t="str">
            <v>40</v>
          </cell>
          <cell r="D195" t="str">
            <v>B.6.1. Habitação acessível</v>
          </cell>
          <cell r="E195">
            <v>4001</v>
          </cell>
          <cell r="F195" t="str">
            <v>N/A</v>
          </cell>
          <cell r="G195" t="str">
            <v>-</v>
          </cell>
          <cell r="H195" t="str">
            <v>N/A</v>
          </cell>
        </row>
        <row r="196">
          <cell r="B196" t="str">
            <v>Real estate</v>
          </cell>
          <cell r="C196" t="str">
            <v>40</v>
          </cell>
          <cell r="D196" t="str">
            <v>B.6.2. Infraestruturas associadas</v>
          </cell>
          <cell r="E196">
            <v>4002</v>
          </cell>
          <cell r="F196" t="str">
            <v>N/A</v>
          </cell>
          <cell r="G196" t="str">
            <v>-</v>
          </cell>
          <cell r="H196" t="str">
            <v>N/A</v>
          </cell>
        </row>
        <row r="197">
          <cell r="B197" t="str">
            <v>Finanças e Seguros</v>
          </cell>
          <cell r="C197" t="str">
            <v>41</v>
          </cell>
          <cell r="D197" t="str">
            <v>B.7.1. Investimento para aumentar o acesso a uma ampla gama de produtos e serviços de microseguros e bancários transacionais para a população alvo</v>
          </cell>
          <cell r="E197">
            <v>4101</v>
          </cell>
          <cell r="F197" t="str">
            <v>N/A</v>
          </cell>
          <cell r="G197" t="str">
            <v>-</v>
          </cell>
          <cell r="H197" t="str">
            <v>N/A</v>
          </cell>
        </row>
        <row r="198">
          <cell r="B198" t="str">
            <v>Finanças e Seguros</v>
          </cell>
          <cell r="C198" t="str">
            <v>41</v>
          </cell>
          <cell r="D198" t="str">
            <v>B.7.2. Financiamento com condições financeiras ou de pagamento preferenciais para entidades e indivíduos que foram impactados por desastres naturais, armados, de saúde e/ou causados pelo homem, bem como situações socioeconómicas severas</v>
          </cell>
          <cell r="E198">
            <v>4102</v>
          </cell>
          <cell r="F198" t="str">
            <v>N/A</v>
          </cell>
          <cell r="G198" t="str">
            <v>-</v>
          </cell>
          <cell r="H198" t="str">
            <v>N/A</v>
          </cell>
        </row>
        <row r="199">
          <cell r="B199" t="str">
            <v xml:space="preserve">TI e Comunicações </v>
          </cell>
          <cell r="C199" t="str">
            <v>42</v>
          </cell>
          <cell r="D199" t="str">
            <v>B.8.1. Infraestruturas de telecomunicações nas áreas populacionais alvo</v>
          </cell>
          <cell r="E199">
            <v>4201</v>
          </cell>
          <cell r="F199" t="str">
            <v>N/A</v>
          </cell>
          <cell r="G199" t="str">
            <v>-</v>
          </cell>
          <cell r="H199" t="str">
            <v>N/A</v>
          </cell>
        </row>
        <row r="200">
          <cell r="B200" t="str">
            <v xml:space="preserve">Organizações sem Fins Lucrativos </v>
          </cell>
          <cell r="C200" t="str">
            <v>43</v>
          </cell>
          <cell r="D200" t="str">
            <v>B.9.1. Empréstimos a organizações sem fins lucrativos e/ou instituições de caridade registadas</v>
          </cell>
          <cell r="E200">
            <v>4301</v>
          </cell>
          <cell r="F200" t="str">
            <v>N/A</v>
          </cell>
          <cell r="G200" t="str">
            <v>-</v>
          </cell>
          <cell r="H200" t="str">
            <v>N/A</v>
          </cell>
        </row>
        <row r="201">
          <cell r="B201" t="str">
            <v>Centros Especiais de Emprego</v>
          </cell>
          <cell r="C201" t="str">
            <v>44</v>
          </cell>
          <cell r="D201" t="str">
            <v>B.10.1. Empresas inclusivas aos trabalhadores com deficiência</v>
          </cell>
          <cell r="E201">
            <v>4401</v>
          </cell>
          <cell r="F201" t="str">
            <v>N/A</v>
          </cell>
          <cell r="G201" t="str">
            <v>-</v>
          </cell>
          <cell r="H201" t="str">
            <v>N/A</v>
          </cell>
        </row>
      </sheetData>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F0B771-9C67-42CE-A600-5818A2879F5E}">
  <dimension ref="A1:AC1001"/>
  <sheetViews>
    <sheetView topLeftCell="I188" workbookViewId="0">
      <selection activeCell="R198" sqref="R198"/>
    </sheetView>
  </sheetViews>
  <sheetFormatPr baseColWidth="10" defaultColWidth="10.81640625" defaultRowHeight="14.5"/>
  <cols>
    <col min="1" max="1" width="2.1796875" style="1" customWidth="1"/>
    <col min="2" max="2" width="3.81640625" bestFit="1" customWidth="1"/>
    <col min="3" max="3" width="8.453125" style="1" customWidth="1"/>
    <col min="4" max="4" width="18.54296875" style="2" customWidth="1"/>
    <col min="5" max="5" width="10.1796875" style="2" customWidth="1"/>
    <col min="6" max="6" width="32.453125" style="1" customWidth="1"/>
    <col min="7" max="7" width="10.1796875" style="1" customWidth="1"/>
    <col min="8" max="8" width="33.81640625" style="2" customWidth="1"/>
    <col min="9" max="9" width="32.1796875" style="2" customWidth="1"/>
    <col min="10" max="10" width="14.1796875" style="2" customWidth="1"/>
    <col min="11" max="11" width="40" style="1" hidden="1" customWidth="1"/>
    <col min="12" max="12" width="54.453125" style="1" hidden="1" customWidth="1"/>
    <col min="13" max="13" width="10.81640625" style="3"/>
    <col min="14" max="14" width="19.81640625" style="2" customWidth="1"/>
    <col min="15" max="15" width="12.81640625" style="2" customWidth="1"/>
    <col min="16" max="16" width="41.81640625" style="2" customWidth="1"/>
    <col min="17" max="17" width="42" style="2" customWidth="1"/>
    <col min="18" max="18" width="15.453125" style="1" customWidth="1"/>
    <col min="19" max="19" width="15.54296875" style="1" customWidth="1"/>
    <col min="20" max="20" width="21.1796875" style="1" customWidth="1"/>
    <col min="21" max="21" width="15.1796875" style="89" customWidth="1"/>
    <col min="22" max="22" width="17.1796875" style="89" customWidth="1"/>
    <col min="23" max="23" width="13.453125" style="89" bestFit="1" customWidth="1"/>
    <col min="24" max="24" width="14.453125" style="89" customWidth="1"/>
    <col min="25" max="25" width="12.54296875" style="89" customWidth="1"/>
    <col min="26" max="26" width="13.81640625" style="89" customWidth="1"/>
    <col min="27" max="28" width="12.81640625" style="1" customWidth="1"/>
    <col min="29" max="29" width="20" style="1" customWidth="1"/>
    <col min="30" max="16384" width="10.81640625" style="1"/>
  </cols>
  <sheetData>
    <row r="1" spans="1:29" ht="22.5" customHeight="1">
      <c r="B1" s="120"/>
      <c r="U1" s="1"/>
      <c r="V1" s="1"/>
      <c r="W1" s="1"/>
      <c r="X1" s="1"/>
      <c r="Y1" s="1"/>
      <c r="Z1" s="1"/>
    </row>
    <row r="2" spans="1:29" ht="32.25" customHeight="1">
      <c r="B2" s="120"/>
      <c r="C2" s="4" t="s">
        <v>0</v>
      </c>
      <c r="D2" s="5"/>
      <c r="E2" s="5"/>
      <c r="F2" s="5"/>
      <c r="G2" s="5"/>
      <c r="H2" s="5"/>
      <c r="I2" s="5"/>
      <c r="J2" s="5"/>
      <c r="K2" s="6"/>
      <c r="L2" s="7" t="s">
        <v>1</v>
      </c>
      <c r="M2" s="2"/>
      <c r="P2" s="8" t="s">
        <v>2</v>
      </c>
      <c r="Q2" s="8"/>
      <c r="R2" s="9" t="s">
        <v>3</v>
      </c>
      <c r="S2" s="9"/>
      <c r="T2" s="2"/>
      <c r="U2" s="10" t="s">
        <v>4</v>
      </c>
      <c r="V2" s="10"/>
      <c r="W2" s="10"/>
      <c r="X2" s="10"/>
      <c r="Y2" s="10"/>
      <c r="Z2" s="10"/>
      <c r="AA2" s="11" t="s">
        <v>5</v>
      </c>
      <c r="AB2" s="11"/>
    </row>
    <row r="3" spans="1:29" s="2" customFormat="1" ht="32.25" customHeight="1">
      <c r="B3" s="121"/>
      <c r="C3" s="12" t="s">
        <v>6</v>
      </c>
      <c r="D3" s="12" t="s">
        <v>7</v>
      </c>
      <c r="E3" s="12" t="s">
        <v>8</v>
      </c>
      <c r="F3" s="12" t="s">
        <v>9</v>
      </c>
      <c r="G3" s="12" t="s">
        <v>10</v>
      </c>
      <c r="H3" s="12" t="s">
        <v>11</v>
      </c>
      <c r="I3" s="12" t="s">
        <v>12</v>
      </c>
      <c r="J3" s="12" t="s">
        <v>13</v>
      </c>
      <c r="K3" s="13" t="s">
        <v>14</v>
      </c>
      <c r="L3" s="7"/>
      <c r="M3" s="14" t="s">
        <v>15</v>
      </c>
      <c r="N3" s="14" t="s">
        <v>16</v>
      </c>
      <c r="O3" s="14" t="s">
        <v>17</v>
      </c>
      <c r="P3" s="15" t="s">
        <v>18</v>
      </c>
      <c r="Q3" s="15" t="s">
        <v>19</v>
      </c>
      <c r="R3" s="16" t="s">
        <v>20</v>
      </c>
      <c r="S3" s="16" t="s">
        <v>21</v>
      </c>
      <c r="T3" s="17" t="s">
        <v>22</v>
      </c>
      <c r="U3" s="18" t="s">
        <v>23</v>
      </c>
      <c r="V3" s="19" t="s">
        <v>24</v>
      </c>
      <c r="W3" s="20" t="s">
        <v>25</v>
      </c>
      <c r="X3" s="21" t="s">
        <v>26</v>
      </c>
      <c r="Y3" s="22" t="s">
        <v>27</v>
      </c>
      <c r="Z3" s="23" t="s">
        <v>28</v>
      </c>
      <c r="AA3" s="24" t="s">
        <v>29</v>
      </c>
      <c r="AB3" s="25" t="s">
        <v>30</v>
      </c>
      <c r="AC3" s="2" t="s">
        <v>31</v>
      </c>
    </row>
    <row r="4" spans="1:29" ht="32.25" customHeight="1">
      <c r="B4" s="148">
        <v>1</v>
      </c>
      <c r="C4" s="26">
        <f>VLOOKUP(D4,'[1]Codes &amp; Descr. SFICS25'!B:C,2,FALSE)</f>
        <v>21</v>
      </c>
      <c r="D4" s="26" t="s">
        <v>32</v>
      </c>
      <c r="E4" s="26">
        <f>+VLOOKUP(F4,'[1]Codes &amp; Descr. SFICS25'!D:E,2,FALSE)</f>
        <v>2101</v>
      </c>
      <c r="F4" s="26" t="s">
        <v>33</v>
      </c>
      <c r="G4" s="27">
        <f>VLOOKUP(H4,'[1]Codes &amp; Descr. SFICS25'!F:H,2,FALSE)</f>
        <v>210101</v>
      </c>
      <c r="H4" s="26" t="s">
        <v>34</v>
      </c>
      <c r="I4" s="26" t="s">
        <v>35</v>
      </c>
      <c r="J4" s="26" t="s">
        <v>36</v>
      </c>
      <c r="K4" s="27" t="s">
        <v>37</v>
      </c>
      <c r="L4" s="28" t="s">
        <v>37</v>
      </c>
      <c r="M4" s="29" t="s">
        <v>29</v>
      </c>
      <c r="N4" s="30" t="s">
        <v>38</v>
      </c>
      <c r="O4" s="30" t="s">
        <v>39</v>
      </c>
      <c r="P4" s="31" t="s">
        <v>40</v>
      </c>
      <c r="Q4" s="31" t="s">
        <v>41</v>
      </c>
      <c r="R4" s="30" t="s">
        <v>40</v>
      </c>
      <c r="S4" s="30" t="s">
        <v>40</v>
      </c>
      <c r="T4" s="32" t="s">
        <v>42</v>
      </c>
      <c r="U4" s="33" t="s">
        <v>43</v>
      </c>
      <c r="V4" s="33" t="s">
        <v>43</v>
      </c>
      <c r="W4" s="34">
        <v>0</v>
      </c>
      <c r="X4" s="34">
        <v>0</v>
      </c>
      <c r="Y4" s="34">
        <v>0</v>
      </c>
      <c r="Z4" s="34">
        <v>0</v>
      </c>
      <c r="AA4" s="34">
        <f>IF(P4="Not applicable",0,1)</f>
        <v>0</v>
      </c>
      <c r="AB4" s="34">
        <v>0</v>
      </c>
    </row>
    <row r="5" spans="1:29" ht="32.25" customHeight="1">
      <c r="B5" s="148">
        <v>2</v>
      </c>
      <c r="C5" s="26">
        <f>VLOOKUP(D5,'[1]Codes &amp; Descr. SFICS25'!B:C,2,FALSE)</f>
        <v>21</v>
      </c>
      <c r="D5" s="26" t="s">
        <v>32</v>
      </c>
      <c r="E5" s="26">
        <f>+VLOOKUP(F5,'[1]Codes &amp; Descr. SFICS25'!D:E,2,FALSE)</f>
        <v>2101</v>
      </c>
      <c r="F5" s="26" t="s">
        <v>33</v>
      </c>
      <c r="G5" s="27">
        <f>VLOOKUP(H5,'[1]Codes &amp; Descr. SFICS25'!F:H,2,FALSE)</f>
        <v>210102</v>
      </c>
      <c r="H5" s="26" t="s">
        <v>44</v>
      </c>
      <c r="I5" s="26" t="s">
        <v>45</v>
      </c>
      <c r="J5" s="26" t="s">
        <v>46</v>
      </c>
      <c r="K5" s="27" t="s">
        <v>47</v>
      </c>
      <c r="L5" s="28" t="s">
        <v>47</v>
      </c>
      <c r="M5" s="29" t="s">
        <v>29</v>
      </c>
      <c r="N5" s="30" t="s">
        <v>48</v>
      </c>
      <c r="O5" s="30" t="s">
        <v>49</v>
      </c>
      <c r="P5" s="31" t="s">
        <v>40</v>
      </c>
      <c r="Q5" s="31" t="s">
        <v>50</v>
      </c>
      <c r="R5" s="30" t="s">
        <v>40</v>
      </c>
      <c r="S5" s="30" t="s">
        <v>40</v>
      </c>
      <c r="T5" s="32" t="s">
        <v>42</v>
      </c>
      <c r="U5" s="33" t="s">
        <v>43</v>
      </c>
      <c r="V5" s="33" t="s">
        <v>43</v>
      </c>
      <c r="W5" s="34">
        <v>0</v>
      </c>
      <c r="X5" s="34">
        <v>0</v>
      </c>
      <c r="Y5" s="34">
        <v>0</v>
      </c>
      <c r="Z5" s="34">
        <v>0</v>
      </c>
      <c r="AA5" s="34">
        <f t="shared" ref="AA5:AA68" si="0">IF(P5="Not applicable",0,1)</f>
        <v>0</v>
      </c>
      <c r="AB5" s="34">
        <v>0</v>
      </c>
    </row>
    <row r="6" spans="1:29" ht="32.25" customHeight="1">
      <c r="B6" s="148">
        <v>3</v>
      </c>
      <c r="C6" s="26">
        <f>VLOOKUP(D6,'[1]Codes &amp; Descr. SFICS25'!B:C,2,FALSE)</f>
        <v>21</v>
      </c>
      <c r="D6" s="26" t="s">
        <v>32</v>
      </c>
      <c r="E6" s="26">
        <f>+VLOOKUP(F6,'[1]Codes &amp; Descr. SFICS25'!D:E,2,FALSE)</f>
        <v>2101</v>
      </c>
      <c r="F6" s="26" t="s">
        <v>33</v>
      </c>
      <c r="G6" s="27">
        <f>VLOOKUP(H6,'[1]Codes &amp; Descr. SFICS25'!F:H,2,FALSE)</f>
        <v>210103</v>
      </c>
      <c r="H6" s="26" t="s">
        <v>51</v>
      </c>
      <c r="I6" s="26" t="s">
        <v>52</v>
      </c>
      <c r="J6" s="26" t="s">
        <v>53</v>
      </c>
      <c r="K6" s="27" t="s">
        <v>54</v>
      </c>
      <c r="L6" s="28" t="s">
        <v>54</v>
      </c>
      <c r="M6" s="29" t="s">
        <v>29</v>
      </c>
      <c r="N6" s="30" t="s">
        <v>55</v>
      </c>
      <c r="O6" s="30" t="s">
        <v>56</v>
      </c>
      <c r="P6" s="31" t="s">
        <v>40</v>
      </c>
      <c r="Q6" s="31" t="s">
        <v>57</v>
      </c>
      <c r="R6" s="30" t="s">
        <v>40</v>
      </c>
      <c r="S6" s="30" t="s">
        <v>40</v>
      </c>
      <c r="T6" s="32" t="s">
        <v>42</v>
      </c>
      <c r="U6" s="33" t="s">
        <v>43</v>
      </c>
      <c r="V6" s="33" t="s">
        <v>43</v>
      </c>
      <c r="W6" s="34">
        <v>0</v>
      </c>
      <c r="X6" s="34">
        <v>0</v>
      </c>
      <c r="Y6" s="34">
        <v>0</v>
      </c>
      <c r="Z6" s="34">
        <v>0</v>
      </c>
      <c r="AA6" s="34">
        <f t="shared" si="0"/>
        <v>0</v>
      </c>
      <c r="AB6" s="34">
        <v>0</v>
      </c>
    </row>
    <row r="7" spans="1:29" ht="32.25" customHeight="1">
      <c r="B7" s="148">
        <v>4</v>
      </c>
      <c r="C7" s="26">
        <f>VLOOKUP(D7,'[1]Codes &amp; Descr. SFICS25'!B:C,2,FALSE)</f>
        <v>21</v>
      </c>
      <c r="D7" s="26" t="s">
        <v>32</v>
      </c>
      <c r="E7" s="26">
        <f>+VLOOKUP(F7,'[1]Codes &amp; Descr. SFICS25'!D:E,2,FALSE)</f>
        <v>2101</v>
      </c>
      <c r="F7" s="26" t="s">
        <v>33</v>
      </c>
      <c r="G7" s="27">
        <f>VLOOKUP(H7,'[1]Codes &amp; Descr. SFICS25'!F:H,2,FALSE)</f>
        <v>210104</v>
      </c>
      <c r="H7" s="26" t="s">
        <v>58</v>
      </c>
      <c r="I7" s="26" t="s">
        <v>59</v>
      </c>
      <c r="J7" s="26" t="s">
        <v>60</v>
      </c>
      <c r="K7" s="27" t="s">
        <v>61</v>
      </c>
      <c r="L7" s="28" t="s">
        <v>61</v>
      </c>
      <c r="M7" s="29" t="s">
        <v>29</v>
      </c>
      <c r="N7" s="30" t="s">
        <v>62</v>
      </c>
      <c r="O7" s="30" t="s">
        <v>63</v>
      </c>
      <c r="P7" s="31" t="s">
        <v>40</v>
      </c>
      <c r="Q7" s="31" t="s">
        <v>64</v>
      </c>
      <c r="R7" s="30" t="s">
        <v>40</v>
      </c>
      <c r="S7" s="30" t="s">
        <v>40</v>
      </c>
      <c r="T7" s="32" t="s">
        <v>42</v>
      </c>
      <c r="U7" s="33" t="s">
        <v>43</v>
      </c>
      <c r="V7" s="33" t="s">
        <v>43</v>
      </c>
      <c r="W7" s="34">
        <v>0</v>
      </c>
      <c r="X7" s="34">
        <v>0</v>
      </c>
      <c r="Y7" s="34">
        <v>0</v>
      </c>
      <c r="Z7" s="34">
        <v>0</v>
      </c>
      <c r="AA7" s="34">
        <f t="shared" si="0"/>
        <v>0</v>
      </c>
      <c r="AB7" s="34">
        <v>0</v>
      </c>
    </row>
    <row r="8" spans="1:29" ht="90.5">
      <c r="A8" s="35"/>
      <c r="B8" s="148">
        <v>5</v>
      </c>
      <c r="C8" s="26">
        <f>VLOOKUP(D8,'[1]Codes &amp; Descr. SFICS25'!B:C,2,FALSE)</f>
        <v>21</v>
      </c>
      <c r="D8" s="26" t="s">
        <v>32</v>
      </c>
      <c r="E8" s="26">
        <f>+VLOOKUP(F8,'[1]Codes &amp; Descr. SFICS25'!D:E,2,FALSE)</f>
        <v>2101</v>
      </c>
      <c r="F8" s="26" t="s">
        <v>33</v>
      </c>
      <c r="G8" s="27">
        <f>VLOOKUP(H8,'[1]Codes &amp; Descr. SFICS25'!F:H,2,FALSE)</f>
        <v>210105</v>
      </c>
      <c r="H8" s="26" t="s">
        <v>65</v>
      </c>
      <c r="I8" s="26" t="s">
        <v>66</v>
      </c>
      <c r="J8" s="26" t="s">
        <v>67</v>
      </c>
      <c r="K8" s="27" t="s">
        <v>68</v>
      </c>
      <c r="L8" s="28" t="s">
        <v>68</v>
      </c>
      <c r="M8" s="29" t="s">
        <v>29</v>
      </c>
      <c r="N8" s="30" t="s">
        <v>69</v>
      </c>
      <c r="O8" s="30" t="s">
        <v>70</v>
      </c>
      <c r="P8" s="193" t="s">
        <v>71</v>
      </c>
      <c r="Q8" s="193" t="s">
        <v>72</v>
      </c>
      <c r="R8" s="30" t="s">
        <v>40</v>
      </c>
      <c r="S8" s="30" t="s">
        <v>40</v>
      </c>
      <c r="T8" s="32" t="s">
        <v>42</v>
      </c>
      <c r="U8" s="33" t="s">
        <v>43</v>
      </c>
      <c r="V8" s="33" t="s">
        <v>43</v>
      </c>
      <c r="W8" s="34">
        <v>0</v>
      </c>
      <c r="X8" s="34">
        <v>0</v>
      </c>
      <c r="Y8" s="34">
        <v>0</v>
      </c>
      <c r="Z8" s="34">
        <v>0</v>
      </c>
      <c r="AA8" s="34">
        <f t="shared" si="0"/>
        <v>1</v>
      </c>
      <c r="AB8" s="34">
        <v>0</v>
      </c>
    </row>
    <row r="9" spans="1:29" ht="32.25" customHeight="1">
      <c r="B9" s="148">
        <v>6</v>
      </c>
      <c r="C9" s="26">
        <f>VLOOKUP(D9,'[1]Codes &amp; Descr. SFICS25'!B:C,2,FALSE)</f>
        <v>21</v>
      </c>
      <c r="D9" s="26" t="s">
        <v>32</v>
      </c>
      <c r="E9" s="26">
        <f>+VLOOKUP(F9,'[1]Codes &amp; Descr. SFICS25'!D:E,2,FALSE)</f>
        <v>2101</v>
      </c>
      <c r="F9" s="26" t="s">
        <v>33</v>
      </c>
      <c r="G9" s="27">
        <f>VLOOKUP(H9,'[1]Codes &amp; Descr. SFICS25'!F:H,2,FALSE)</f>
        <v>210106</v>
      </c>
      <c r="H9" s="26" t="s">
        <v>73</v>
      </c>
      <c r="I9" s="26" t="s">
        <v>74</v>
      </c>
      <c r="J9" s="26" t="s">
        <v>75</v>
      </c>
      <c r="K9" s="27" t="s">
        <v>76</v>
      </c>
      <c r="L9" s="28" t="s">
        <v>76</v>
      </c>
      <c r="M9" s="29" t="s">
        <v>29</v>
      </c>
      <c r="N9" s="30" t="s">
        <v>77</v>
      </c>
      <c r="O9" s="36" t="s">
        <v>78</v>
      </c>
      <c r="P9" s="31" t="s">
        <v>79</v>
      </c>
      <c r="Q9" s="31" t="s">
        <v>80</v>
      </c>
      <c r="R9" s="30" t="s">
        <v>40</v>
      </c>
      <c r="S9" s="30" t="s">
        <v>40</v>
      </c>
      <c r="T9" s="32" t="s">
        <v>42</v>
      </c>
      <c r="U9" s="33" t="s">
        <v>43</v>
      </c>
      <c r="V9" s="33" t="s">
        <v>43</v>
      </c>
      <c r="W9" s="34">
        <v>0</v>
      </c>
      <c r="X9" s="34">
        <v>0</v>
      </c>
      <c r="Y9" s="34">
        <v>0</v>
      </c>
      <c r="Z9" s="34">
        <v>0</v>
      </c>
      <c r="AA9" s="34">
        <f t="shared" si="0"/>
        <v>1</v>
      </c>
      <c r="AB9" s="34">
        <v>0</v>
      </c>
    </row>
    <row r="10" spans="1:29" ht="32.25" customHeight="1">
      <c r="B10" s="148">
        <v>7</v>
      </c>
      <c r="C10" s="26">
        <f>VLOOKUP(D10,'[1]Codes &amp; Descr. SFICS25'!B:C,2,FALSE)</f>
        <v>21</v>
      </c>
      <c r="D10" s="26" t="s">
        <v>32</v>
      </c>
      <c r="E10" s="26">
        <f>+VLOOKUP(F10,'[1]Codes &amp; Descr. SFICS25'!D:E,2,FALSE)</f>
        <v>2101</v>
      </c>
      <c r="F10" s="26" t="s">
        <v>33</v>
      </c>
      <c r="G10" s="27">
        <f>VLOOKUP(H10,'[1]Codes &amp; Descr. SFICS25'!F:H,2,FALSE)</f>
        <v>210107</v>
      </c>
      <c r="H10" s="26" t="s">
        <v>81</v>
      </c>
      <c r="I10" s="26" t="s">
        <v>82</v>
      </c>
      <c r="J10" s="26" t="s">
        <v>83</v>
      </c>
      <c r="K10" s="27" t="s">
        <v>84</v>
      </c>
      <c r="L10" s="28" t="s">
        <v>84</v>
      </c>
      <c r="M10" s="29" t="s">
        <v>29</v>
      </c>
      <c r="N10" s="30" t="s">
        <v>85</v>
      </c>
      <c r="O10" s="30" t="s">
        <v>86</v>
      </c>
      <c r="P10" s="31" t="s">
        <v>40</v>
      </c>
      <c r="Q10" s="31" t="s">
        <v>87</v>
      </c>
      <c r="R10" s="30" t="s">
        <v>40</v>
      </c>
      <c r="S10" s="30" t="s">
        <v>40</v>
      </c>
      <c r="T10" s="32" t="s">
        <v>42</v>
      </c>
      <c r="U10" s="33" t="s">
        <v>43</v>
      </c>
      <c r="V10" s="33" t="s">
        <v>43</v>
      </c>
      <c r="W10" s="34">
        <v>0</v>
      </c>
      <c r="X10" s="34">
        <v>0</v>
      </c>
      <c r="Y10" s="34">
        <v>0</v>
      </c>
      <c r="Z10" s="34">
        <v>0</v>
      </c>
      <c r="AA10" s="34">
        <f t="shared" si="0"/>
        <v>0</v>
      </c>
      <c r="AB10" s="34">
        <v>0</v>
      </c>
    </row>
    <row r="11" spans="1:29" ht="32.25" customHeight="1">
      <c r="B11" s="148">
        <v>8</v>
      </c>
      <c r="C11" s="26">
        <f>VLOOKUP(D11,'[1]Codes &amp; Descr. SFICS25'!B:C,2,FALSE)</f>
        <v>21</v>
      </c>
      <c r="D11" s="26" t="s">
        <v>32</v>
      </c>
      <c r="E11" s="26">
        <f>+VLOOKUP(F11,'[1]Codes &amp; Descr. SFICS25'!D:E,2,FALSE)</f>
        <v>2101</v>
      </c>
      <c r="F11" s="26" t="s">
        <v>33</v>
      </c>
      <c r="G11" s="27">
        <f>VLOOKUP(H11,'[1]Codes &amp; Descr. SFICS25'!F:H,2,FALSE)</f>
        <v>210108</v>
      </c>
      <c r="H11" s="26" t="s">
        <v>88</v>
      </c>
      <c r="I11" s="26" t="s">
        <v>89</v>
      </c>
      <c r="J11" s="26" t="s">
        <v>90</v>
      </c>
      <c r="K11" s="27" t="s">
        <v>91</v>
      </c>
      <c r="L11" s="28" t="s">
        <v>92</v>
      </c>
      <c r="M11" s="29" t="s">
        <v>29</v>
      </c>
      <c r="N11" s="30" t="s">
        <v>93</v>
      </c>
      <c r="O11" s="30" t="s">
        <v>94</v>
      </c>
      <c r="P11" s="31" t="s">
        <v>95</v>
      </c>
      <c r="Q11" s="31" t="s">
        <v>96</v>
      </c>
      <c r="R11" s="30" t="s">
        <v>40</v>
      </c>
      <c r="S11" s="30" t="s">
        <v>40</v>
      </c>
      <c r="T11" s="32" t="s">
        <v>42</v>
      </c>
      <c r="U11" s="33" t="s">
        <v>43</v>
      </c>
      <c r="V11" s="33" t="s">
        <v>43</v>
      </c>
      <c r="W11" s="34">
        <v>0</v>
      </c>
      <c r="X11" s="34">
        <v>0</v>
      </c>
      <c r="Y11" s="34">
        <v>0</v>
      </c>
      <c r="Z11" s="34">
        <v>0</v>
      </c>
      <c r="AA11" s="34">
        <f t="shared" si="0"/>
        <v>1</v>
      </c>
      <c r="AB11" s="34">
        <v>0</v>
      </c>
    </row>
    <row r="12" spans="1:29" ht="32.25" customHeight="1">
      <c r="B12" s="148">
        <v>9</v>
      </c>
      <c r="C12" s="26">
        <f>VLOOKUP(D12,'[1]Codes &amp; Descr. SFICS25'!B:C,2,FALSE)</f>
        <v>21</v>
      </c>
      <c r="D12" s="26" t="s">
        <v>32</v>
      </c>
      <c r="E12" s="26">
        <f>+VLOOKUP(F12,'[1]Codes &amp; Descr. SFICS25'!D:E,2,FALSE)</f>
        <v>2101</v>
      </c>
      <c r="F12" s="26" t="s">
        <v>33</v>
      </c>
      <c r="G12" s="27">
        <f>VLOOKUP(H12,'[1]Codes &amp; Descr. SFICS25'!F:H,2,FALSE)</f>
        <v>210109</v>
      </c>
      <c r="H12" s="26" t="s">
        <v>97</v>
      </c>
      <c r="I12" s="26" t="s">
        <v>98</v>
      </c>
      <c r="J12" s="26" t="s">
        <v>99</v>
      </c>
      <c r="K12" s="27" t="s">
        <v>100</v>
      </c>
      <c r="L12" s="28" t="s">
        <v>100</v>
      </c>
      <c r="M12" s="29" t="s">
        <v>29</v>
      </c>
      <c r="N12" s="30" t="s">
        <v>101</v>
      </c>
      <c r="O12" s="30" t="s">
        <v>102</v>
      </c>
      <c r="P12" s="31" t="s">
        <v>40</v>
      </c>
      <c r="Q12" s="31" t="s">
        <v>103</v>
      </c>
      <c r="R12" s="30" t="s">
        <v>40</v>
      </c>
      <c r="S12" s="30" t="s">
        <v>40</v>
      </c>
      <c r="T12" s="32" t="s">
        <v>42</v>
      </c>
      <c r="U12" s="37" t="s">
        <v>43</v>
      </c>
      <c r="V12" s="33" t="s">
        <v>43</v>
      </c>
      <c r="W12" s="34">
        <v>0</v>
      </c>
      <c r="X12" s="34">
        <v>0</v>
      </c>
      <c r="Y12" s="34">
        <v>0</v>
      </c>
      <c r="Z12" s="34">
        <v>0</v>
      </c>
      <c r="AA12" s="34">
        <f t="shared" si="0"/>
        <v>0</v>
      </c>
      <c r="AB12" s="34">
        <v>0</v>
      </c>
    </row>
    <row r="13" spans="1:29" ht="32.25" customHeight="1">
      <c r="B13" s="148">
        <v>10</v>
      </c>
      <c r="C13" s="26">
        <f>VLOOKUP(D13,'[1]Codes &amp; Descr. SFICS25'!B:C,2,FALSE)</f>
        <v>21</v>
      </c>
      <c r="D13" s="26" t="s">
        <v>32</v>
      </c>
      <c r="E13" s="26">
        <f>+VLOOKUP(F13,'[1]Codes &amp; Descr. SFICS25'!D:E,2,FALSE)</f>
        <v>2101</v>
      </c>
      <c r="F13" s="26" t="s">
        <v>33</v>
      </c>
      <c r="G13" s="27">
        <f>VLOOKUP(H13,'[1]Codes &amp; Descr. SFICS25'!F:H,2,FALSE)</f>
        <v>210110</v>
      </c>
      <c r="H13" s="26" t="s">
        <v>104</v>
      </c>
      <c r="I13" s="26" t="s">
        <v>105</v>
      </c>
      <c r="J13" s="26" t="s">
        <v>106</v>
      </c>
      <c r="K13" s="27" t="s">
        <v>107</v>
      </c>
      <c r="L13" s="28" t="s">
        <v>107</v>
      </c>
      <c r="M13" s="29" t="s">
        <v>29</v>
      </c>
      <c r="N13" s="30" t="s">
        <v>108</v>
      </c>
      <c r="O13" s="30" t="s">
        <v>109</v>
      </c>
      <c r="P13" s="31" t="s">
        <v>110</v>
      </c>
      <c r="Q13" s="31" t="s">
        <v>111</v>
      </c>
      <c r="R13" s="30" t="s">
        <v>40</v>
      </c>
      <c r="S13" s="30" t="s">
        <v>40</v>
      </c>
      <c r="T13" s="32" t="s">
        <v>42</v>
      </c>
      <c r="U13" s="33" t="s">
        <v>43</v>
      </c>
      <c r="V13" s="33" t="s">
        <v>43</v>
      </c>
      <c r="W13" s="34">
        <v>0</v>
      </c>
      <c r="X13" s="34">
        <v>0</v>
      </c>
      <c r="Y13" s="34">
        <v>0</v>
      </c>
      <c r="Z13" s="34">
        <v>0</v>
      </c>
      <c r="AA13" s="34">
        <f t="shared" si="0"/>
        <v>1</v>
      </c>
      <c r="AB13" s="34">
        <v>0</v>
      </c>
    </row>
    <row r="14" spans="1:29" ht="32.25" customHeight="1">
      <c r="B14" s="148">
        <v>11</v>
      </c>
      <c r="C14" s="26">
        <f>VLOOKUP(D14,'[1]Codes &amp; Descr. SFICS25'!B:C,2,FALSE)</f>
        <v>21</v>
      </c>
      <c r="D14" s="26" t="s">
        <v>32</v>
      </c>
      <c r="E14" s="26">
        <f>+VLOOKUP(F14,'[1]Codes &amp; Descr. SFICS25'!D:E,2,FALSE)</f>
        <v>2102</v>
      </c>
      <c r="F14" s="26" t="s">
        <v>112</v>
      </c>
      <c r="G14" s="27">
        <f>VLOOKUP(H14,'[1]Codes &amp; Descr. SFICS25'!F:H,2,FALSE)</f>
        <v>210201</v>
      </c>
      <c r="H14" s="26" t="s">
        <v>113</v>
      </c>
      <c r="I14" s="26" t="s">
        <v>114</v>
      </c>
      <c r="J14" s="26" t="s">
        <v>115</v>
      </c>
      <c r="K14" s="27" t="s">
        <v>116</v>
      </c>
      <c r="L14" s="28" t="s">
        <v>117</v>
      </c>
      <c r="M14" s="29" t="s">
        <v>29</v>
      </c>
      <c r="N14" s="30" t="s">
        <v>118</v>
      </c>
      <c r="O14" s="30" t="s">
        <v>119</v>
      </c>
      <c r="P14" s="31" t="s">
        <v>120</v>
      </c>
      <c r="Q14" s="31" t="s">
        <v>121</v>
      </c>
      <c r="R14" s="30" t="s">
        <v>40</v>
      </c>
      <c r="S14" s="30" t="s">
        <v>40</v>
      </c>
      <c r="T14" s="32" t="s">
        <v>42</v>
      </c>
      <c r="U14" s="33" t="s">
        <v>43</v>
      </c>
      <c r="V14" s="33" t="s">
        <v>43</v>
      </c>
      <c r="W14" s="34">
        <v>0</v>
      </c>
      <c r="X14" s="34">
        <v>0</v>
      </c>
      <c r="Y14" s="34">
        <v>0</v>
      </c>
      <c r="Z14" s="34">
        <v>0</v>
      </c>
      <c r="AA14" s="34">
        <f t="shared" si="0"/>
        <v>1</v>
      </c>
      <c r="AB14" s="34">
        <v>0</v>
      </c>
    </row>
    <row r="15" spans="1:29" ht="32.25" customHeight="1">
      <c r="A15" s="35"/>
      <c r="B15" s="148">
        <v>12</v>
      </c>
      <c r="C15" s="26">
        <f>VLOOKUP(D15,'[1]Codes &amp; Descr. SFICS25'!B:C,2,FALSE)</f>
        <v>21</v>
      </c>
      <c r="D15" s="26" t="s">
        <v>32</v>
      </c>
      <c r="E15" s="26">
        <f>+VLOOKUP(F15,'[1]Codes &amp; Descr. SFICS25'!D:E,2,FALSE)</f>
        <v>2102</v>
      </c>
      <c r="F15" s="26" t="s">
        <v>112</v>
      </c>
      <c r="G15" s="27">
        <f>VLOOKUP(H15,'[1]Codes &amp; Descr. SFICS25'!F:H,2,FALSE)</f>
        <v>210202</v>
      </c>
      <c r="H15" s="26" t="s">
        <v>122</v>
      </c>
      <c r="I15" s="26" t="s">
        <v>123</v>
      </c>
      <c r="J15" s="26" t="s">
        <v>124</v>
      </c>
      <c r="K15" s="27" t="s">
        <v>125</v>
      </c>
      <c r="L15" s="28" t="s">
        <v>125</v>
      </c>
      <c r="M15" s="29" t="s">
        <v>29</v>
      </c>
      <c r="N15" s="30" t="s">
        <v>126</v>
      </c>
      <c r="O15" s="30" t="s">
        <v>127</v>
      </c>
      <c r="P15" s="194" t="s">
        <v>128</v>
      </c>
      <c r="Q15" s="31" t="s">
        <v>129</v>
      </c>
      <c r="R15" s="30" t="s">
        <v>40</v>
      </c>
      <c r="S15" s="30" t="s">
        <v>40</v>
      </c>
      <c r="T15" s="32" t="s">
        <v>42</v>
      </c>
      <c r="U15" s="33" t="s">
        <v>43</v>
      </c>
      <c r="V15" s="33" t="s">
        <v>43</v>
      </c>
      <c r="W15" s="34">
        <v>0</v>
      </c>
      <c r="X15" s="34">
        <v>0</v>
      </c>
      <c r="Y15" s="34">
        <v>0</v>
      </c>
      <c r="Z15" s="34">
        <v>0</v>
      </c>
      <c r="AA15" s="34">
        <f t="shared" si="0"/>
        <v>1</v>
      </c>
      <c r="AB15" s="34">
        <v>0</v>
      </c>
    </row>
    <row r="16" spans="1:29" ht="32.25" customHeight="1">
      <c r="B16" s="148">
        <v>13</v>
      </c>
      <c r="C16" s="26">
        <f>VLOOKUP(D16,'[1]Codes &amp; Descr. SFICS25'!B:C,2,FALSE)</f>
        <v>21</v>
      </c>
      <c r="D16" s="26" t="s">
        <v>32</v>
      </c>
      <c r="E16" s="26">
        <f>+VLOOKUP(F16,'[1]Codes &amp; Descr. SFICS25'!D:E,2,FALSE)</f>
        <v>2102</v>
      </c>
      <c r="F16" s="26" t="s">
        <v>112</v>
      </c>
      <c r="G16" s="27">
        <f>VLOOKUP(H16,'[1]Codes &amp; Descr. SFICS25'!F:H,2,FALSE)</f>
        <v>210203</v>
      </c>
      <c r="H16" s="26" t="s">
        <v>130</v>
      </c>
      <c r="I16" s="26" t="s">
        <v>131</v>
      </c>
      <c r="J16" s="26" t="s">
        <v>132</v>
      </c>
      <c r="K16" s="27" t="s">
        <v>133</v>
      </c>
      <c r="L16" s="28" t="s">
        <v>133</v>
      </c>
      <c r="M16" s="29" t="s">
        <v>29</v>
      </c>
      <c r="N16" s="30" t="s">
        <v>134</v>
      </c>
      <c r="O16" s="30" t="s">
        <v>135</v>
      </c>
      <c r="P16" s="31" t="s">
        <v>136</v>
      </c>
      <c r="Q16" s="31" t="s">
        <v>137</v>
      </c>
      <c r="R16" s="30" t="s">
        <v>40</v>
      </c>
      <c r="S16" s="30" t="s">
        <v>40</v>
      </c>
      <c r="T16" s="32" t="s">
        <v>42</v>
      </c>
      <c r="U16" s="33" t="s">
        <v>43</v>
      </c>
      <c r="V16" s="33" t="s">
        <v>43</v>
      </c>
      <c r="W16" s="34">
        <v>0</v>
      </c>
      <c r="X16" s="34">
        <v>0</v>
      </c>
      <c r="Y16" s="34">
        <v>0</v>
      </c>
      <c r="Z16" s="34">
        <v>0</v>
      </c>
      <c r="AA16" s="34">
        <f t="shared" si="0"/>
        <v>1</v>
      </c>
      <c r="AB16" s="34">
        <v>0</v>
      </c>
    </row>
    <row r="17" spans="1:29" ht="32.25" customHeight="1">
      <c r="B17" s="148">
        <v>14</v>
      </c>
      <c r="C17" s="26">
        <f>VLOOKUP(D17,'[1]Codes &amp; Descr. SFICS25'!B:C,2,FALSE)</f>
        <v>21</v>
      </c>
      <c r="D17" s="26" t="s">
        <v>32</v>
      </c>
      <c r="E17" s="26">
        <f>+VLOOKUP(F17,'[1]Codes &amp; Descr. SFICS25'!D:E,2,FALSE)</f>
        <v>2102</v>
      </c>
      <c r="F17" s="26" t="s">
        <v>112</v>
      </c>
      <c r="G17" s="27">
        <f>VLOOKUP(H17,'[1]Codes &amp; Descr. SFICS25'!F:H,2,FALSE)</f>
        <v>210204</v>
      </c>
      <c r="H17" s="26" t="s">
        <v>138</v>
      </c>
      <c r="I17" s="26" t="s">
        <v>139</v>
      </c>
      <c r="J17" s="26" t="s">
        <v>140</v>
      </c>
      <c r="K17" s="27" t="s">
        <v>141</v>
      </c>
      <c r="L17" s="28" t="s">
        <v>142</v>
      </c>
      <c r="M17" s="38" t="s">
        <v>29</v>
      </c>
      <c r="N17" s="30" t="s">
        <v>143</v>
      </c>
      <c r="O17" s="30" t="s">
        <v>144</v>
      </c>
      <c r="P17" s="31" t="s">
        <v>145</v>
      </c>
      <c r="Q17" s="31" t="s">
        <v>146</v>
      </c>
      <c r="R17" s="30" t="s">
        <v>40</v>
      </c>
      <c r="S17" s="30" t="s">
        <v>40</v>
      </c>
      <c r="T17" s="32" t="s">
        <v>42</v>
      </c>
      <c r="U17" s="33" t="s">
        <v>43</v>
      </c>
      <c r="V17" s="33" t="s">
        <v>43</v>
      </c>
      <c r="W17" s="34">
        <v>0</v>
      </c>
      <c r="X17" s="34">
        <v>0</v>
      </c>
      <c r="Y17" s="34">
        <v>0</v>
      </c>
      <c r="Z17" s="34">
        <v>0</v>
      </c>
      <c r="AA17" s="34">
        <f t="shared" si="0"/>
        <v>1</v>
      </c>
      <c r="AB17" s="34">
        <v>0</v>
      </c>
    </row>
    <row r="18" spans="1:29" ht="32.25" customHeight="1">
      <c r="A18" s="35"/>
      <c r="B18" s="148">
        <v>15</v>
      </c>
      <c r="C18" s="26">
        <f>VLOOKUP(D18,'[1]Codes &amp; Descr. SFICS25'!B:C,2,FALSE)</f>
        <v>21</v>
      </c>
      <c r="D18" s="26" t="s">
        <v>32</v>
      </c>
      <c r="E18" s="26">
        <f>+VLOOKUP(F18,'[1]Codes &amp; Descr. SFICS25'!D:E,2,FALSE)</f>
        <v>2102</v>
      </c>
      <c r="F18" s="26" t="s">
        <v>112</v>
      </c>
      <c r="G18" s="27">
        <f>VLOOKUP(H18,'[1]Codes &amp; Descr. SFICS25'!F:H,2,FALSE)</f>
        <v>210205</v>
      </c>
      <c r="H18" s="26" t="s">
        <v>147</v>
      </c>
      <c r="I18" s="26" t="s">
        <v>148</v>
      </c>
      <c r="J18" s="26" t="s">
        <v>149</v>
      </c>
      <c r="K18" s="27" t="s">
        <v>150</v>
      </c>
      <c r="L18" s="28" t="s">
        <v>150</v>
      </c>
      <c r="M18" s="39" t="s">
        <v>29</v>
      </c>
      <c r="N18" s="30" t="s">
        <v>151</v>
      </c>
      <c r="O18" s="30" t="s">
        <v>152</v>
      </c>
      <c r="P18" s="193" t="s">
        <v>153</v>
      </c>
      <c r="Q18" s="31" t="s">
        <v>154</v>
      </c>
      <c r="R18" s="30" t="s">
        <v>40</v>
      </c>
      <c r="S18" s="30" t="s">
        <v>40</v>
      </c>
      <c r="T18" s="32" t="s">
        <v>42</v>
      </c>
      <c r="U18" s="33" t="s">
        <v>43</v>
      </c>
      <c r="V18" s="33" t="s">
        <v>43</v>
      </c>
      <c r="W18" s="34">
        <v>0</v>
      </c>
      <c r="X18" s="34">
        <v>0</v>
      </c>
      <c r="Y18" s="34">
        <v>0</v>
      </c>
      <c r="Z18" s="34">
        <v>0</v>
      </c>
      <c r="AA18" s="34">
        <f t="shared" si="0"/>
        <v>1</v>
      </c>
      <c r="AB18" s="34">
        <v>0</v>
      </c>
    </row>
    <row r="19" spans="1:29" ht="32.25" customHeight="1">
      <c r="B19" s="148">
        <v>16</v>
      </c>
      <c r="C19" s="26">
        <f>VLOOKUP(D19,'[1]Codes &amp; Descr. SFICS25'!B:C,2,FALSE)</f>
        <v>21</v>
      </c>
      <c r="D19" s="26" t="s">
        <v>32</v>
      </c>
      <c r="E19" s="26">
        <f>+VLOOKUP(F19,'[1]Codes &amp; Descr. SFICS25'!D:E,2,FALSE)</f>
        <v>2102</v>
      </c>
      <c r="F19" s="26" t="s">
        <v>112</v>
      </c>
      <c r="G19" s="27">
        <f>VLOOKUP(H19,'[1]Codes &amp; Descr. SFICS25'!F:H,2,FALSE)</f>
        <v>210206</v>
      </c>
      <c r="H19" s="26" t="s">
        <v>155</v>
      </c>
      <c r="I19" s="26" t="s">
        <v>156</v>
      </c>
      <c r="J19" s="26" t="s">
        <v>157</v>
      </c>
      <c r="K19" s="27" t="s">
        <v>158</v>
      </c>
      <c r="L19" s="28" t="s">
        <v>158</v>
      </c>
      <c r="M19" s="39" t="s">
        <v>29</v>
      </c>
      <c r="N19" s="30" t="s">
        <v>159</v>
      </c>
      <c r="O19" s="30" t="s">
        <v>160</v>
      </c>
      <c r="P19" s="31" t="s">
        <v>161</v>
      </c>
      <c r="Q19" s="31" t="s">
        <v>162</v>
      </c>
      <c r="R19" s="30" t="s">
        <v>40</v>
      </c>
      <c r="S19" s="30" t="s">
        <v>40</v>
      </c>
      <c r="T19" s="32" t="s">
        <v>42</v>
      </c>
      <c r="U19" s="33" t="s">
        <v>43</v>
      </c>
      <c r="V19" s="33" t="s">
        <v>43</v>
      </c>
      <c r="W19" s="34">
        <v>0</v>
      </c>
      <c r="X19" s="34">
        <v>0</v>
      </c>
      <c r="Y19" s="34">
        <v>0</v>
      </c>
      <c r="Z19" s="34">
        <v>0</v>
      </c>
      <c r="AA19" s="34">
        <f t="shared" si="0"/>
        <v>1</v>
      </c>
      <c r="AB19" s="34">
        <v>0</v>
      </c>
    </row>
    <row r="20" spans="1:29" ht="32.25" customHeight="1">
      <c r="A20" s="35"/>
      <c r="B20" s="148">
        <v>17</v>
      </c>
      <c r="C20" s="26">
        <f>VLOOKUP(D20,'[1]Codes &amp; Descr. SFICS25'!B:C,2,FALSE)</f>
        <v>21</v>
      </c>
      <c r="D20" s="26" t="s">
        <v>32</v>
      </c>
      <c r="E20" s="26">
        <f>+VLOOKUP(F20,'[1]Codes &amp; Descr. SFICS25'!D:E,2,FALSE)</f>
        <v>2102</v>
      </c>
      <c r="F20" s="26" t="s">
        <v>112</v>
      </c>
      <c r="G20" s="27">
        <f>VLOOKUP(H20,'[1]Codes &amp; Descr. SFICS25'!F:H,2,FALSE)</f>
        <v>210207</v>
      </c>
      <c r="H20" s="26" t="s">
        <v>163</v>
      </c>
      <c r="I20" s="26" t="s">
        <v>164</v>
      </c>
      <c r="J20" s="26" t="s">
        <v>165</v>
      </c>
      <c r="K20" s="27" t="s">
        <v>166</v>
      </c>
      <c r="L20" s="28" t="s">
        <v>166</v>
      </c>
      <c r="M20" s="39" t="s">
        <v>29</v>
      </c>
      <c r="N20" s="30" t="s">
        <v>167</v>
      </c>
      <c r="O20" s="30" t="s">
        <v>168</v>
      </c>
      <c r="P20" s="193" t="s">
        <v>153</v>
      </c>
      <c r="Q20" s="31" t="s">
        <v>169</v>
      </c>
      <c r="R20" s="30" t="s">
        <v>40</v>
      </c>
      <c r="S20" s="30" t="s">
        <v>40</v>
      </c>
      <c r="T20" s="32" t="s">
        <v>42</v>
      </c>
      <c r="U20" s="33" t="s">
        <v>43</v>
      </c>
      <c r="V20" s="33" t="s">
        <v>43</v>
      </c>
      <c r="W20" s="34">
        <v>0</v>
      </c>
      <c r="X20" s="34">
        <v>0</v>
      </c>
      <c r="Y20" s="34">
        <v>0</v>
      </c>
      <c r="Z20" s="34">
        <v>0</v>
      </c>
      <c r="AA20" s="34">
        <f t="shared" si="0"/>
        <v>1</v>
      </c>
      <c r="AB20" s="34">
        <v>0</v>
      </c>
    </row>
    <row r="21" spans="1:29" ht="32.25" customHeight="1">
      <c r="B21" s="148">
        <v>18</v>
      </c>
      <c r="C21" s="26">
        <f>VLOOKUP(D21,'[1]Codes &amp; Descr. SFICS25'!B:C,2,FALSE)</f>
        <v>21</v>
      </c>
      <c r="D21" s="26" t="s">
        <v>32</v>
      </c>
      <c r="E21" s="26">
        <f>+VLOOKUP(F21,'[1]Codes &amp; Descr. SFICS25'!D:E,2,FALSE)</f>
        <v>2102</v>
      </c>
      <c r="F21" s="26" t="s">
        <v>112</v>
      </c>
      <c r="G21" s="27">
        <f>VLOOKUP(H21,'[1]Codes &amp; Descr. SFICS25'!F:H,2,FALSE)</f>
        <v>210208</v>
      </c>
      <c r="H21" s="26" t="s">
        <v>170</v>
      </c>
      <c r="I21" s="26" t="s">
        <v>171</v>
      </c>
      <c r="J21" s="26" t="s">
        <v>172</v>
      </c>
      <c r="K21" s="27" t="s">
        <v>173</v>
      </c>
      <c r="L21" s="28" t="s">
        <v>174</v>
      </c>
      <c r="M21" s="39" t="s">
        <v>29</v>
      </c>
      <c r="N21" s="30" t="s">
        <v>175</v>
      </c>
      <c r="O21" s="30" t="s">
        <v>176</v>
      </c>
      <c r="P21" s="31" t="s">
        <v>177</v>
      </c>
      <c r="Q21" s="31" t="s">
        <v>178</v>
      </c>
      <c r="R21" s="30" t="s">
        <v>40</v>
      </c>
      <c r="S21" s="30" t="s">
        <v>40</v>
      </c>
      <c r="T21" s="32" t="s">
        <v>42</v>
      </c>
      <c r="U21" s="33" t="s">
        <v>43</v>
      </c>
      <c r="V21" s="33" t="s">
        <v>43</v>
      </c>
      <c r="W21" s="34">
        <v>0</v>
      </c>
      <c r="X21" s="34">
        <v>0</v>
      </c>
      <c r="Y21" s="34">
        <v>0</v>
      </c>
      <c r="Z21" s="34">
        <v>0</v>
      </c>
      <c r="AA21" s="34">
        <f t="shared" si="0"/>
        <v>1</v>
      </c>
      <c r="AB21" s="34">
        <v>0</v>
      </c>
    </row>
    <row r="22" spans="1:29" ht="32.25" customHeight="1">
      <c r="B22" s="148">
        <v>19</v>
      </c>
      <c r="C22" s="26">
        <f>VLOOKUP(D22,'[1]Codes &amp; Descr. SFICS25'!B:C,2,FALSE)</f>
        <v>21</v>
      </c>
      <c r="D22" s="26" t="s">
        <v>32</v>
      </c>
      <c r="E22" s="26">
        <f>+VLOOKUP(F22,'[1]Codes &amp; Descr. SFICS25'!D:E,2,FALSE)</f>
        <v>2104</v>
      </c>
      <c r="F22" s="26" t="s">
        <v>179</v>
      </c>
      <c r="G22" s="27">
        <f>VLOOKUP(H22,'[1]Codes &amp; Descr. SFICS25'!F:H,2,FALSE)</f>
        <v>210419</v>
      </c>
      <c r="H22" s="26" t="s">
        <v>180</v>
      </c>
      <c r="I22" s="26" t="s">
        <v>181</v>
      </c>
      <c r="J22" s="26" t="s">
        <v>181</v>
      </c>
      <c r="K22" s="27" t="s">
        <v>180</v>
      </c>
      <c r="L22" s="28" t="s">
        <v>180</v>
      </c>
      <c r="M22" s="39" t="s">
        <v>29</v>
      </c>
      <c r="N22" s="30" t="s">
        <v>182</v>
      </c>
      <c r="O22" s="30" t="s">
        <v>183</v>
      </c>
      <c r="P22" s="31" t="s">
        <v>40</v>
      </c>
      <c r="Q22" s="31" t="s">
        <v>184</v>
      </c>
      <c r="R22" s="30" t="s">
        <v>40</v>
      </c>
      <c r="S22" s="30" t="s">
        <v>40</v>
      </c>
      <c r="T22" s="32" t="s">
        <v>42</v>
      </c>
      <c r="U22" s="33" t="s">
        <v>185</v>
      </c>
      <c r="V22" s="33" t="s">
        <v>43</v>
      </c>
      <c r="W22" s="34">
        <v>0</v>
      </c>
      <c r="X22" s="34">
        <v>0</v>
      </c>
      <c r="Y22" s="34">
        <v>0</v>
      </c>
      <c r="Z22" s="34">
        <v>0</v>
      </c>
      <c r="AA22" s="34">
        <f t="shared" si="0"/>
        <v>0</v>
      </c>
      <c r="AB22" s="34">
        <v>0</v>
      </c>
    </row>
    <row r="23" spans="1:29" ht="32.25" customHeight="1">
      <c r="B23" s="148">
        <v>20</v>
      </c>
      <c r="C23" s="26">
        <f>VLOOKUP(D23,'[1]Codes &amp; Descr. SFICS25'!B:C,2,FALSE)</f>
        <v>21</v>
      </c>
      <c r="D23" s="26" t="s">
        <v>32</v>
      </c>
      <c r="E23" s="26">
        <f>+VLOOKUP(F23,'[1]Codes &amp; Descr. SFICS25'!D:E,2,FALSE)</f>
        <v>2104</v>
      </c>
      <c r="F23" s="26" t="s">
        <v>179</v>
      </c>
      <c r="G23" s="27">
        <f>VLOOKUP(H23,'[1]Codes &amp; Descr. SFICS25'!F:H,2,FALSE)</f>
        <v>210420</v>
      </c>
      <c r="H23" s="26" t="s">
        <v>186</v>
      </c>
      <c r="I23" s="26" t="s">
        <v>187</v>
      </c>
      <c r="J23" s="26" t="s">
        <v>188</v>
      </c>
      <c r="K23" s="27" t="s">
        <v>189</v>
      </c>
      <c r="L23" s="28" t="s">
        <v>190</v>
      </c>
      <c r="M23" s="39" t="s">
        <v>29</v>
      </c>
      <c r="N23" s="30" t="s">
        <v>191</v>
      </c>
      <c r="O23" s="30" t="s">
        <v>192</v>
      </c>
      <c r="P23" s="31" t="s">
        <v>40</v>
      </c>
      <c r="Q23" s="31" t="s">
        <v>193</v>
      </c>
      <c r="R23" s="30" t="s">
        <v>40</v>
      </c>
      <c r="S23" s="30" t="s">
        <v>40</v>
      </c>
      <c r="T23" s="32" t="s">
        <v>42</v>
      </c>
      <c r="U23" s="33" t="s">
        <v>43</v>
      </c>
      <c r="V23" s="33" t="s">
        <v>43</v>
      </c>
      <c r="W23" s="34">
        <v>0</v>
      </c>
      <c r="X23" s="34">
        <v>0</v>
      </c>
      <c r="Y23" s="34">
        <v>0</v>
      </c>
      <c r="Z23" s="34">
        <v>0</v>
      </c>
      <c r="AA23" s="34">
        <f t="shared" si="0"/>
        <v>0</v>
      </c>
      <c r="AB23" s="34">
        <v>0</v>
      </c>
    </row>
    <row r="24" spans="1:29" ht="32.25" customHeight="1">
      <c r="B24" s="148">
        <v>21</v>
      </c>
      <c r="C24" s="26">
        <f>VLOOKUP(D24,'[1]Codes &amp; Descr. SFICS25'!B:C,2,FALSE)</f>
        <v>21</v>
      </c>
      <c r="D24" s="26" t="s">
        <v>32</v>
      </c>
      <c r="E24" s="26">
        <f>+VLOOKUP(F24,'[1]Codes &amp; Descr. SFICS25'!D:E,2,FALSE)</f>
        <v>2104</v>
      </c>
      <c r="F24" s="26" t="s">
        <v>179</v>
      </c>
      <c r="G24" s="27">
        <f>VLOOKUP(H24,'[1]Codes &amp; Descr. SFICS25'!F:H,2,FALSE)</f>
        <v>210421</v>
      </c>
      <c r="H24" s="26" t="s">
        <v>194</v>
      </c>
      <c r="I24" s="26" t="s">
        <v>195</v>
      </c>
      <c r="J24" s="26" t="s">
        <v>195</v>
      </c>
      <c r="K24" s="27" t="s">
        <v>194</v>
      </c>
      <c r="L24" s="28" t="s">
        <v>194</v>
      </c>
      <c r="M24" s="39" t="s">
        <v>29</v>
      </c>
      <c r="N24" s="30" t="s">
        <v>196</v>
      </c>
      <c r="O24" s="30" t="s">
        <v>197</v>
      </c>
      <c r="P24" s="31" t="s">
        <v>40</v>
      </c>
      <c r="Q24" s="31" t="s">
        <v>198</v>
      </c>
      <c r="R24" s="30" t="s">
        <v>40</v>
      </c>
      <c r="S24" s="30" t="s">
        <v>40</v>
      </c>
      <c r="T24" s="32" t="s">
        <v>42</v>
      </c>
      <c r="U24" s="33" t="s">
        <v>43</v>
      </c>
      <c r="V24" s="33" t="s">
        <v>43</v>
      </c>
      <c r="W24" s="34">
        <v>0</v>
      </c>
      <c r="X24" s="34">
        <v>0</v>
      </c>
      <c r="Y24" s="34">
        <v>0</v>
      </c>
      <c r="Z24" s="34">
        <v>0</v>
      </c>
      <c r="AA24" s="34">
        <f t="shared" si="0"/>
        <v>0</v>
      </c>
      <c r="AB24" s="34">
        <v>0</v>
      </c>
    </row>
    <row r="25" spans="1:29" ht="32.25" customHeight="1">
      <c r="B25" s="148">
        <v>22</v>
      </c>
      <c r="C25" s="26">
        <f>VLOOKUP(D25,'[1]Codes &amp; Descr. SFICS25'!B:C,2,FALSE)</f>
        <v>21</v>
      </c>
      <c r="D25" s="26" t="s">
        <v>32</v>
      </c>
      <c r="E25" s="26">
        <f>+VLOOKUP(F25,'[1]Codes &amp; Descr. SFICS25'!D:E,2,FALSE)</f>
        <v>2106</v>
      </c>
      <c r="F25" s="26" t="s">
        <v>199</v>
      </c>
      <c r="G25" s="27">
        <f>VLOOKUP(H25,'[1]Codes &amp; Descr. SFICS25'!F:H,2,FALSE)</f>
        <v>210601</v>
      </c>
      <c r="H25" s="26" t="s">
        <v>200</v>
      </c>
      <c r="I25" s="26" t="s">
        <v>201</v>
      </c>
      <c r="J25" s="26" t="s">
        <v>202</v>
      </c>
      <c r="K25" s="27" t="s">
        <v>203</v>
      </c>
      <c r="L25" s="28" t="s">
        <v>203</v>
      </c>
      <c r="M25" s="39" t="s">
        <v>29</v>
      </c>
      <c r="N25" s="30" t="s">
        <v>204</v>
      </c>
      <c r="O25" s="30" t="s">
        <v>205</v>
      </c>
      <c r="P25" s="31" t="s">
        <v>40</v>
      </c>
      <c r="Q25" s="40" t="s">
        <v>206</v>
      </c>
      <c r="R25" s="30" t="s">
        <v>40</v>
      </c>
      <c r="S25" s="30" t="s">
        <v>40</v>
      </c>
      <c r="T25" s="32" t="s">
        <v>42</v>
      </c>
      <c r="U25" s="33" t="s">
        <v>185</v>
      </c>
      <c r="V25" s="33" t="s">
        <v>43</v>
      </c>
      <c r="W25" s="34">
        <v>0</v>
      </c>
      <c r="X25" s="34">
        <v>0</v>
      </c>
      <c r="Y25" s="34">
        <v>0</v>
      </c>
      <c r="Z25" s="34">
        <v>0</v>
      </c>
      <c r="AA25" s="34">
        <f t="shared" si="0"/>
        <v>0</v>
      </c>
      <c r="AB25" s="34">
        <v>0</v>
      </c>
    </row>
    <row r="26" spans="1:29" ht="32.25" customHeight="1">
      <c r="B26" s="148">
        <v>23</v>
      </c>
      <c r="C26" s="26">
        <f>VLOOKUP(D26,'[1]Codes &amp; Descr. SFICS25'!B:C,2,FALSE)</f>
        <v>21</v>
      </c>
      <c r="D26" s="26" t="s">
        <v>32</v>
      </c>
      <c r="E26" s="26">
        <f>+VLOOKUP(F26,'[1]Codes &amp; Descr. SFICS25'!D:E,2,FALSE)</f>
        <v>2106</v>
      </c>
      <c r="F26" s="26" t="s">
        <v>199</v>
      </c>
      <c r="G26" s="27">
        <f>VLOOKUP(H26,'[1]Codes &amp; Descr. SFICS25'!F:H,2,FALSE)</f>
        <v>210602</v>
      </c>
      <c r="H26" s="26" t="s">
        <v>207</v>
      </c>
      <c r="I26" s="26" t="s">
        <v>208</v>
      </c>
      <c r="J26" s="26" t="s">
        <v>209</v>
      </c>
      <c r="K26" s="27" t="s">
        <v>210</v>
      </c>
      <c r="L26" s="28" t="s">
        <v>210</v>
      </c>
      <c r="M26" s="39" t="s">
        <v>29</v>
      </c>
      <c r="N26" s="30" t="s">
        <v>211</v>
      </c>
      <c r="O26" s="36" t="s">
        <v>212</v>
      </c>
      <c r="P26" s="31" t="s">
        <v>40</v>
      </c>
      <c r="Q26" s="40" t="s">
        <v>213</v>
      </c>
      <c r="R26" s="30" t="s">
        <v>40</v>
      </c>
      <c r="S26" s="30" t="s">
        <v>40</v>
      </c>
      <c r="T26" s="32" t="s">
        <v>42</v>
      </c>
      <c r="U26" s="33" t="s">
        <v>185</v>
      </c>
      <c r="V26" s="33" t="s">
        <v>43</v>
      </c>
      <c r="W26" s="34">
        <v>0</v>
      </c>
      <c r="X26" s="34">
        <v>0</v>
      </c>
      <c r="Y26" s="34">
        <v>0</v>
      </c>
      <c r="Z26" s="34">
        <v>0</v>
      </c>
      <c r="AA26" s="34">
        <f t="shared" si="0"/>
        <v>0</v>
      </c>
      <c r="AB26" s="34">
        <v>0</v>
      </c>
    </row>
    <row r="27" spans="1:29" ht="32.25" customHeight="1">
      <c r="B27" s="148">
        <v>24</v>
      </c>
      <c r="C27" s="26">
        <f>VLOOKUP(D27,'[1]Codes &amp; Descr. SFICS25'!B:C,2,FALSE)</f>
        <v>21</v>
      </c>
      <c r="D27" s="26" t="s">
        <v>32</v>
      </c>
      <c r="E27" s="26">
        <f>+VLOOKUP(F27,'[1]Codes &amp; Descr. SFICS25'!D:E,2,FALSE)</f>
        <v>2106</v>
      </c>
      <c r="F27" s="26" t="s">
        <v>199</v>
      </c>
      <c r="G27" s="27">
        <f>VLOOKUP(H27,'[1]Codes &amp; Descr. SFICS25'!F:H,2,FALSE)</f>
        <v>210603</v>
      </c>
      <c r="H27" s="26" t="s">
        <v>214</v>
      </c>
      <c r="I27" s="26" t="s">
        <v>215</v>
      </c>
      <c r="J27" s="26" t="s">
        <v>216</v>
      </c>
      <c r="K27" s="27" t="s">
        <v>217</v>
      </c>
      <c r="L27" s="28" t="s">
        <v>217</v>
      </c>
      <c r="M27" s="39" t="s">
        <v>29</v>
      </c>
      <c r="N27" s="30" t="s">
        <v>218</v>
      </c>
      <c r="O27" s="30" t="s">
        <v>219</v>
      </c>
      <c r="P27" s="31" t="s">
        <v>220</v>
      </c>
      <c r="Q27" s="40" t="s">
        <v>221</v>
      </c>
      <c r="R27" s="30" t="s">
        <v>40</v>
      </c>
      <c r="S27" s="30" t="s">
        <v>40</v>
      </c>
      <c r="T27" s="32" t="s">
        <v>42</v>
      </c>
      <c r="U27" s="33" t="s">
        <v>185</v>
      </c>
      <c r="V27" s="33" t="s">
        <v>43</v>
      </c>
      <c r="W27" s="34">
        <v>0</v>
      </c>
      <c r="X27" s="34">
        <v>0</v>
      </c>
      <c r="Y27" s="34">
        <v>0</v>
      </c>
      <c r="Z27" s="34">
        <v>0</v>
      </c>
      <c r="AA27" s="34">
        <f t="shared" si="0"/>
        <v>1</v>
      </c>
      <c r="AB27" s="34">
        <v>0</v>
      </c>
      <c r="AC27" s="41"/>
    </row>
    <row r="28" spans="1:29" ht="32.25" customHeight="1">
      <c r="B28" s="148">
        <v>25</v>
      </c>
      <c r="C28" s="26">
        <f>VLOOKUP(D28,'[1]Codes &amp; Descr. SFICS25'!B:C,2,FALSE)</f>
        <v>21</v>
      </c>
      <c r="D28" s="26" t="s">
        <v>32</v>
      </c>
      <c r="E28" s="26">
        <f>+VLOOKUP(F28,'[1]Codes &amp; Descr. SFICS25'!D:E,2,FALSE)</f>
        <v>2105</v>
      </c>
      <c r="F28" s="26" t="s">
        <v>222</v>
      </c>
      <c r="G28" s="27">
        <f>VLOOKUP(H28,'[1]Codes &amp; Descr. SFICS25'!F:H,2,FALSE)</f>
        <v>210501</v>
      </c>
      <c r="H28" s="26" t="s">
        <v>222</v>
      </c>
      <c r="I28" s="26" t="s">
        <v>223</v>
      </c>
      <c r="J28" s="26" t="s">
        <v>224</v>
      </c>
      <c r="K28" s="27" t="s">
        <v>225</v>
      </c>
      <c r="L28" s="28" t="s">
        <v>225</v>
      </c>
      <c r="M28" s="39" t="s">
        <v>29</v>
      </c>
      <c r="N28" s="30" t="s">
        <v>40</v>
      </c>
      <c r="O28" s="30" t="s">
        <v>40</v>
      </c>
      <c r="P28" s="31" t="s">
        <v>226</v>
      </c>
      <c r="Q28" s="31" t="s">
        <v>227</v>
      </c>
      <c r="R28" s="30" t="s">
        <v>40</v>
      </c>
      <c r="S28" s="30" t="s">
        <v>40</v>
      </c>
      <c r="T28" s="32" t="s">
        <v>42</v>
      </c>
      <c r="U28" s="33" t="s">
        <v>43</v>
      </c>
      <c r="V28" s="33" t="s">
        <v>43</v>
      </c>
      <c r="W28" s="34">
        <v>0</v>
      </c>
      <c r="X28" s="34">
        <v>0</v>
      </c>
      <c r="Y28" s="34">
        <v>0</v>
      </c>
      <c r="Z28" s="34">
        <v>0</v>
      </c>
      <c r="AA28" s="34">
        <f t="shared" si="0"/>
        <v>1</v>
      </c>
      <c r="AB28" s="34">
        <v>0</v>
      </c>
    </row>
    <row r="29" spans="1:29" ht="32.25" customHeight="1">
      <c r="B29" s="148">
        <v>26</v>
      </c>
      <c r="C29" s="26">
        <f>VLOOKUP(D29,'[1]Codes &amp; Descr. SFICS25'!B:C,2,FALSE)</f>
        <v>21</v>
      </c>
      <c r="D29" s="26" t="s">
        <v>32</v>
      </c>
      <c r="E29" s="26">
        <f>+VLOOKUP(F29,'[1]Codes &amp; Descr. SFICS25'!D:E,2,FALSE)</f>
        <v>2103</v>
      </c>
      <c r="F29" s="26" t="s">
        <v>228</v>
      </c>
      <c r="G29" s="27">
        <f>VLOOKUP(H29,'[1]Codes &amp; Descr. SFICS25'!F:H,2,FALSE)</f>
        <v>210301</v>
      </c>
      <c r="H29" s="26" t="s">
        <v>229</v>
      </c>
      <c r="I29" s="26" t="s">
        <v>230</v>
      </c>
      <c r="J29" s="26" t="s">
        <v>231</v>
      </c>
      <c r="K29" s="27" t="s">
        <v>232</v>
      </c>
      <c r="L29" s="28" t="s">
        <v>232</v>
      </c>
      <c r="M29" s="39" t="s">
        <v>29</v>
      </c>
      <c r="N29" s="30" t="s">
        <v>233</v>
      </c>
      <c r="O29" s="30" t="s">
        <v>234</v>
      </c>
      <c r="P29" s="31" t="s">
        <v>235</v>
      </c>
      <c r="Q29" s="31" t="s">
        <v>236</v>
      </c>
      <c r="R29" s="30" t="s">
        <v>40</v>
      </c>
      <c r="S29" s="30" t="s">
        <v>40</v>
      </c>
      <c r="T29" s="32" t="s">
        <v>42</v>
      </c>
      <c r="U29" s="33" t="s">
        <v>237</v>
      </c>
      <c r="V29" s="33" t="s">
        <v>43</v>
      </c>
      <c r="W29" s="34">
        <v>0</v>
      </c>
      <c r="X29" s="34">
        <v>0</v>
      </c>
      <c r="Y29" s="34">
        <v>0</v>
      </c>
      <c r="Z29" s="34">
        <v>0</v>
      </c>
      <c r="AA29" s="34">
        <f t="shared" si="0"/>
        <v>1</v>
      </c>
      <c r="AB29" s="34">
        <v>0</v>
      </c>
      <c r="AC29" s="41"/>
    </row>
    <row r="30" spans="1:29" ht="32.25" customHeight="1">
      <c r="B30" s="148">
        <v>27</v>
      </c>
      <c r="C30" s="26">
        <f>VLOOKUP(D30,'[1]Codes &amp; Descr. SFICS25'!B:C,2,FALSE)</f>
        <v>21</v>
      </c>
      <c r="D30" s="26" t="s">
        <v>32</v>
      </c>
      <c r="E30" s="26">
        <f>+VLOOKUP(F30,'[1]Codes &amp; Descr. SFICS25'!D:E,2,FALSE)</f>
        <v>2103</v>
      </c>
      <c r="F30" s="26" t="s">
        <v>228</v>
      </c>
      <c r="G30" s="27">
        <f>VLOOKUP(H30,'[1]Codes &amp; Descr. SFICS25'!F:H,2,FALSE)</f>
        <v>210302</v>
      </c>
      <c r="H30" s="26" t="s">
        <v>238</v>
      </c>
      <c r="I30" s="26" t="s">
        <v>239</v>
      </c>
      <c r="J30" s="26" t="s">
        <v>240</v>
      </c>
      <c r="K30" s="27" t="s">
        <v>241</v>
      </c>
      <c r="L30" s="28" t="s">
        <v>242</v>
      </c>
      <c r="M30" s="39" t="s">
        <v>29</v>
      </c>
      <c r="N30" s="30" t="s">
        <v>243</v>
      </c>
      <c r="O30" s="30" t="s">
        <v>244</v>
      </c>
      <c r="P30" s="31" t="s">
        <v>245</v>
      </c>
      <c r="Q30" s="31" t="s">
        <v>246</v>
      </c>
      <c r="R30" s="30" t="s">
        <v>40</v>
      </c>
      <c r="S30" s="30" t="s">
        <v>40</v>
      </c>
      <c r="T30" s="32" t="s">
        <v>42</v>
      </c>
      <c r="U30" s="33" t="s">
        <v>237</v>
      </c>
      <c r="V30" s="33" t="s">
        <v>43</v>
      </c>
      <c r="W30" s="34">
        <v>0</v>
      </c>
      <c r="X30" s="34">
        <v>0</v>
      </c>
      <c r="Y30" s="34">
        <v>0</v>
      </c>
      <c r="Z30" s="34">
        <v>0</v>
      </c>
      <c r="AA30" s="34">
        <f t="shared" si="0"/>
        <v>1</v>
      </c>
      <c r="AB30" s="34">
        <v>0</v>
      </c>
      <c r="AC30" s="41"/>
    </row>
    <row r="31" spans="1:29" ht="32.25" customHeight="1">
      <c r="B31" s="148">
        <v>28</v>
      </c>
      <c r="C31" s="26">
        <f>VLOOKUP(D31,'[1]Codes &amp; Descr. SFICS25'!B:C,2,FALSE)</f>
        <v>21</v>
      </c>
      <c r="D31" s="26" t="s">
        <v>32</v>
      </c>
      <c r="E31" s="26">
        <f>+VLOOKUP(F31,'[1]Codes &amp; Descr. SFICS25'!D:E,2,FALSE)</f>
        <v>2103</v>
      </c>
      <c r="F31" s="26" t="s">
        <v>228</v>
      </c>
      <c r="G31" s="27">
        <f>VLOOKUP(H31,'[1]Codes &amp; Descr. SFICS25'!F:H,2,FALSE)</f>
        <v>210303</v>
      </c>
      <c r="H31" s="26" t="s">
        <v>247</v>
      </c>
      <c r="I31" s="26" t="s">
        <v>248</v>
      </c>
      <c r="J31" s="26" t="s">
        <v>249</v>
      </c>
      <c r="K31" s="27" t="s">
        <v>250</v>
      </c>
      <c r="L31" s="28" t="s">
        <v>250</v>
      </c>
      <c r="M31" s="39" t="s">
        <v>29</v>
      </c>
      <c r="N31" s="30" t="s">
        <v>251</v>
      </c>
      <c r="O31" s="30" t="s">
        <v>252</v>
      </c>
      <c r="P31" s="31" t="s">
        <v>235</v>
      </c>
      <c r="Q31" s="31" t="s">
        <v>253</v>
      </c>
      <c r="R31" s="30" t="s">
        <v>40</v>
      </c>
      <c r="S31" s="30" t="s">
        <v>40</v>
      </c>
      <c r="T31" s="32" t="s">
        <v>42</v>
      </c>
      <c r="U31" s="33" t="s">
        <v>237</v>
      </c>
      <c r="V31" s="33" t="s">
        <v>237</v>
      </c>
      <c r="W31" s="34">
        <v>0</v>
      </c>
      <c r="X31" s="34">
        <v>0</v>
      </c>
      <c r="Y31" s="34">
        <v>0</v>
      </c>
      <c r="Z31" s="34">
        <v>0</v>
      </c>
      <c r="AA31" s="34">
        <f t="shared" si="0"/>
        <v>1</v>
      </c>
      <c r="AB31" s="34">
        <v>0</v>
      </c>
      <c r="AC31" s="41"/>
    </row>
    <row r="32" spans="1:29" ht="32.25" customHeight="1">
      <c r="B32" s="148">
        <v>29</v>
      </c>
      <c r="C32" s="26">
        <f>VLOOKUP(D32,'[1]Codes &amp; Descr. SFICS25'!B:C,2,FALSE)</f>
        <v>21</v>
      </c>
      <c r="D32" s="26" t="s">
        <v>32</v>
      </c>
      <c r="E32" s="26">
        <f>+VLOOKUP(F32,'[1]Codes &amp; Descr. SFICS25'!D:E,2,FALSE)</f>
        <v>2103</v>
      </c>
      <c r="F32" s="26" t="s">
        <v>228</v>
      </c>
      <c r="G32" s="27">
        <f>VLOOKUP(H32,'[1]Codes &amp; Descr. SFICS25'!F:H,2,FALSE)</f>
        <v>210304</v>
      </c>
      <c r="H32" s="26" t="s">
        <v>254</v>
      </c>
      <c r="I32" s="26" t="s">
        <v>255</v>
      </c>
      <c r="J32" s="26" t="s">
        <v>256</v>
      </c>
      <c r="K32" s="27" t="s">
        <v>257</v>
      </c>
      <c r="L32" s="28" t="s">
        <v>257</v>
      </c>
      <c r="M32" s="39" t="s">
        <v>29</v>
      </c>
      <c r="N32" s="30" t="s">
        <v>258</v>
      </c>
      <c r="O32" s="30" t="s">
        <v>259</v>
      </c>
      <c r="P32" s="31" t="s">
        <v>260</v>
      </c>
      <c r="Q32" s="31" t="s">
        <v>261</v>
      </c>
      <c r="R32" s="30" t="s">
        <v>40</v>
      </c>
      <c r="S32" s="30" t="s">
        <v>40</v>
      </c>
      <c r="T32" s="32" t="s">
        <v>42</v>
      </c>
      <c r="U32" s="33" t="s">
        <v>237</v>
      </c>
      <c r="V32" s="33" t="s">
        <v>43</v>
      </c>
      <c r="W32" s="34">
        <v>0</v>
      </c>
      <c r="X32" s="34">
        <v>0</v>
      </c>
      <c r="Y32" s="34">
        <v>0</v>
      </c>
      <c r="Z32" s="34">
        <v>0</v>
      </c>
      <c r="AA32" s="34">
        <f t="shared" si="0"/>
        <v>1</v>
      </c>
      <c r="AB32" s="34">
        <v>0</v>
      </c>
    </row>
    <row r="33" spans="1:29" ht="32.25" customHeight="1">
      <c r="B33" s="148">
        <v>30</v>
      </c>
      <c r="C33" s="26">
        <f>VLOOKUP(D33,'[1]Codes &amp; Descr. SFICS25'!B:C,2,FALSE)</f>
        <v>21</v>
      </c>
      <c r="D33" s="26" t="s">
        <v>32</v>
      </c>
      <c r="E33" s="26">
        <f>+VLOOKUP(F33,'[1]Codes &amp; Descr. SFICS25'!D:E,2,FALSE)</f>
        <v>2103</v>
      </c>
      <c r="F33" s="26" t="s">
        <v>228</v>
      </c>
      <c r="G33" s="27">
        <f>VLOOKUP(H33,'[1]Codes &amp; Descr. SFICS25'!F:H,2,FALSE)</f>
        <v>210305</v>
      </c>
      <c r="H33" s="26" t="s">
        <v>262</v>
      </c>
      <c r="I33" s="26" t="s">
        <v>263</v>
      </c>
      <c r="J33" s="26" t="s">
        <v>264</v>
      </c>
      <c r="K33" s="27" t="s">
        <v>265</v>
      </c>
      <c r="L33" s="28" t="s">
        <v>265</v>
      </c>
      <c r="M33" s="39" t="s">
        <v>29</v>
      </c>
      <c r="N33" s="30" t="s">
        <v>266</v>
      </c>
      <c r="O33" s="30" t="s">
        <v>267</v>
      </c>
      <c r="P33" s="31" t="s">
        <v>268</v>
      </c>
      <c r="Q33" s="31" t="s">
        <v>269</v>
      </c>
      <c r="R33" s="30" t="s">
        <v>40</v>
      </c>
      <c r="S33" s="30" t="s">
        <v>40</v>
      </c>
      <c r="T33" s="32" t="s">
        <v>42</v>
      </c>
      <c r="U33" s="33" t="s">
        <v>237</v>
      </c>
      <c r="V33" s="33" t="s">
        <v>43</v>
      </c>
      <c r="W33" s="34">
        <v>0</v>
      </c>
      <c r="X33" s="34">
        <v>0</v>
      </c>
      <c r="Y33" s="34">
        <v>0</v>
      </c>
      <c r="Z33" s="34">
        <v>0</v>
      </c>
      <c r="AA33" s="34">
        <f t="shared" si="0"/>
        <v>1</v>
      </c>
      <c r="AB33" s="34">
        <v>0</v>
      </c>
    </row>
    <row r="34" spans="1:29" ht="32.25" customHeight="1">
      <c r="B34" s="148">
        <v>31</v>
      </c>
      <c r="C34" s="26">
        <f>VLOOKUP(D34,'[1]Codes &amp; Descr. SFICS25'!B:C,2,FALSE)</f>
        <v>21</v>
      </c>
      <c r="D34" s="26" t="s">
        <v>32</v>
      </c>
      <c r="E34" s="26">
        <f>+VLOOKUP(F34,'[1]Codes &amp; Descr. SFICS25'!D:E,2,FALSE)</f>
        <v>2103</v>
      </c>
      <c r="F34" s="26" t="s">
        <v>228</v>
      </c>
      <c r="G34" s="27">
        <f>VLOOKUP(H34,'[1]Codes &amp; Descr. SFICS25'!F:H,2,FALSE)</f>
        <v>210306</v>
      </c>
      <c r="H34" s="26" t="s">
        <v>270</v>
      </c>
      <c r="I34" s="26" t="s">
        <v>271</v>
      </c>
      <c r="J34" s="26" t="s">
        <v>272</v>
      </c>
      <c r="K34" s="27" t="s">
        <v>273</v>
      </c>
      <c r="L34" s="28" t="s">
        <v>274</v>
      </c>
      <c r="M34" s="39" t="s">
        <v>29</v>
      </c>
      <c r="N34" s="30" t="s">
        <v>275</v>
      </c>
      <c r="O34" s="30" t="s">
        <v>276</v>
      </c>
      <c r="P34" s="31" t="s">
        <v>260</v>
      </c>
      <c r="Q34" s="31" t="s">
        <v>277</v>
      </c>
      <c r="R34" s="30" t="s">
        <v>40</v>
      </c>
      <c r="S34" s="30" t="s">
        <v>40</v>
      </c>
      <c r="T34" s="32" t="s">
        <v>42</v>
      </c>
      <c r="U34" s="33" t="s">
        <v>237</v>
      </c>
      <c r="V34" s="33" t="s">
        <v>43</v>
      </c>
      <c r="W34" s="34">
        <v>0</v>
      </c>
      <c r="X34" s="34">
        <v>0</v>
      </c>
      <c r="Y34" s="34">
        <v>0</v>
      </c>
      <c r="Z34" s="34">
        <v>0</v>
      </c>
      <c r="AA34" s="34">
        <f t="shared" si="0"/>
        <v>1</v>
      </c>
      <c r="AB34" s="34">
        <v>0</v>
      </c>
    </row>
    <row r="35" spans="1:29" ht="32.25" customHeight="1">
      <c r="A35" s="35"/>
      <c r="B35" s="148">
        <v>32</v>
      </c>
      <c r="C35" s="26">
        <f>VLOOKUP(D35,'[1]Codes &amp; Descr. SFICS25'!B:C,2,FALSE)</f>
        <v>21</v>
      </c>
      <c r="D35" s="26" t="s">
        <v>32</v>
      </c>
      <c r="E35" s="26">
        <f>+VLOOKUP(F35,'[1]Codes &amp; Descr. SFICS25'!D:E,2,FALSE)</f>
        <v>2107</v>
      </c>
      <c r="F35" s="26" t="s">
        <v>278</v>
      </c>
      <c r="G35" s="27">
        <f>VLOOKUP(H35,'[1]Codes &amp; Descr. SFICS25'!F:H,2,FALSE)</f>
        <v>210701</v>
      </c>
      <c r="H35" s="26" t="s">
        <v>278</v>
      </c>
      <c r="I35" s="26" t="s">
        <v>279</v>
      </c>
      <c r="J35" s="26" t="s">
        <v>280</v>
      </c>
      <c r="K35" s="27" t="s">
        <v>278</v>
      </c>
      <c r="L35" s="28" t="s">
        <v>281</v>
      </c>
      <c r="M35" s="39" t="s">
        <v>29</v>
      </c>
      <c r="N35" s="30" t="s">
        <v>282</v>
      </c>
      <c r="O35" s="30" t="s">
        <v>283</v>
      </c>
      <c r="P35" s="194" t="s">
        <v>284</v>
      </c>
      <c r="Q35" s="31" t="s">
        <v>40</v>
      </c>
      <c r="R35" s="30" t="s">
        <v>40</v>
      </c>
      <c r="S35" s="30" t="s">
        <v>40</v>
      </c>
      <c r="T35" s="32" t="s">
        <v>42</v>
      </c>
      <c r="U35" s="34">
        <v>0</v>
      </c>
      <c r="V35" s="34">
        <v>0</v>
      </c>
      <c r="W35" s="34">
        <v>0</v>
      </c>
      <c r="X35" s="34">
        <v>0</v>
      </c>
      <c r="Y35" s="34">
        <v>0</v>
      </c>
      <c r="Z35" s="34">
        <v>0</v>
      </c>
      <c r="AA35" s="34">
        <f t="shared" si="0"/>
        <v>1</v>
      </c>
      <c r="AB35" s="34">
        <v>0</v>
      </c>
    </row>
    <row r="36" spans="1:29" ht="32.25" customHeight="1">
      <c r="B36" s="148">
        <v>33</v>
      </c>
      <c r="C36" s="26">
        <f>VLOOKUP(D36,'[1]Codes &amp; Descr. SFICS25'!B:C,2,FALSE)</f>
        <v>22</v>
      </c>
      <c r="D36" s="26" t="s">
        <v>285</v>
      </c>
      <c r="E36" s="26">
        <f>+VLOOKUP(F36,'[1]Codes &amp; Descr. SFICS25'!D:E,2,FALSE)</f>
        <v>2201</v>
      </c>
      <c r="F36" s="26" t="s">
        <v>286</v>
      </c>
      <c r="G36" s="27">
        <f>VLOOKUP(H36,'[1]Codes &amp; Descr. SFICS25'!F:H,2,FALSE)</f>
        <v>220101</v>
      </c>
      <c r="H36" s="26" t="s">
        <v>287</v>
      </c>
      <c r="I36" s="26" t="s">
        <v>288</v>
      </c>
      <c r="J36" s="26" t="s">
        <v>288</v>
      </c>
      <c r="K36" s="27" t="s">
        <v>287</v>
      </c>
      <c r="L36" s="42" t="s">
        <v>287</v>
      </c>
      <c r="M36" s="39" t="s">
        <v>29</v>
      </c>
      <c r="N36" s="30" t="s">
        <v>289</v>
      </c>
      <c r="O36" s="30" t="s">
        <v>290</v>
      </c>
      <c r="P36" s="31" t="s">
        <v>291</v>
      </c>
      <c r="Q36" s="31" t="s">
        <v>292</v>
      </c>
      <c r="R36" s="30" t="s">
        <v>40</v>
      </c>
      <c r="S36" s="30" t="s">
        <v>40</v>
      </c>
      <c r="T36" s="32" t="s">
        <v>293</v>
      </c>
      <c r="U36" s="33" t="s">
        <v>237</v>
      </c>
      <c r="V36" s="33" t="s">
        <v>43</v>
      </c>
      <c r="W36" s="34">
        <v>0</v>
      </c>
      <c r="X36" s="34">
        <v>0</v>
      </c>
      <c r="Y36" s="34">
        <v>0</v>
      </c>
      <c r="Z36" s="34">
        <v>0</v>
      </c>
      <c r="AA36" s="34">
        <f t="shared" si="0"/>
        <v>1</v>
      </c>
      <c r="AB36" s="34">
        <v>0</v>
      </c>
    </row>
    <row r="37" spans="1:29" ht="32.25" customHeight="1">
      <c r="B37" s="148">
        <v>34</v>
      </c>
      <c r="C37" s="26">
        <f>VLOOKUP(D37,'[1]Codes &amp; Descr. SFICS25'!B:C,2,FALSE)</f>
        <v>22</v>
      </c>
      <c r="D37" s="26" t="s">
        <v>285</v>
      </c>
      <c r="E37" s="26">
        <f>+VLOOKUP(F37,'[1]Codes &amp; Descr. SFICS25'!D:E,2,FALSE)</f>
        <v>2201</v>
      </c>
      <c r="F37" s="26" t="s">
        <v>286</v>
      </c>
      <c r="G37" s="27">
        <f>VLOOKUP(H37,'[1]Codes &amp; Descr. SFICS25'!F:H,2,FALSE)</f>
        <v>220102</v>
      </c>
      <c r="H37" s="26" t="s">
        <v>294</v>
      </c>
      <c r="I37" s="26" t="s">
        <v>295</v>
      </c>
      <c r="J37" s="26" t="s">
        <v>295</v>
      </c>
      <c r="K37" s="27" t="s">
        <v>294</v>
      </c>
      <c r="L37" s="42" t="s">
        <v>294</v>
      </c>
      <c r="M37" s="39" t="s">
        <v>29</v>
      </c>
      <c r="N37" s="30" t="s">
        <v>296</v>
      </c>
      <c r="O37" s="30" t="s">
        <v>297</v>
      </c>
      <c r="P37" s="31" t="s">
        <v>298</v>
      </c>
      <c r="Q37" s="31" t="s">
        <v>299</v>
      </c>
      <c r="R37" s="30" t="s">
        <v>40</v>
      </c>
      <c r="S37" s="30" t="s">
        <v>40</v>
      </c>
      <c r="T37" s="32" t="s">
        <v>293</v>
      </c>
      <c r="U37" s="33" t="s">
        <v>237</v>
      </c>
      <c r="V37" s="33" t="s">
        <v>43</v>
      </c>
      <c r="W37" s="34">
        <v>0</v>
      </c>
      <c r="X37" s="34">
        <v>0</v>
      </c>
      <c r="Y37" s="34">
        <v>0</v>
      </c>
      <c r="Z37" s="34">
        <v>0</v>
      </c>
      <c r="AA37" s="34">
        <f t="shared" si="0"/>
        <v>1</v>
      </c>
      <c r="AB37" s="34">
        <v>0</v>
      </c>
    </row>
    <row r="38" spans="1:29" ht="32.25" customHeight="1">
      <c r="B38" s="148">
        <v>35</v>
      </c>
      <c r="C38" s="26">
        <f>VLOOKUP(D38,'[1]Codes &amp; Descr. SFICS25'!B:C,2,FALSE)</f>
        <v>22</v>
      </c>
      <c r="D38" s="26" t="s">
        <v>285</v>
      </c>
      <c r="E38" s="26">
        <f>+VLOOKUP(F38,'[1]Codes &amp; Descr. SFICS25'!D:E,2,FALSE)</f>
        <v>2201</v>
      </c>
      <c r="F38" s="26" t="s">
        <v>286</v>
      </c>
      <c r="G38" s="27">
        <f>VLOOKUP(H38,'[1]Codes &amp; Descr. SFICS25'!F:H,2,FALSE)</f>
        <v>220103</v>
      </c>
      <c r="H38" s="26" t="s">
        <v>300</v>
      </c>
      <c r="I38" s="26" t="s">
        <v>301</v>
      </c>
      <c r="J38" s="26" t="s">
        <v>301</v>
      </c>
      <c r="K38" s="27" t="s">
        <v>300</v>
      </c>
      <c r="L38" s="42" t="s">
        <v>300</v>
      </c>
      <c r="M38" s="39" t="s">
        <v>29</v>
      </c>
      <c r="N38" s="30" t="s">
        <v>302</v>
      </c>
      <c r="O38" s="30" t="s">
        <v>303</v>
      </c>
      <c r="P38" s="31" t="s">
        <v>304</v>
      </c>
      <c r="Q38" s="31" t="s">
        <v>305</v>
      </c>
      <c r="R38" s="30" t="s">
        <v>40</v>
      </c>
      <c r="S38" s="30" t="s">
        <v>40</v>
      </c>
      <c r="T38" s="32" t="s">
        <v>293</v>
      </c>
      <c r="U38" s="33" t="s">
        <v>237</v>
      </c>
      <c r="V38" s="33" t="s">
        <v>43</v>
      </c>
      <c r="W38" s="34">
        <v>0</v>
      </c>
      <c r="X38" s="34">
        <v>0</v>
      </c>
      <c r="Y38" s="34">
        <v>0</v>
      </c>
      <c r="Z38" s="34">
        <v>0</v>
      </c>
      <c r="AA38" s="34">
        <f t="shared" si="0"/>
        <v>1</v>
      </c>
      <c r="AB38" s="34">
        <v>0</v>
      </c>
    </row>
    <row r="39" spans="1:29" ht="32.25" customHeight="1">
      <c r="B39" s="148">
        <v>36</v>
      </c>
      <c r="C39" s="26">
        <f>VLOOKUP(D39,'[1]Codes &amp; Descr. SFICS25'!B:C,2,FALSE)</f>
        <v>22</v>
      </c>
      <c r="D39" s="26" t="s">
        <v>285</v>
      </c>
      <c r="E39" s="26">
        <f>+VLOOKUP(F39,'[1]Codes &amp; Descr. SFICS25'!D:E,2,FALSE)</f>
        <v>2201</v>
      </c>
      <c r="F39" s="26" t="s">
        <v>286</v>
      </c>
      <c r="G39" s="27">
        <f>VLOOKUP(H39,'[1]Codes &amp; Descr. SFICS25'!F:H,2,FALSE)</f>
        <v>220104</v>
      </c>
      <c r="H39" s="26" t="s">
        <v>306</v>
      </c>
      <c r="I39" s="26" t="s">
        <v>307</v>
      </c>
      <c r="J39" s="26" t="s">
        <v>308</v>
      </c>
      <c r="K39" s="27" t="s">
        <v>309</v>
      </c>
      <c r="L39" s="42" t="s">
        <v>309</v>
      </c>
      <c r="M39" s="39" t="s">
        <v>29</v>
      </c>
      <c r="N39" s="30" t="s">
        <v>310</v>
      </c>
      <c r="O39" s="30" t="s">
        <v>311</v>
      </c>
      <c r="P39" s="31" t="s">
        <v>312</v>
      </c>
      <c r="Q39" s="31" t="s">
        <v>313</v>
      </c>
      <c r="R39" s="30" t="s">
        <v>40</v>
      </c>
      <c r="S39" s="30" t="s">
        <v>40</v>
      </c>
      <c r="T39" s="32" t="s">
        <v>293</v>
      </c>
      <c r="U39" s="33" t="s">
        <v>43</v>
      </c>
      <c r="V39" s="33" t="s">
        <v>43</v>
      </c>
      <c r="W39" s="34">
        <v>0</v>
      </c>
      <c r="X39" s="34">
        <v>0</v>
      </c>
      <c r="Y39" s="34">
        <v>0</v>
      </c>
      <c r="Z39" s="34">
        <v>0</v>
      </c>
      <c r="AA39" s="34">
        <f t="shared" si="0"/>
        <v>1</v>
      </c>
      <c r="AB39" s="34">
        <v>0</v>
      </c>
    </row>
    <row r="40" spans="1:29" ht="32.15" customHeight="1">
      <c r="B40" s="148">
        <v>37</v>
      </c>
      <c r="C40" s="26">
        <f>VLOOKUP(D40,'[1]Codes &amp; Descr. SFICS25'!B:C,2,FALSE)</f>
        <v>22</v>
      </c>
      <c r="D40" s="26" t="s">
        <v>285</v>
      </c>
      <c r="E40" s="26">
        <f>+VLOOKUP(F40,'[1]Codes &amp; Descr. SFICS25'!D:E,2,FALSE)</f>
        <v>2201</v>
      </c>
      <c r="F40" s="26" t="s">
        <v>286</v>
      </c>
      <c r="G40" s="27">
        <f>VLOOKUP(H40,'[1]Codes &amp; Descr. SFICS25'!F:H,2,FALSE)</f>
        <v>220105</v>
      </c>
      <c r="H40" s="26" t="s">
        <v>314</v>
      </c>
      <c r="I40" s="26" t="s">
        <v>315</v>
      </c>
      <c r="J40" s="26" t="s">
        <v>316</v>
      </c>
      <c r="K40" s="27" t="s">
        <v>317</v>
      </c>
      <c r="L40" s="42" t="s">
        <v>317</v>
      </c>
      <c r="M40" s="39" t="s">
        <v>29</v>
      </c>
      <c r="N40" s="30" t="s">
        <v>318</v>
      </c>
      <c r="O40" s="30" t="s">
        <v>319</v>
      </c>
      <c r="P40" s="31" t="s">
        <v>320</v>
      </c>
      <c r="Q40" s="31" t="s">
        <v>321</v>
      </c>
      <c r="R40" s="30" t="s">
        <v>40</v>
      </c>
      <c r="S40" s="30" t="s">
        <v>40</v>
      </c>
      <c r="T40" s="32" t="s">
        <v>293</v>
      </c>
      <c r="U40" s="33" t="s">
        <v>237</v>
      </c>
      <c r="V40" s="33" t="s">
        <v>43</v>
      </c>
      <c r="W40" s="34">
        <v>0</v>
      </c>
      <c r="X40" s="34">
        <v>0</v>
      </c>
      <c r="Y40" s="34">
        <v>0</v>
      </c>
      <c r="Z40" s="34">
        <v>0</v>
      </c>
      <c r="AA40" s="34">
        <f t="shared" si="0"/>
        <v>1</v>
      </c>
      <c r="AB40" s="34">
        <v>0</v>
      </c>
    </row>
    <row r="41" spans="1:29" ht="32.25" customHeight="1">
      <c r="B41" s="148">
        <v>38</v>
      </c>
      <c r="C41" s="26">
        <f>VLOOKUP(D41,'[1]Codes &amp; Descr. SFICS25'!B:C,2,FALSE)</f>
        <v>22</v>
      </c>
      <c r="D41" s="26" t="s">
        <v>285</v>
      </c>
      <c r="E41" s="26">
        <f>+VLOOKUP(F41,'[1]Codes &amp; Descr. SFICS25'!D:E,2,FALSE)</f>
        <v>2201</v>
      </c>
      <c r="F41" s="26" t="s">
        <v>286</v>
      </c>
      <c r="G41" s="27">
        <f>VLOOKUP(H41,'[1]Codes &amp; Descr. SFICS25'!F:H,2,FALSE)</f>
        <v>220106</v>
      </c>
      <c r="H41" s="26" t="s">
        <v>322</v>
      </c>
      <c r="I41" s="26" t="s">
        <v>323</v>
      </c>
      <c r="J41" s="26" t="s">
        <v>324</v>
      </c>
      <c r="K41" s="27" t="s">
        <v>325</v>
      </c>
      <c r="L41" s="42" t="s">
        <v>325</v>
      </c>
      <c r="M41" s="39" t="s">
        <v>29</v>
      </c>
      <c r="N41" s="30" t="s">
        <v>326</v>
      </c>
      <c r="O41" s="30" t="s">
        <v>327</v>
      </c>
      <c r="P41" s="31" t="s">
        <v>328</v>
      </c>
      <c r="Q41" s="31" t="s">
        <v>329</v>
      </c>
      <c r="R41" s="30" t="s">
        <v>40</v>
      </c>
      <c r="S41" s="30" t="s">
        <v>40</v>
      </c>
      <c r="T41" s="32" t="s">
        <v>293</v>
      </c>
      <c r="U41" s="33" t="s">
        <v>237</v>
      </c>
      <c r="V41" s="33" t="s">
        <v>43</v>
      </c>
      <c r="W41" s="34">
        <v>0</v>
      </c>
      <c r="X41" s="34">
        <v>0</v>
      </c>
      <c r="Y41" s="34">
        <v>0</v>
      </c>
      <c r="Z41" s="34">
        <v>0</v>
      </c>
      <c r="AA41" s="34">
        <f t="shared" si="0"/>
        <v>1</v>
      </c>
      <c r="AB41" s="34">
        <v>0</v>
      </c>
      <c r="AC41" s="41"/>
    </row>
    <row r="42" spans="1:29" ht="32.25" customHeight="1">
      <c r="B42" s="148">
        <v>39</v>
      </c>
      <c r="C42" s="26">
        <f>VLOOKUP(D42,'[1]Codes &amp; Descr. SFICS25'!B:C,2,FALSE)</f>
        <v>22</v>
      </c>
      <c r="D42" s="26" t="s">
        <v>285</v>
      </c>
      <c r="E42" s="26">
        <f>+VLOOKUP(F42,'[1]Codes &amp; Descr. SFICS25'!D:E,2,FALSE)</f>
        <v>2202</v>
      </c>
      <c r="F42" s="26" t="s">
        <v>330</v>
      </c>
      <c r="G42" s="27">
        <f>VLOOKUP(H42,'[1]Codes &amp; Descr. SFICS25'!F:H,2,FALSE)</f>
        <v>220201</v>
      </c>
      <c r="H42" s="26" t="s">
        <v>331</v>
      </c>
      <c r="I42" s="26" t="s">
        <v>332</v>
      </c>
      <c r="J42" s="26" t="s">
        <v>333</v>
      </c>
      <c r="K42" s="27" t="s">
        <v>334</v>
      </c>
      <c r="L42" s="42" t="s">
        <v>334</v>
      </c>
      <c r="M42" s="39" t="s">
        <v>29</v>
      </c>
      <c r="N42" s="30" t="s">
        <v>335</v>
      </c>
      <c r="O42" s="30" t="s">
        <v>336</v>
      </c>
      <c r="P42" s="31" t="s">
        <v>337</v>
      </c>
      <c r="Q42" s="31" t="s">
        <v>338</v>
      </c>
      <c r="R42" s="30" t="s">
        <v>40</v>
      </c>
      <c r="S42" s="30" t="s">
        <v>40</v>
      </c>
      <c r="T42" s="32" t="s">
        <v>293</v>
      </c>
      <c r="U42" s="33" t="s">
        <v>237</v>
      </c>
      <c r="V42" s="33" t="s">
        <v>43</v>
      </c>
      <c r="W42" s="34">
        <v>0</v>
      </c>
      <c r="X42" s="34">
        <v>0</v>
      </c>
      <c r="Y42" s="34">
        <v>0</v>
      </c>
      <c r="Z42" s="34">
        <v>0</v>
      </c>
      <c r="AA42" s="34">
        <f t="shared" si="0"/>
        <v>1</v>
      </c>
      <c r="AB42" s="34">
        <v>0</v>
      </c>
      <c r="AC42" s="41"/>
    </row>
    <row r="43" spans="1:29" ht="32.25" customHeight="1">
      <c r="B43" s="148">
        <v>40</v>
      </c>
      <c r="C43" s="26">
        <f>VLOOKUP(D43,'[1]Codes &amp; Descr. SFICS25'!B:C,2,FALSE)</f>
        <v>22</v>
      </c>
      <c r="D43" s="26" t="s">
        <v>285</v>
      </c>
      <c r="E43" s="26">
        <f>+VLOOKUP(F43,'[1]Codes &amp; Descr. SFICS25'!D:E,2,FALSE)</f>
        <v>2202</v>
      </c>
      <c r="F43" s="26" t="s">
        <v>330</v>
      </c>
      <c r="G43" s="27">
        <f>VLOOKUP(H43,'[1]Codes &amp; Descr. SFICS25'!F:H,2,FALSE)</f>
        <v>220202</v>
      </c>
      <c r="H43" s="26" t="s">
        <v>339</v>
      </c>
      <c r="I43" s="26" t="s">
        <v>340</v>
      </c>
      <c r="J43" s="26" t="s">
        <v>341</v>
      </c>
      <c r="K43" s="27" t="s">
        <v>342</v>
      </c>
      <c r="L43" s="42" t="s">
        <v>343</v>
      </c>
      <c r="M43" s="39" t="s">
        <v>29</v>
      </c>
      <c r="N43" s="30" t="s">
        <v>344</v>
      </c>
      <c r="O43" s="30" t="s">
        <v>345</v>
      </c>
      <c r="P43" s="31" t="s">
        <v>346</v>
      </c>
      <c r="Q43" s="31" t="s">
        <v>347</v>
      </c>
      <c r="R43" s="30" t="s">
        <v>40</v>
      </c>
      <c r="S43" s="30" t="s">
        <v>40</v>
      </c>
      <c r="T43" s="32" t="s">
        <v>293</v>
      </c>
      <c r="U43" s="33" t="s">
        <v>237</v>
      </c>
      <c r="V43" s="33" t="s">
        <v>43</v>
      </c>
      <c r="W43" s="34">
        <v>0</v>
      </c>
      <c r="X43" s="34">
        <v>0</v>
      </c>
      <c r="Y43" s="34">
        <v>0</v>
      </c>
      <c r="Z43" s="34">
        <v>0</v>
      </c>
      <c r="AA43" s="34">
        <f t="shared" si="0"/>
        <v>1</v>
      </c>
      <c r="AB43" s="34">
        <v>0</v>
      </c>
      <c r="AC43" s="41"/>
    </row>
    <row r="44" spans="1:29" ht="32.25" customHeight="1">
      <c r="B44" s="148">
        <v>41</v>
      </c>
      <c r="C44" s="26">
        <f>VLOOKUP(D44,'[1]Codes &amp; Descr. SFICS25'!B:C,2,FALSE)</f>
        <v>22</v>
      </c>
      <c r="D44" s="26" t="s">
        <v>285</v>
      </c>
      <c r="E44" s="26">
        <f>+VLOOKUP(F44,'[1]Codes &amp; Descr. SFICS25'!D:E,2,FALSE)</f>
        <v>2202</v>
      </c>
      <c r="F44" s="26" t="s">
        <v>330</v>
      </c>
      <c r="G44" s="27">
        <f>VLOOKUP(H44,'[1]Codes &amp; Descr. SFICS25'!F:H,2,FALSE)</f>
        <v>220203</v>
      </c>
      <c r="H44" s="26" t="s">
        <v>348</v>
      </c>
      <c r="I44" s="26" t="s">
        <v>349</v>
      </c>
      <c r="J44" s="26" t="s">
        <v>350</v>
      </c>
      <c r="K44" s="27" t="s">
        <v>351</v>
      </c>
      <c r="L44" s="42" t="s">
        <v>351</v>
      </c>
      <c r="M44" s="39" t="s">
        <v>29</v>
      </c>
      <c r="N44" s="30" t="s">
        <v>352</v>
      </c>
      <c r="O44" s="30" t="s">
        <v>353</v>
      </c>
      <c r="P44" s="31" t="s">
        <v>40</v>
      </c>
      <c r="Q44" s="31" t="s">
        <v>354</v>
      </c>
      <c r="R44" s="30" t="s">
        <v>40</v>
      </c>
      <c r="S44" s="30" t="s">
        <v>40</v>
      </c>
      <c r="T44" s="32" t="s">
        <v>293</v>
      </c>
      <c r="U44" s="33" t="s">
        <v>237</v>
      </c>
      <c r="V44" s="33" t="s">
        <v>43</v>
      </c>
      <c r="W44" s="34">
        <v>0</v>
      </c>
      <c r="X44" s="34">
        <v>0</v>
      </c>
      <c r="Y44" s="34">
        <v>0</v>
      </c>
      <c r="Z44" s="34">
        <v>0</v>
      </c>
      <c r="AA44" s="34">
        <f t="shared" si="0"/>
        <v>0</v>
      </c>
      <c r="AB44" s="34">
        <v>0</v>
      </c>
    </row>
    <row r="45" spans="1:29" ht="32.25" customHeight="1">
      <c r="B45" s="148">
        <v>42</v>
      </c>
      <c r="C45" s="26">
        <f>VLOOKUP(D45,'[1]Codes &amp; Descr. SFICS25'!B:C,2,FALSE)</f>
        <v>22</v>
      </c>
      <c r="D45" s="26" t="s">
        <v>285</v>
      </c>
      <c r="E45" s="26">
        <f>+VLOOKUP(F45,'[1]Codes &amp; Descr. SFICS25'!D:E,2,FALSE)</f>
        <v>2202</v>
      </c>
      <c r="F45" s="26" t="s">
        <v>330</v>
      </c>
      <c r="G45" s="27">
        <f>VLOOKUP(H45,'[1]Codes &amp; Descr. SFICS25'!F:H,2,FALSE)</f>
        <v>220204</v>
      </c>
      <c r="H45" s="26" t="s">
        <v>355</v>
      </c>
      <c r="I45" s="26" t="s">
        <v>356</v>
      </c>
      <c r="J45" s="26" t="s">
        <v>357</v>
      </c>
      <c r="K45" s="27" t="s">
        <v>358</v>
      </c>
      <c r="L45" s="42" t="s">
        <v>358</v>
      </c>
      <c r="M45" s="39" t="s">
        <v>29</v>
      </c>
      <c r="N45" s="30" t="s">
        <v>359</v>
      </c>
      <c r="O45" s="30" t="s">
        <v>360</v>
      </c>
      <c r="P45" s="31" t="s">
        <v>361</v>
      </c>
      <c r="Q45" s="31" t="s">
        <v>362</v>
      </c>
      <c r="R45" s="30" t="s">
        <v>40</v>
      </c>
      <c r="S45" s="30" t="s">
        <v>40</v>
      </c>
      <c r="T45" s="32" t="s">
        <v>293</v>
      </c>
      <c r="U45" s="33" t="s">
        <v>237</v>
      </c>
      <c r="V45" s="33" t="s">
        <v>43</v>
      </c>
      <c r="W45" s="34">
        <v>0</v>
      </c>
      <c r="X45" s="34">
        <v>0</v>
      </c>
      <c r="Y45" s="34">
        <v>0</v>
      </c>
      <c r="Z45" s="34">
        <v>0</v>
      </c>
      <c r="AA45" s="34">
        <f t="shared" si="0"/>
        <v>1</v>
      </c>
      <c r="AB45" s="34">
        <v>0</v>
      </c>
      <c r="AC45" s="41"/>
    </row>
    <row r="46" spans="1:29" ht="32.25" customHeight="1">
      <c r="B46" s="148">
        <v>43</v>
      </c>
      <c r="C46" s="26">
        <f>VLOOKUP(D46,'[1]Codes &amp; Descr. SFICS25'!B:C,2,FALSE)</f>
        <v>22</v>
      </c>
      <c r="D46" s="26" t="s">
        <v>285</v>
      </c>
      <c r="E46" s="26">
        <f>+VLOOKUP(F46,'[1]Codes &amp; Descr. SFICS25'!D:E,2,FALSE)</f>
        <v>2202</v>
      </c>
      <c r="F46" s="26" t="s">
        <v>330</v>
      </c>
      <c r="G46" s="27">
        <f>VLOOKUP(H46,'[1]Codes &amp; Descr. SFICS25'!F:H,2,FALSE)</f>
        <v>220205</v>
      </c>
      <c r="H46" s="26" t="s">
        <v>363</v>
      </c>
      <c r="I46" s="26" t="s">
        <v>364</v>
      </c>
      <c r="J46" s="26" t="s">
        <v>365</v>
      </c>
      <c r="K46" s="27" t="s">
        <v>366</v>
      </c>
      <c r="L46" s="42" t="s">
        <v>366</v>
      </c>
      <c r="M46" s="39" t="s">
        <v>29</v>
      </c>
      <c r="N46" s="30" t="s">
        <v>367</v>
      </c>
      <c r="O46" s="30" t="s">
        <v>368</v>
      </c>
      <c r="P46" s="31" t="s">
        <v>40</v>
      </c>
      <c r="Q46" s="31" t="s">
        <v>369</v>
      </c>
      <c r="R46" s="30" t="s">
        <v>40</v>
      </c>
      <c r="S46" s="30" t="s">
        <v>40</v>
      </c>
      <c r="T46" s="32" t="s">
        <v>293</v>
      </c>
      <c r="U46" s="33" t="s">
        <v>237</v>
      </c>
      <c r="V46" s="33" t="s">
        <v>43</v>
      </c>
      <c r="W46" s="34">
        <v>0</v>
      </c>
      <c r="X46" s="34">
        <v>0</v>
      </c>
      <c r="Y46" s="34">
        <v>0</v>
      </c>
      <c r="Z46" s="34">
        <v>0</v>
      </c>
      <c r="AA46" s="34">
        <f t="shared" si="0"/>
        <v>0</v>
      </c>
      <c r="AB46" s="34">
        <v>0</v>
      </c>
      <c r="AC46" s="41"/>
    </row>
    <row r="47" spans="1:29" ht="32.25" customHeight="1">
      <c r="B47" s="148">
        <v>44</v>
      </c>
      <c r="C47" s="26">
        <f>VLOOKUP(D47,'[1]Codes &amp; Descr. SFICS25'!B:C,2,FALSE)</f>
        <v>22</v>
      </c>
      <c r="D47" s="26" t="s">
        <v>285</v>
      </c>
      <c r="E47" s="26">
        <f>+VLOOKUP(F47,'[1]Codes &amp; Descr. SFICS25'!D:E,2,FALSE)</f>
        <v>2202</v>
      </c>
      <c r="F47" s="26" t="s">
        <v>330</v>
      </c>
      <c r="G47" s="27">
        <f>VLOOKUP(H47,'[1]Codes &amp; Descr. SFICS25'!F:H,2,FALSE)</f>
        <v>220206</v>
      </c>
      <c r="H47" s="26" t="s">
        <v>370</v>
      </c>
      <c r="I47" s="26" t="s">
        <v>371</v>
      </c>
      <c r="J47" s="26" t="s">
        <v>372</v>
      </c>
      <c r="K47" s="27" t="s">
        <v>373</v>
      </c>
      <c r="L47" s="42" t="s">
        <v>373</v>
      </c>
      <c r="M47" s="39" t="s">
        <v>29</v>
      </c>
      <c r="N47" s="30" t="s">
        <v>374</v>
      </c>
      <c r="O47" s="30" t="s">
        <v>375</v>
      </c>
      <c r="P47" s="31" t="s">
        <v>40</v>
      </c>
      <c r="Q47" s="31" t="s">
        <v>376</v>
      </c>
      <c r="R47" s="30" t="s">
        <v>40</v>
      </c>
      <c r="S47" s="30" t="s">
        <v>40</v>
      </c>
      <c r="T47" s="32" t="s">
        <v>293</v>
      </c>
      <c r="U47" s="33" t="s">
        <v>237</v>
      </c>
      <c r="V47" s="33" t="s">
        <v>43</v>
      </c>
      <c r="W47" s="34">
        <v>0</v>
      </c>
      <c r="X47" s="34">
        <v>0</v>
      </c>
      <c r="Y47" s="34">
        <v>0</v>
      </c>
      <c r="Z47" s="34">
        <v>0</v>
      </c>
      <c r="AA47" s="34">
        <f t="shared" si="0"/>
        <v>0</v>
      </c>
      <c r="AB47" s="34">
        <v>0</v>
      </c>
    </row>
    <row r="48" spans="1:29" ht="32.25" customHeight="1">
      <c r="B48" s="148">
        <v>45</v>
      </c>
      <c r="C48" s="26">
        <f>VLOOKUP(D48,'[1]Codes &amp; Descr. SFICS25'!B:C,2,FALSE)</f>
        <v>22</v>
      </c>
      <c r="D48" s="26" t="s">
        <v>285</v>
      </c>
      <c r="E48" s="26">
        <f>+VLOOKUP(F48,'[1]Codes &amp; Descr. SFICS25'!D:E,2,FALSE)</f>
        <v>2203</v>
      </c>
      <c r="F48" s="26" t="s">
        <v>377</v>
      </c>
      <c r="G48" s="27">
        <f>VLOOKUP(H48,'[1]Codes &amp; Descr. SFICS25'!F:H,2,FALSE)</f>
        <v>220301</v>
      </c>
      <c r="H48" s="26" t="s">
        <v>378</v>
      </c>
      <c r="I48" s="26" t="s">
        <v>379</v>
      </c>
      <c r="J48" s="26" t="s">
        <v>379</v>
      </c>
      <c r="K48" s="27" t="s">
        <v>378</v>
      </c>
      <c r="L48" s="42" t="s">
        <v>378</v>
      </c>
      <c r="M48" s="39" t="s">
        <v>29</v>
      </c>
      <c r="N48" s="30" t="s">
        <v>380</v>
      </c>
      <c r="O48" s="30" t="s">
        <v>381</v>
      </c>
      <c r="P48" s="31" t="s">
        <v>40</v>
      </c>
      <c r="Q48" s="31" t="s">
        <v>382</v>
      </c>
      <c r="R48" s="30" t="s">
        <v>40</v>
      </c>
      <c r="S48" s="30" t="s">
        <v>40</v>
      </c>
      <c r="T48" s="32" t="s">
        <v>293</v>
      </c>
      <c r="U48" s="33" t="s">
        <v>237</v>
      </c>
      <c r="V48" s="34">
        <v>0</v>
      </c>
      <c r="W48" s="34">
        <v>0</v>
      </c>
      <c r="X48" s="34">
        <v>0</v>
      </c>
      <c r="Y48" s="34">
        <v>0</v>
      </c>
      <c r="Z48" s="34">
        <v>0</v>
      </c>
      <c r="AA48" s="34">
        <f t="shared" si="0"/>
        <v>0</v>
      </c>
      <c r="AB48" s="34">
        <v>0</v>
      </c>
      <c r="AC48" s="41" t="s">
        <v>383</v>
      </c>
    </row>
    <row r="49" spans="1:29" ht="32.25" customHeight="1">
      <c r="B49" s="148">
        <v>46</v>
      </c>
      <c r="C49" s="26">
        <f>VLOOKUP(D49,'[1]Codes &amp; Descr. SFICS25'!B:C,2,FALSE)</f>
        <v>22</v>
      </c>
      <c r="D49" s="26" t="s">
        <v>285</v>
      </c>
      <c r="E49" s="26">
        <f>+VLOOKUP(F49,'[1]Codes &amp; Descr. SFICS25'!D:E,2,FALSE)</f>
        <v>2203</v>
      </c>
      <c r="F49" s="26" t="s">
        <v>377</v>
      </c>
      <c r="G49" s="27">
        <f>VLOOKUP(H49,'[1]Codes &amp; Descr. SFICS25'!F:H,2,FALSE)</f>
        <v>220302</v>
      </c>
      <c r="H49" s="26" t="s">
        <v>384</v>
      </c>
      <c r="I49" s="26" t="s">
        <v>385</v>
      </c>
      <c r="J49" s="26" t="s">
        <v>385</v>
      </c>
      <c r="K49" s="27" t="s">
        <v>384</v>
      </c>
      <c r="L49" s="42" t="s">
        <v>384</v>
      </c>
      <c r="M49" s="39" t="s">
        <v>29</v>
      </c>
      <c r="N49" s="30" t="s">
        <v>386</v>
      </c>
      <c r="O49" s="30" t="s">
        <v>387</v>
      </c>
      <c r="P49" s="31" t="s">
        <v>388</v>
      </c>
      <c r="Q49" s="31" t="s">
        <v>389</v>
      </c>
      <c r="R49" s="30" t="s">
        <v>40</v>
      </c>
      <c r="S49" s="30" t="s">
        <v>40</v>
      </c>
      <c r="T49" s="32" t="s">
        <v>293</v>
      </c>
      <c r="U49" s="33" t="s">
        <v>185</v>
      </c>
      <c r="V49" s="34">
        <v>0</v>
      </c>
      <c r="W49" s="34">
        <v>0</v>
      </c>
      <c r="X49" s="34">
        <v>0</v>
      </c>
      <c r="Y49" s="34">
        <v>0</v>
      </c>
      <c r="Z49" s="34">
        <v>0</v>
      </c>
      <c r="AA49" s="34">
        <f t="shared" si="0"/>
        <v>1</v>
      </c>
      <c r="AB49" s="34">
        <v>0</v>
      </c>
      <c r="AC49" s="41" t="s">
        <v>383</v>
      </c>
    </row>
    <row r="50" spans="1:29" ht="32.25" customHeight="1">
      <c r="B50" s="148">
        <v>47</v>
      </c>
      <c r="C50" s="26">
        <f>VLOOKUP(D50,'[1]Codes &amp; Descr. SFICS25'!B:C,2,FALSE)</f>
        <v>22</v>
      </c>
      <c r="D50" s="26" t="s">
        <v>285</v>
      </c>
      <c r="E50" s="26">
        <f>+VLOOKUP(F50,'[1]Codes &amp; Descr. SFICS25'!D:E,2,FALSE)</f>
        <v>2203</v>
      </c>
      <c r="F50" s="26" t="s">
        <v>377</v>
      </c>
      <c r="G50" s="27">
        <f>VLOOKUP(H50,'[1]Codes &amp; Descr. SFICS25'!F:H,2,FALSE)</f>
        <v>220303</v>
      </c>
      <c r="H50" s="26" t="s">
        <v>390</v>
      </c>
      <c r="I50" s="26" t="s">
        <v>391</v>
      </c>
      <c r="J50" s="26" t="s">
        <v>391</v>
      </c>
      <c r="K50" s="27" t="s">
        <v>390</v>
      </c>
      <c r="L50" s="42" t="s">
        <v>390</v>
      </c>
      <c r="M50" s="39" t="s">
        <v>29</v>
      </c>
      <c r="N50" s="30" t="s">
        <v>392</v>
      </c>
      <c r="O50" s="30" t="s">
        <v>393</v>
      </c>
      <c r="P50" s="31" t="s">
        <v>40</v>
      </c>
      <c r="Q50" s="31" t="s">
        <v>394</v>
      </c>
      <c r="R50" s="30" t="s">
        <v>40</v>
      </c>
      <c r="S50" s="30" t="s">
        <v>40</v>
      </c>
      <c r="T50" s="32" t="s">
        <v>293</v>
      </c>
      <c r="U50" s="33" t="s">
        <v>43</v>
      </c>
      <c r="V50" s="34">
        <v>0</v>
      </c>
      <c r="W50" s="34">
        <v>0</v>
      </c>
      <c r="X50" s="34">
        <v>0</v>
      </c>
      <c r="Y50" s="34">
        <v>0</v>
      </c>
      <c r="Z50" s="34">
        <v>0</v>
      </c>
      <c r="AA50" s="34">
        <f t="shared" si="0"/>
        <v>0</v>
      </c>
      <c r="AB50" s="34">
        <v>0</v>
      </c>
    </row>
    <row r="51" spans="1:29" ht="32.25" customHeight="1">
      <c r="B51" s="148">
        <v>48</v>
      </c>
      <c r="C51" s="26">
        <f>VLOOKUP(D51,'[1]Codes &amp; Descr. SFICS25'!B:C,2,FALSE)</f>
        <v>22</v>
      </c>
      <c r="D51" s="26" t="s">
        <v>285</v>
      </c>
      <c r="E51" s="26">
        <f>+VLOOKUP(F51,'[1]Codes &amp; Descr. SFICS25'!D:E,2,FALSE)</f>
        <v>2204</v>
      </c>
      <c r="F51" s="26" t="s">
        <v>395</v>
      </c>
      <c r="G51" s="27">
        <f>VLOOKUP(H51,'[1]Codes &amp; Descr. SFICS25'!F:H,2,FALSE)</f>
        <v>220401</v>
      </c>
      <c r="H51" s="26" t="s">
        <v>396</v>
      </c>
      <c r="I51" s="26" t="s">
        <v>397</v>
      </c>
      <c r="J51" s="26" t="s">
        <v>398</v>
      </c>
      <c r="K51" s="27" t="s">
        <v>399</v>
      </c>
      <c r="L51" s="42" t="s">
        <v>399</v>
      </c>
      <c r="M51" s="39" t="s">
        <v>29</v>
      </c>
      <c r="N51" s="30" t="s">
        <v>400</v>
      </c>
      <c r="O51" s="30" t="s">
        <v>401</v>
      </c>
      <c r="P51" s="31" t="s">
        <v>235</v>
      </c>
      <c r="Q51" s="31" t="s">
        <v>402</v>
      </c>
      <c r="R51" s="30" t="s">
        <v>40</v>
      </c>
      <c r="S51" s="30" t="s">
        <v>40</v>
      </c>
      <c r="T51" s="32" t="s">
        <v>293</v>
      </c>
      <c r="U51" s="33" t="s">
        <v>185</v>
      </c>
      <c r="V51" s="33" t="s">
        <v>43</v>
      </c>
      <c r="W51" s="34">
        <v>0</v>
      </c>
      <c r="X51" s="34">
        <v>0</v>
      </c>
      <c r="Y51" s="34">
        <v>0</v>
      </c>
      <c r="Z51" s="34">
        <v>0</v>
      </c>
      <c r="AA51" s="34">
        <f t="shared" si="0"/>
        <v>1</v>
      </c>
      <c r="AB51" s="34">
        <v>0</v>
      </c>
    </row>
    <row r="52" spans="1:29" ht="32.25" customHeight="1">
      <c r="B52" s="148">
        <v>49</v>
      </c>
      <c r="C52" s="26">
        <f>VLOOKUP(D52,'[1]Codes &amp; Descr. SFICS25'!B:C,2,FALSE)</f>
        <v>22</v>
      </c>
      <c r="D52" s="26" t="s">
        <v>285</v>
      </c>
      <c r="E52" s="26">
        <f>+VLOOKUP(F52,'[1]Codes &amp; Descr. SFICS25'!D:E,2,FALSE)</f>
        <v>2204</v>
      </c>
      <c r="F52" s="26" t="s">
        <v>395</v>
      </c>
      <c r="G52" s="27">
        <f>VLOOKUP(H52,'[1]Codes &amp; Descr. SFICS25'!F:H,2,FALSE)</f>
        <v>220402</v>
      </c>
      <c r="H52" s="26" t="s">
        <v>403</v>
      </c>
      <c r="I52" s="26" t="s">
        <v>404</v>
      </c>
      <c r="J52" s="26" t="s">
        <v>405</v>
      </c>
      <c r="K52" s="27" t="s">
        <v>406</v>
      </c>
      <c r="L52" s="42" t="s">
        <v>406</v>
      </c>
      <c r="M52" s="39" t="s">
        <v>29</v>
      </c>
      <c r="N52" s="30" t="s">
        <v>407</v>
      </c>
      <c r="O52" s="30" t="s">
        <v>408</v>
      </c>
      <c r="P52" s="31" t="s">
        <v>40</v>
      </c>
      <c r="Q52" s="31" t="s">
        <v>409</v>
      </c>
      <c r="R52" s="30" t="s">
        <v>40</v>
      </c>
      <c r="S52" s="30" t="s">
        <v>40</v>
      </c>
      <c r="T52" s="32" t="s">
        <v>293</v>
      </c>
      <c r="U52" s="33" t="s">
        <v>185</v>
      </c>
      <c r="V52" s="34">
        <v>0</v>
      </c>
      <c r="W52" s="34">
        <v>0</v>
      </c>
      <c r="X52" s="34">
        <v>0</v>
      </c>
      <c r="Y52" s="34">
        <v>0</v>
      </c>
      <c r="Z52" s="34">
        <v>0</v>
      </c>
      <c r="AA52" s="34">
        <f t="shared" si="0"/>
        <v>0</v>
      </c>
      <c r="AB52" s="34">
        <v>0</v>
      </c>
      <c r="AC52" s="41"/>
    </row>
    <row r="53" spans="1:29" ht="32.25" customHeight="1">
      <c r="B53" s="148">
        <v>50</v>
      </c>
      <c r="C53" s="26">
        <f>VLOOKUP(D53,'[1]Codes &amp; Descr. SFICS25'!B:C,2,FALSE)</f>
        <v>22</v>
      </c>
      <c r="D53" s="26" t="s">
        <v>285</v>
      </c>
      <c r="E53" s="26">
        <f>+VLOOKUP(F53,'[1]Codes &amp; Descr. SFICS25'!D:E,2,FALSE)</f>
        <v>2204</v>
      </c>
      <c r="F53" s="26" t="s">
        <v>395</v>
      </c>
      <c r="G53" s="27">
        <f>VLOOKUP(H53,'[1]Codes &amp; Descr. SFICS25'!F:H,2,FALSE)</f>
        <v>220403</v>
      </c>
      <c r="H53" s="26" t="s">
        <v>330</v>
      </c>
      <c r="I53" s="26" t="s">
        <v>410</v>
      </c>
      <c r="J53" s="26" t="s">
        <v>411</v>
      </c>
      <c r="K53" s="27" t="s">
        <v>412</v>
      </c>
      <c r="L53" s="42" t="s">
        <v>412</v>
      </c>
      <c r="M53" s="39" t="s">
        <v>29</v>
      </c>
      <c r="N53" s="30" t="s">
        <v>413</v>
      </c>
      <c r="O53" s="30" t="s">
        <v>414</v>
      </c>
      <c r="P53" s="31" t="s">
        <v>415</v>
      </c>
      <c r="Q53" s="31" t="s">
        <v>416</v>
      </c>
      <c r="R53" s="30" t="s">
        <v>40</v>
      </c>
      <c r="S53" s="30" t="s">
        <v>40</v>
      </c>
      <c r="T53" s="32" t="s">
        <v>293</v>
      </c>
      <c r="U53" s="33" t="s">
        <v>185</v>
      </c>
      <c r="V53" s="33" t="s">
        <v>43</v>
      </c>
      <c r="W53" s="34">
        <v>0</v>
      </c>
      <c r="X53" s="34">
        <v>0</v>
      </c>
      <c r="Y53" s="34">
        <v>0</v>
      </c>
      <c r="Z53" s="34">
        <v>0</v>
      </c>
      <c r="AA53" s="34">
        <f t="shared" si="0"/>
        <v>1</v>
      </c>
      <c r="AB53" s="34">
        <v>0</v>
      </c>
      <c r="AC53" s="41"/>
    </row>
    <row r="54" spans="1:29" ht="32.25" customHeight="1">
      <c r="B54" s="148">
        <v>51</v>
      </c>
      <c r="C54" s="26">
        <f>VLOOKUP(D54,'[1]Codes &amp; Descr. SFICS25'!B:C,2,FALSE)</f>
        <v>22</v>
      </c>
      <c r="D54" s="26" t="s">
        <v>285</v>
      </c>
      <c r="E54" s="26">
        <f>+VLOOKUP(F54,'[1]Codes &amp; Descr. SFICS25'!D:E,2,FALSE)</f>
        <v>2204</v>
      </c>
      <c r="F54" s="26" t="s">
        <v>395</v>
      </c>
      <c r="G54" s="27">
        <f>VLOOKUP(H54,'[1]Codes &amp; Descr. SFICS25'!F:H,2,FALSE)</f>
        <v>220404</v>
      </c>
      <c r="H54" s="26" t="s">
        <v>417</v>
      </c>
      <c r="I54" s="26" t="s">
        <v>418</v>
      </c>
      <c r="J54" s="26" t="s">
        <v>419</v>
      </c>
      <c r="K54" s="27" t="s">
        <v>420</v>
      </c>
      <c r="L54" s="42" t="s">
        <v>420</v>
      </c>
      <c r="M54" s="39" t="s">
        <v>29</v>
      </c>
      <c r="N54" s="30" t="s">
        <v>421</v>
      </c>
      <c r="O54" s="30" t="s">
        <v>422</v>
      </c>
      <c r="P54" s="31" t="s">
        <v>40</v>
      </c>
      <c r="Q54" s="31" t="s">
        <v>423</v>
      </c>
      <c r="R54" s="30" t="s">
        <v>40</v>
      </c>
      <c r="S54" s="30" t="s">
        <v>40</v>
      </c>
      <c r="T54" s="32" t="s">
        <v>293</v>
      </c>
      <c r="U54" s="33" t="s">
        <v>185</v>
      </c>
      <c r="V54" s="34">
        <v>0</v>
      </c>
      <c r="W54" s="34">
        <v>0</v>
      </c>
      <c r="X54" s="34">
        <v>0</v>
      </c>
      <c r="Y54" s="34">
        <v>0</v>
      </c>
      <c r="Z54" s="34">
        <v>0</v>
      </c>
      <c r="AA54" s="34">
        <f t="shared" si="0"/>
        <v>0</v>
      </c>
      <c r="AB54" s="34">
        <v>0</v>
      </c>
    </row>
    <row r="55" spans="1:29" ht="32.25" customHeight="1">
      <c r="B55" s="148">
        <v>52</v>
      </c>
      <c r="C55" s="26">
        <f>VLOOKUP(D55,'[1]Codes &amp; Descr. SFICS25'!B:C,2,FALSE)</f>
        <v>22</v>
      </c>
      <c r="D55" s="26" t="s">
        <v>285</v>
      </c>
      <c r="E55" s="26">
        <f>+VLOOKUP(F55,'[1]Codes &amp; Descr. SFICS25'!D:E,2,FALSE)</f>
        <v>2204</v>
      </c>
      <c r="F55" s="26" t="s">
        <v>395</v>
      </c>
      <c r="G55" s="27">
        <f>VLOOKUP(H55,'[1]Codes &amp; Descr. SFICS25'!F:H,2,FALSE)</f>
        <v>220405</v>
      </c>
      <c r="H55" s="26" t="s">
        <v>424</v>
      </c>
      <c r="I55" s="26" t="s">
        <v>425</v>
      </c>
      <c r="J55" s="26" t="s">
        <v>426</v>
      </c>
      <c r="K55" s="27" t="s">
        <v>427</v>
      </c>
      <c r="L55" s="42" t="s">
        <v>427</v>
      </c>
      <c r="M55" s="39" t="s">
        <v>29</v>
      </c>
      <c r="N55" s="30" t="s">
        <v>428</v>
      </c>
      <c r="O55" s="30" t="s">
        <v>429</v>
      </c>
      <c r="P55" s="31" t="s">
        <v>430</v>
      </c>
      <c r="Q55" s="31" t="s">
        <v>431</v>
      </c>
      <c r="R55" s="30" t="s">
        <v>40</v>
      </c>
      <c r="S55" s="30" t="s">
        <v>40</v>
      </c>
      <c r="T55" s="32" t="s">
        <v>293</v>
      </c>
      <c r="U55" s="33" t="s">
        <v>185</v>
      </c>
      <c r="V55" s="33" t="s">
        <v>43</v>
      </c>
      <c r="W55" s="34">
        <v>0</v>
      </c>
      <c r="X55" s="34">
        <v>0</v>
      </c>
      <c r="Y55" s="34">
        <v>0</v>
      </c>
      <c r="Z55" s="34">
        <v>0</v>
      </c>
      <c r="AA55" s="34">
        <f t="shared" si="0"/>
        <v>1</v>
      </c>
      <c r="AB55" s="34">
        <v>0</v>
      </c>
    </row>
    <row r="56" spans="1:29" ht="32.25" customHeight="1">
      <c r="B56" s="148">
        <v>53</v>
      </c>
      <c r="C56" s="26">
        <f>VLOOKUP(D56,'[1]Codes &amp; Descr. SFICS25'!B:C,2,FALSE)</f>
        <v>22</v>
      </c>
      <c r="D56" s="26" t="s">
        <v>285</v>
      </c>
      <c r="E56" s="26">
        <f>+VLOOKUP(F56,'[1]Codes &amp; Descr. SFICS25'!D:E,2,FALSE)</f>
        <v>2205</v>
      </c>
      <c r="F56" s="26" t="s">
        <v>432</v>
      </c>
      <c r="G56" s="27">
        <f>VLOOKUP(H56,'[1]Codes &amp; Descr. SFICS25'!F:H,2,FALSE)</f>
        <v>220501</v>
      </c>
      <c r="H56" s="26" t="s">
        <v>432</v>
      </c>
      <c r="I56" s="26" t="s">
        <v>433</v>
      </c>
      <c r="J56" s="26" t="s">
        <v>433</v>
      </c>
      <c r="K56" s="27" t="s">
        <v>432</v>
      </c>
      <c r="L56" s="42" t="s">
        <v>281</v>
      </c>
      <c r="M56" s="39" t="s">
        <v>29</v>
      </c>
      <c r="N56" s="30" t="s">
        <v>40</v>
      </c>
      <c r="O56" s="30" t="s">
        <v>40</v>
      </c>
      <c r="P56" s="31" t="s">
        <v>434</v>
      </c>
      <c r="Q56" s="31" t="s">
        <v>40</v>
      </c>
      <c r="R56" s="30" t="s">
        <v>40</v>
      </c>
      <c r="S56" s="30" t="s">
        <v>40</v>
      </c>
      <c r="T56" s="32" t="s">
        <v>293</v>
      </c>
      <c r="U56" s="34">
        <v>0</v>
      </c>
      <c r="V56" s="34">
        <v>0</v>
      </c>
      <c r="W56" s="34">
        <v>0</v>
      </c>
      <c r="X56" s="34">
        <v>0</v>
      </c>
      <c r="Y56" s="34">
        <v>0</v>
      </c>
      <c r="Z56" s="34">
        <v>0</v>
      </c>
      <c r="AA56" s="34">
        <f t="shared" si="0"/>
        <v>1</v>
      </c>
      <c r="AB56" s="34">
        <v>0</v>
      </c>
    </row>
    <row r="57" spans="1:29" ht="37.5" customHeight="1">
      <c r="A57" s="35"/>
      <c r="B57" s="148">
        <v>54</v>
      </c>
      <c r="C57" s="26">
        <f>VLOOKUP(D57,'[1]Codes &amp; Descr. SFICS25'!B:C,2,FALSE)</f>
        <v>23</v>
      </c>
      <c r="D57" s="26" t="s">
        <v>435</v>
      </c>
      <c r="E57" s="26">
        <f>+VLOOKUP(F57,'[1]Codes &amp; Descr. SFICS25'!D:E,2,FALSE)</f>
        <v>2301</v>
      </c>
      <c r="F57" s="26" t="s">
        <v>436</v>
      </c>
      <c r="G57" s="27">
        <f>VLOOKUP(H57,'[1]Codes &amp; Descr. SFICS25'!F:H,2,FALSE)</f>
        <v>230102</v>
      </c>
      <c r="H57" s="26" t="s">
        <v>437</v>
      </c>
      <c r="I57" s="26" t="s">
        <v>438</v>
      </c>
      <c r="J57" s="26" t="s">
        <v>439</v>
      </c>
      <c r="K57" s="26" t="s">
        <v>440</v>
      </c>
      <c r="L57" s="28" t="s">
        <v>436</v>
      </c>
      <c r="M57" s="39" t="s">
        <v>29</v>
      </c>
      <c r="N57" s="30" t="s">
        <v>441</v>
      </c>
      <c r="O57" s="30" t="s">
        <v>442</v>
      </c>
      <c r="P57" s="194" t="s">
        <v>443</v>
      </c>
      <c r="Q57" s="31" t="s">
        <v>444</v>
      </c>
      <c r="R57" s="30" t="s">
        <v>40</v>
      </c>
      <c r="S57" s="30" t="s">
        <v>40</v>
      </c>
      <c r="T57" s="32" t="s">
        <v>445</v>
      </c>
      <c r="U57" s="33" t="s">
        <v>43</v>
      </c>
      <c r="V57" s="33" t="s">
        <v>43</v>
      </c>
      <c r="W57" s="33">
        <v>0</v>
      </c>
      <c r="X57" s="33" t="s">
        <v>43</v>
      </c>
      <c r="Y57" s="33">
        <v>0</v>
      </c>
      <c r="Z57" s="33">
        <v>0</v>
      </c>
      <c r="AA57" s="33">
        <f t="shared" si="0"/>
        <v>1</v>
      </c>
      <c r="AB57" s="33">
        <v>0</v>
      </c>
      <c r="AC57" s="1" t="s">
        <v>383</v>
      </c>
    </row>
    <row r="58" spans="1:29" ht="37.5" customHeight="1">
      <c r="A58" s="35"/>
      <c r="B58" s="148">
        <v>55</v>
      </c>
      <c r="C58" s="26">
        <f>VLOOKUP(D58,'[1]Codes &amp; Descr. SFICS25'!B:C,2,FALSE)</f>
        <v>23</v>
      </c>
      <c r="D58" s="26" t="s">
        <v>435</v>
      </c>
      <c r="E58" s="26">
        <f>+VLOOKUP(F58,'[1]Codes &amp; Descr. SFICS25'!D:E,2,FALSE)</f>
        <v>2301</v>
      </c>
      <c r="F58" s="26" t="s">
        <v>436</v>
      </c>
      <c r="G58" s="27">
        <f>VLOOKUP(H58,'[1]Codes &amp; Descr. SFICS25'!F:H,2,FALSE)</f>
        <v>230103</v>
      </c>
      <c r="H58" s="26" t="s">
        <v>446</v>
      </c>
      <c r="I58" s="26" t="s">
        <v>447</v>
      </c>
      <c r="J58" s="26" t="s">
        <v>448</v>
      </c>
      <c r="K58" s="27" t="s">
        <v>449</v>
      </c>
      <c r="L58" s="28" t="s">
        <v>436</v>
      </c>
      <c r="M58" s="39" t="s">
        <v>29</v>
      </c>
      <c r="N58" s="30" t="s">
        <v>450</v>
      </c>
      <c r="O58" s="30" t="s">
        <v>451</v>
      </c>
      <c r="P58" s="194" t="s">
        <v>452</v>
      </c>
      <c r="Q58" s="31" t="s">
        <v>453</v>
      </c>
      <c r="R58" s="30" t="s">
        <v>40</v>
      </c>
      <c r="S58" s="30" t="s">
        <v>40</v>
      </c>
      <c r="T58" s="32" t="s">
        <v>445</v>
      </c>
      <c r="U58" s="33" t="s">
        <v>43</v>
      </c>
      <c r="V58" s="33" t="s">
        <v>43</v>
      </c>
      <c r="W58" s="34">
        <v>0</v>
      </c>
      <c r="X58" s="33" t="s">
        <v>43</v>
      </c>
      <c r="Y58" s="34">
        <v>0</v>
      </c>
      <c r="Z58" s="34">
        <v>0</v>
      </c>
      <c r="AA58" s="34">
        <f t="shared" si="0"/>
        <v>1</v>
      </c>
      <c r="AB58" s="34">
        <v>0</v>
      </c>
      <c r="AC58" s="1" t="s">
        <v>383</v>
      </c>
    </row>
    <row r="59" spans="1:29" ht="37.5" customHeight="1">
      <c r="A59" s="35"/>
      <c r="B59" s="148">
        <v>56</v>
      </c>
      <c r="C59" s="26">
        <f>VLOOKUP(D59,'[1]Codes &amp; Descr. SFICS25'!B:C,2,FALSE)</f>
        <v>23</v>
      </c>
      <c r="D59" s="26" t="s">
        <v>435</v>
      </c>
      <c r="E59" s="26">
        <f>+VLOOKUP(F59,'[1]Codes &amp; Descr. SFICS25'!D:E,2,FALSE)</f>
        <v>2301</v>
      </c>
      <c r="F59" s="26" t="s">
        <v>436</v>
      </c>
      <c r="G59" s="27">
        <f>VLOOKUP(H59,'[1]Codes &amp; Descr. SFICS25'!F:H,2,FALSE)</f>
        <v>230104</v>
      </c>
      <c r="H59" s="26" t="s">
        <v>454</v>
      </c>
      <c r="I59" s="26" t="s">
        <v>455</v>
      </c>
      <c r="J59" s="26" t="s">
        <v>456</v>
      </c>
      <c r="K59" s="26" t="s">
        <v>457</v>
      </c>
      <c r="L59" s="28" t="s">
        <v>436</v>
      </c>
      <c r="M59" s="39" t="s">
        <v>29</v>
      </c>
      <c r="N59" s="30" t="s">
        <v>458</v>
      </c>
      <c r="O59" s="30" t="s">
        <v>459</v>
      </c>
      <c r="P59" s="194" t="s">
        <v>460</v>
      </c>
      <c r="Q59" s="31" t="s">
        <v>461</v>
      </c>
      <c r="R59" s="30" t="s">
        <v>40</v>
      </c>
      <c r="S59" s="30" t="s">
        <v>40</v>
      </c>
      <c r="T59" s="32" t="s">
        <v>445</v>
      </c>
      <c r="U59" s="33" t="s">
        <v>43</v>
      </c>
      <c r="V59" s="33" t="s">
        <v>43</v>
      </c>
      <c r="W59" s="34">
        <v>0</v>
      </c>
      <c r="X59" s="33" t="s">
        <v>43</v>
      </c>
      <c r="Y59" s="34">
        <v>0</v>
      </c>
      <c r="Z59" s="34">
        <v>0</v>
      </c>
      <c r="AA59" s="34">
        <f t="shared" si="0"/>
        <v>1</v>
      </c>
      <c r="AB59" s="34">
        <v>0</v>
      </c>
    </row>
    <row r="60" spans="1:29" ht="37.5" customHeight="1">
      <c r="A60" s="35"/>
      <c r="B60" s="148">
        <v>57</v>
      </c>
      <c r="C60" s="26">
        <f>VLOOKUP(D60,'[1]Codes &amp; Descr. SFICS25'!B:C,2,FALSE)</f>
        <v>23</v>
      </c>
      <c r="D60" s="26" t="s">
        <v>435</v>
      </c>
      <c r="E60" s="26">
        <f>+VLOOKUP(F60,'[1]Codes &amp; Descr. SFICS25'!D:E,2,FALSE)</f>
        <v>2301</v>
      </c>
      <c r="F60" s="26" t="s">
        <v>436</v>
      </c>
      <c r="G60" s="27">
        <f>VLOOKUP(H60,'[1]Codes &amp; Descr. SFICS25'!F:H,2,FALSE)</f>
        <v>230105</v>
      </c>
      <c r="H60" s="26" t="s">
        <v>462</v>
      </c>
      <c r="I60" s="26" t="s">
        <v>463</v>
      </c>
      <c r="J60" s="26" t="s">
        <v>464</v>
      </c>
      <c r="K60" s="26" t="s">
        <v>465</v>
      </c>
      <c r="L60" s="28" t="s">
        <v>436</v>
      </c>
      <c r="M60" s="39" t="s">
        <v>29</v>
      </c>
      <c r="N60" s="30" t="s">
        <v>466</v>
      </c>
      <c r="O60" s="30" t="s">
        <v>467</v>
      </c>
      <c r="P60" s="194" t="s">
        <v>460</v>
      </c>
      <c r="Q60" s="31" t="s">
        <v>468</v>
      </c>
      <c r="R60" s="30" t="s">
        <v>40</v>
      </c>
      <c r="S60" s="30" t="s">
        <v>40</v>
      </c>
      <c r="T60" s="32" t="s">
        <v>445</v>
      </c>
      <c r="U60" s="33" t="s">
        <v>43</v>
      </c>
      <c r="V60" s="33" t="s">
        <v>43</v>
      </c>
      <c r="W60" s="34">
        <v>0</v>
      </c>
      <c r="X60" s="33" t="s">
        <v>43</v>
      </c>
      <c r="Y60" s="34">
        <v>0</v>
      </c>
      <c r="Z60" s="34">
        <v>0</v>
      </c>
      <c r="AA60" s="34">
        <f t="shared" si="0"/>
        <v>1</v>
      </c>
      <c r="AB60" s="34">
        <v>0</v>
      </c>
    </row>
    <row r="61" spans="1:29" ht="37.5" customHeight="1">
      <c r="A61" s="35"/>
      <c r="B61" s="148">
        <v>58</v>
      </c>
      <c r="C61" s="26">
        <f>VLOOKUP(D61,'[1]Codes &amp; Descr. SFICS25'!B:C,2,FALSE)</f>
        <v>23</v>
      </c>
      <c r="D61" s="26" t="s">
        <v>435</v>
      </c>
      <c r="E61" s="26">
        <f>+VLOOKUP(F61,'[1]Codes &amp; Descr. SFICS25'!D:E,2,FALSE)</f>
        <v>2301</v>
      </c>
      <c r="F61" s="26" t="s">
        <v>436</v>
      </c>
      <c r="G61" s="27">
        <f>VLOOKUP(H61,'[1]Codes &amp; Descr. SFICS25'!F:H,2,FALSE)</f>
        <v>230106</v>
      </c>
      <c r="H61" s="26" t="s">
        <v>469</v>
      </c>
      <c r="I61" s="26" t="s">
        <v>470</v>
      </c>
      <c r="J61" s="26" t="s">
        <v>471</v>
      </c>
      <c r="K61" s="27" t="s">
        <v>472</v>
      </c>
      <c r="L61" s="28" t="s">
        <v>436</v>
      </c>
      <c r="M61" s="39" t="s">
        <v>29</v>
      </c>
      <c r="N61" s="30" t="s">
        <v>458</v>
      </c>
      <c r="O61" s="30" t="s">
        <v>473</v>
      </c>
      <c r="P61" s="194" t="s">
        <v>474</v>
      </c>
      <c r="Q61" s="31" t="s">
        <v>475</v>
      </c>
      <c r="R61" s="30" t="s">
        <v>40</v>
      </c>
      <c r="S61" s="30" t="s">
        <v>40</v>
      </c>
      <c r="T61" s="32" t="s">
        <v>445</v>
      </c>
      <c r="U61" s="33" t="s">
        <v>43</v>
      </c>
      <c r="V61" s="33" t="s">
        <v>43</v>
      </c>
      <c r="W61" s="34">
        <v>0</v>
      </c>
      <c r="X61" s="33" t="s">
        <v>43</v>
      </c>
      <c r="Y61" s="34">
        <v>0</v>
      </c>
      <c r="Z61" s="34">
        <v>0</v>
      </c>
      <c r="AA61" s="34">
        <f t="shared" si="0"/>
        <v>1</v>
      </c>
      <c r="AB61" s="34">
        <v>0</v>
      </c>
    </row>
    <row r="62" spans="1:29" ht="37.5" customHeight="1">
      <c r="A62" s="35"/>
      <c r="B62" s="148">
        <v>59</v>
      </c>
      <c r="C62" s="26">
        <f>VLOOKUP(D62,'[1]Codes &amp; Descr. SFICS25'!B:C,2,FALSE)</f>
        <v>23</v>
      </c>
      <c r="D62" s="26" t="s">
        <v>435</v>
      </c>
      <c r="E62" s="26">
        <f>+VLOOKUP(F62,'[1]Codes &amp; Descr. SFICS25'!D:E,2,FALSE)</f>
        <v>2301</v>
      </c>
      <c r="F62" s="26" t="s">
        <v>436</v>
      </c>
      <c r="G62" s="27">
        <f>VLOOKUP(H62,'[1]Codes &amp; Descr. SFICS25'!F:H,2,FALSE)</f>
        <v>230107</v>
      </c>
      <c r="H62" s="26" t="s">
        <v>476</v>
      </c>
      <c r="I62" s="26" t="s">
        <v>477</v>
      </c>
      <c r="J62" s="26" t="s">
        <v>478</v>
      </c>
      <c r="K62" s="27" t="s">
        <v>479</v>
      </c>
      <c r="L62" s="28" t="s">
        <v>436</v>
      </c>
      <c r="M62" s="39" t="s">
        <v>29</v>
      </c>
      <c r="N62" s="30" t="s">
        <v>466</v>
      </c>
      <c r="O62" s="30" t="s">
        <v>480</v>
      </c>
      <c r="P62" s="194" t="s">
        <v>481</v>
      </c>
      <c r="Q62" s="31" t="s">
        <v>482</v>
      </c>
      <c r="R62" s="30" t="s">
        <v>40</v>
      </c>
      <c r="S62" s="30" t="s">
        <v>40</v>
      </c>
      <c r="T62" s="32" t="s">
        <v>445</v>
      </c>
      <c r="U62" s="33" t="s">
        <v>43</v>
      </c>
      <c r="V62" s="33" t="s">
        <v>43</v>
      </c>
      <c r="W62" s="34">
        <v>0</v>
      </c>
      <c r="X62" s="33" t="s">
        <v>43</v>
      </c>
      <c r="Y62" s="34">
        <v>0</v>
      </c>
      <c r="Z62" s="34">
        <v>0</v>
      </c>
      <c r="AA62" s="34">
        <f t="shared" si="0"/>
        <v>1</v>
      </c>
      <c r="AB62" s="34">
        <v>0</v>
      </c>
    </row>
    <row r="63" spans="1:29" ht="37.5" customHeight="1">
      <c r="A63" s="35"/>
      <c r="B63" s="148">
        <v>60</v>
      </c>
      <c r="C63" s="26">
        <f>VLOOKUP(D63,'[1]Codes &amp; Descr. SFICS25'!B:C,2,FALSE)</f>
        <v>23</v>
      </c>
      <c r="D63" s="26" t="s">
        <v>435</v>
      </c>
      <c r="E63" s="26">
        <f>+VLOOKUP(F63,'[1]Codes &amp; Descr. SFICS25'!D:E,2,FALSE)</f>
        <v>2301</v>
      </c>
      <c r="F63" s="26" t="s">
        <v>436</v>
      </c>
      <c r="G63" s="27">
        <f>VLOOKUP(H63,'[1]Codes &amp; Descr. SFICS25'!F:H,2,FALSE)</f>
        <v>230108</v>
      </c>
      <c r="H63" s="26" t="s">
        <v>483</v>
      </c>
      <c r="I63" s="26" t="s">
        <v>484</v>
      </c>
      <c r="J63" s="26" t="s">
        <v>485</v>
      </c>
      <c r="K63" s="27" t="s">
        <v>486</v>
      </c>
      <c r="L63" s="28" t="s">
        <v>436</v>
      </c>
      <c r="M63" s="39" t="s">
        <v>29</v>
      </c>
      <c r="N63" s="30" t="s">
        <v>458</v>
      </c>
      <c r="O63" s="30" t="s">
        <v>487</v>
      </c>
      <c r="P63" s="194" t="s">
        <v>488</v>
      </c>
      <c r="Q63" s="31" t="s">
        <v>489</v>
      </c>
      <c r="R63" s="30" t="s">
        <v>40</v>
      </c>
      <c r="S63" s="30" t="s">
        <v>40</v>
      </c>
      <c r="T63" s="32" t="s">
        <v>445</v>
      </c>
      <c r="U63" s="33" t="s">
        <v>43</v>
      </c>
      <c r="V63" s="33" t="s">
        <v>43</v>
      </c>
      <c r="W63" s="34">
        <v>0</v>
      </c>
      <c r="X63" s="33" t="s">
        <v>43</v>
      </c>
      <c r="Y63" s="34">
        <v>0</v>
      </c>
      <c r="Z63" s="34">
        <v>0</v>
      </c>
      <c r="AA63" s="34">
        <f t="shared" si="0"/>
        <v>1</v>
      </c>
      <c r="AB63" s="34">
        <v>0</v>
      </c>
    </row>
    <row r="64" spans="1:29" ht="37.5" customHeight="1">
      <c r="A64" s="35"/>
      <c r="B64" s="148">
        <v>61</v>
      </c>
      <c r="C64" s="26">
        <f>VLOOKUP(D64,'[1]Codes &amp; Descr. SFICS25'!B:C,2,FALSE)</f>
        <v>23</v>
      </c>
      <c r="D64" s="26" t="s">
        <v>435</v>
      </c>
      <c r="E64" s="26">
        <f>+VLOOKUP(F64,'[1]Codes &amp; Descr. SFICS25'!D:E,2,FALSE)</f>
        <v>2301</v>
      </c>
      <c r="F64" s="26" t="s">
        <v>436</v>
      </c>
      <c r="G64" s="27">
        <f>VLOOKUP(H64,'[1]Codes &amp; Descr. SFICS25'!F:H,2,FALSE)</f>
        <v>230109</v>
      </c>
      <c r="H64" s="26" t="s">
        <v>490</v>
      </c>
      <c r="I64" s="26" t="s">
        <v>491</v>
      </c>
      <c r="J64" s="26" t="s">
        <v>492</v>
      </c>
      <c r="K64" s="26" t="s">
        <v>493</v>
      </c>
      <c r="L64" s="28" t="s">
        <v>436</v>
      </c>
      <c r="M64" s="39" t="s">
        <v>29</v>
      </c>
      <c r="N64" s="30" t="s">
        <v>494</v>
      </c>
      <c r="O64" s="30" t="s">
        <v>495</v>
      </c>
      <c r="P64" s="194" t="s">
        <v>496</v>
      </c>
      <c r="Q64" s="31" t="s">
        <v>497</v>
      </c>
      <c r="R64" s="30" t="s">
        <v>40</v>
      </c>
      <c r="S64" s="30" t="s">
        <v>40</v>
      </c>
      <c r="T64" s="32" t="s">
        <v>445</v>
      </c>
      <c r="U64" s="33" t="s">
        <v>43</v>
      </c>
      <c r="V64" s="33" t="s">
        <v>43</v>
      </c>
      <c r="W64" s="34">
        <v>0</v>
      </c>
      <c r="X64" s="33" t="s">
        <v>43</v>
      </c>
      <c r="Y64" s="34">
        <v>0</v>
      </c>
      <c r="Z64" s="34">
        <v>0</v>
      </c>
      <c r="AA64" s="34">
        <f t="shared" si="0"/>
        <v>1</v>
      </c>
      <c r="AB64" s="34">
        <v>0</v>
      </c>
      <c r="AC64" s="1" t="s">
        <v>383</v>
      </c>
    </row>
    <row r="65" spans="1:29" ht="37.5" customHeight="1">
      <c r="A65" s="35"/>
      <c r="B65" s="148">
        <v>62</v>
      </c>
      <c r="C65" s="26">
        <f>VLOOKUP(D65,'[1]Codes &amp; Descr. SFICS25'!B:C,2,FALSE)</f>
        <v>23</v>
      </c>
      <c r="D65" s="26" t="s">
        <v>435</v>
      </c>
      <c r="E65" s="26">
        <f>+VLOOKUP(F65,'[1]Codes &amp; Descr. SFICS25'!D:E,2,FALSE)</f>
        <v>2301</v>
      </c>
      <c r="F65" s="26" t="s">
        <v>436</v>
      </c>
      <c r="G65" s="27">
        <f>VLOOKUP(H65,'[1]Codes &amp; Descr. SFICS25'!F:H,2,FALSE)</f>
        <v>230110</v>
      </c>
      <c r="H65" s="26" t="s">
        <v>498</v>
      </c>
      <c r="I65" s="26" t="s">
        <v>499</v>
      </c>
      <c r="J65" s="26" t="s">
        <v>500</v>
      </c>
      <c r="K65" s="26" t="s">
        <v>501</v>
      </c>
      <c r="L65" s="28" t="s">
        <v>436</v>
      </c>
      <c r="M65" s="39" t="s">
        <v>29</v>
      </c>
      <c r="N65" s="30" t="s">
        <v>502</v>
      </c>
      <c r="O65" s="30" t="s">
        <v>503</v>
      </c>
      <c r="P65" s="194" t="s">
        <v>504</v>
      </c>
      <c r="Q65" s="31" t="s">
        <v>505</v>
      </c>
      <c r="R65" s="30" t="s">
        <v>40</v>
      </c>
      <c r="S65" s="30" t="s">
        <v>40</v>
      </c>
      <c r="T65" s="32" t="s">
        <v>445</v>
      </c>
      <c r="U65" s="33" t="s">
        <v>43</v>
      </c>
      <c r="V65" s="33" t="s">
        <v>43</v>
      </c>
      <c r="W65" s="34">
        <v>0</v>
      </c>
      <c r="X65" s="33" t="s">
        <v>43</v>
      </c>
      <c r="Y65" s="34">
        <v>0</v>
      </c>
      <c r="Z65" s="34">
        <v>0</v>
      </c>
      <c r="AA65" s="34">
        <f t="shared" si="0"/>
        <v>1</v>
      </c>
      <c r="AB65" s="34">
        <v>0</v>
      </c>
      <c r="AC65" s="1" t="s">
        <v>383</v>
      </c>
    </row>
    <row r="66" spans="1:29" ht="37.5" customHeight="1">
      <c r="A66" s="35"/>
      <c r="B66" s="148">
        <v>63</v>
      </c>
      <c r="C66" s="26">
        <f>VLOOKUP(D66,'[1]Codes &amp; Descr. SFICS25'!B:C,2,FALSE)</f>
        <v>23</v>
      </c>
      <c r="D66" s="26" t="s">
        <v>435</v>
      </c>
      <c r="E66" s="26">
        <f>+VLOOKUP(F66,'[1]Codes &amp; Descr. SFICS25'!D:E,2,FALSE)</f>
        <v>2302</v>
      </c>
      <c r="F66" s="26" t="s">
        <v>506</v>
      </c>
      <c r="G66" s="27" t="str">
        <f>VLOOKUP(H66,'[1]Codes &amp; Descr. SFICS25'!F:H,2,FALSE)</f>
        <v>-</v>
      </c>
      <c r="H66" s="26" t="s">
        <v>507</v>
      </c>
      <c r="I66" s="26" t="s">
        <v>507</v>
      </c>
      <c r="J66" s="26" t="s">
        <v>508</v>
      </c>
      <c r="K66" s="27" t="s">
        <v>509</v>
      </c>
      <c r="L66" s="28" t="s">
        <v>509</v>
      </c>
      <c r="M66" s="39" t="s">
        <v>29</v>
      </c>
      <c r="N66" s="30" t="s">
        <v>510</v>
      </c>
      <c r="O66" s="30" t="s">
        <v>511</v>
      </c>
      <c r="P66" s="194" t="s">
        <v>512</v>
      </c>
      <c r="Q66" s="194" t="s">
        <v>513</v>
      </c>
      <c r="R66" s="30" t="s">
        <v>40</v>
      </c>
      <c r="S66" s="30" t="s">
        <v>40</v>
      </c>
      <c r="T66" s="32" t="s">
        <v>445</v>
      </c>
      <c r="U66" s="33" t="s">
        <v>43</v>
      </c>
      <c r="V66" s="33" t="s">
        <v>43</v>
      </c>
      <c r="W66" s="34">
        <v>0</v>
      </c>
      <c r="X66" s="33" t="s">
        <v>43</v>
      </c>
      <c r="Y66" s="34">
        <v>0</v>
      </c>
      <c r="Z66" s="34">
        <v>0</v>
      </c>
      <c r="AA66" s="34">
        <f t="shared" si="0"/>
        <v>1</v>
      </c>
      <c r="AB66" s="34">
        <v>0</v>
      </c>
    </row>
    <row r="67" spans="1:29" ht="37.5" customHeight="1">
      <c r="A67" s="35"/>
      <c r="B67" s="148">
        <v>64</v>
      </c>
      <c r="C67" s="26">
        <f>VLOOKUP(D67,'[1]Codes &amp; Descr. SFICS25'!B:C,2,FALSE)</f>
        <v>23</v>
      </c>
      <c r="D67" s="26" t="s">
        <v>435</v>
      </c>
      <c r="E67" s="26">
        <f>+VLOOKUP(F67,'[1]Codes &amp; Descr. SFICS25'!D:E,2,FALSE)</f>
        <v>2304</v>
      </c>
      <c r="F67" s="26" t="s">
        <v>514</v>
      </c>
      <c r="G67" s="27">
        <f>VLOOKUP(H67,'[1]Codes &amp; Descr. SFICS25'!F:H,2,FALSE)</f>
        <v>230401</v>
      </c>
      <c r="H67" s="26" t="s">
        <v>515</v>
      </c>
      <c r="I67" s="26" t="s">
        <v>516</v>
      </c>
      <c r="J67" s="26" t="s">
        <v>517</v>
      </c>
      <c r="K67" s="26" t="s">
        <v>518</v>
      </c>
      <c r="L67" s="28" t="s">
        <v>519</v>
      </c>
      <c r="M67" s="39" t="s">
        <v>29</v>
      </c>
      <c r="N67" s="30" t="s">
        <v>520</v>
      </c>
      <c r="O67" s="30" t="s">
        <v>521</v>
      </c>
      <c r="P67" s="194" t="s">
        <v>522</v>
      </c>
      <c r="Q67" s="31" t="s">
        <v>523</v>
      </c>
      <c r="R67" s="30" t="s">
        <v>40</v>
      </c>
      <c r="S67" s="30" t="s">
        <v>40</v>
      </c>
      <c r="T67" s="32" t="s">
        <v>445</v>
      </c>
      <c r="U67" s="33" t="s">
        <v>43</v>
      </c>
      <c r="V67" s="33" t="s">
        <v>43</v>
      </c>
      <c r="W67" s="34">
        <v>0</v>
      </c>
      <c r="X67" s="34">
        <v>0</v>
      </c>
      <c r="Y67" s="34">
        <v>0</v>
      </c>
      <c r="Z67" s="34">
        <v>0</v>
      </c>
      <c r="AA67" s="34">
        <f t="shared" si="0"/>
        <v>1</v>
      </c>
      <c r="AB67" s="34">
        <v>0</v>
      </c>
      <c r="AC67" s="1" t="s">
        <v>383</v>
      </c>
    </row>
    <row r="68" spans="1:29" ht="37.5" customHeight="1">
      <c r="A68" s="35"/>
      <c r="B68" s="148">
        <v>65</v>
      </c>
      <c r="C68" s="26">
        <f>VLOOKUP(D68,'[1]Codes &amp; Descr. SFICS25'!B:C,2,FALSE)</f>
        <v>23</v>
      </c>
      <c r="D68" s="26" t="s">
        <v>435</v>
      </c>
      <c r="E68" s="26">
        <f>+VLOOKUP(F68,'[1]Codes &amp; Descr. SFICS25'!D:E,2,FALSE)</f>
        <v>2304</v>
      </c>
      <c r="F68" s="26" t="s">
        <v>514</v>
      </c>
      <c r="G68" s="27">
        <f>VLOOKUP(H68,'[1]Codes &amp; Descr. SFICS25'!F:H,2,FALSE)</f>
        <v>230402</v>
      </c>
      <c r="H68" s="26" t="s">
        <v>524</v>
      </c>
      <c r="I68" s="26" t="s">
        <v>525</v>
      </c>
      <c r="J68" s="26" t="s">
        <v>526</v>
      </c>
      <c r="K68" s="27" t="s">
        <v>527</v>
      </c>
      <c r="L68" s="28" t="s">
        <v>519</v>
      </c>
      <c r="M68" s="39" t="s">
        <v>29</v>
      </c>
      <c r="N68" s="30" t="s">
        <v>528</v>
      </c>
      <c r="O68" s="30" t="s">
        <v>529</v>
      </c>
      <c r="P68" s="194" t="s">
        <v>530</v>
      </c>
      <c r="Q68" s="31" t="s">
        <v>531</v>
      </c>
      <c r="R68" s="30" t="s">
        <v>40</v>
      </c>
      <c r="S68" s="30" t="s">
        <v>40</v>
      </c>
      <c r="T68" s="32" t="s">
        <v>445</v>
      </c>
      <c r="U68" s="33" t="s">
        <v>43</v>
      </c>
      <c r="V68" s="33" t="s">
        <v>43</v>
      </c>
      <c r="W68" s="34">
        <v>0</v>
      </c>
      <c r="X68" s="34">
        <v>0</v>
      </c>
      <c r="Y68" s="34">
        <v>0</v>
      </c>
      <c r="Z68" s="34">
        <v>0</v>
      </c>
      <c r="AA68" s="34">
        <f t="shared" si="0"/>
        <v>1</v>
      </c>
      <c r="AB68" s="34">
        <v>0</v>
      </c>
      <c r="AC68" s="1" t="s">
        <v>383</v>
      </c>
    </row>
    <row r="69" spans="1:29" ht="74.25" customHeight="1">
      <c r="A69" s="35"/>
      <c r="B69" s="148">
        <v>66</v>
      </c>
      <c r="C69" s="26">
        <f>VLOOKUP(D69,'[1]Codes &amp; Descr. SFICS25'!B:C,2,FALSE)</f>
        <v>23</v>
      </c>
      <c r="D69" s="26" t="s">
        <v>435</v>
      </c>
      <c r="E69" s="26">
        <f>+VLOOKUP(F69,'[1]Codes &amp; Descr. SFICS25'!D:E,2,FALSE)</f>
        <v>2304</v>
      </c>
      <c r="F69" s="26" t="s">
        <v>514</v>
      </c>
      <c r="G69" s="27">
        <f>VLOOKUP(H69,'[1]Codes &amp; Descr. SFICS25'!F:H,2,FALSE)</f>
        <v>230403</v>
      </c>
      <c r="H69" s="26" t="s">
        <v>532</v>
      </c>
      <c r="I69" s="26" t="s">
        <v>533</v>
      </c>
      <c r="J69" s="26" t="s">
        <v>534</v>
      </c>
      <c r="K69" s="27" t="s">
        <v>535</v>
      </c>
      <c r="L69" s="28" t="s">
        <v>519</v>
      </c>
      <c r="M69" s="39" t="s">
        <v>29</v>
      </c>
      <c r="N69" s="30" t="s">
        <v>536</v>
      </c>
      <c r="O69" s="30" t="s">
        <v>537</v>
      </c>
      <c r="P69" s="194" t="s">
        <v>538</v>
      </c>
      <c r="Q69" s="31" t="s">
        <v>539</v>
      </c>
      <c r="R69" s="30" t="s">
        <v>40</v>
      </c>
      <c r="S69" s="30" t="s">
        <v>40</v>
      </c>
      <c r="T69" s="32" t="s">
        <v>445</v>
      </c>
      <c r="U69" s="33" t="s">
        <v>43</v>
      </c>
      <c r="V69" s="33" t="s">
        <v>43</v>
      </c>
      <c r="W69" s="34">
        <v>0</v>
      </c>
      <c r="X69" s="34">
        <v>0</v>
      </c>
      <c r="Y69" s="34">
        <v>0</v>
      </c>
      <c r="Z69" s="34">
        <v>0</v>
      </c>
      <c r="AA69" s="34">
        <f t="shared" ref="AA69:AA133" si="1">IF(P69="Not applicable",0,1)</f>
        <v>1</v>
      </c>
      <c r="AB69" s="34">
        <v>0</v>
      </c>
      <c r="AC69" s="1" t="s">
        <v>383</v>
      </c>
    </row>
    <row r="70" spans="1:29" ht="37.5" customHeight="1">
      <c r="A70" s="35"/>
      <c r="B70" s="148">
        <v>67</v>
      </c>
      <c r="C70" s="26">
        <f>VLOOKUP(D70,'[1]Codes &amp; Descr. SFICS25'!B:C,2,FALSE)</f>
        <v>23</v>
      </c>
      <c r="D70" s="26" t="s">
        <v>435</v>
      </c>
      <c r="E70" s="26">
        <f>+VLOOKUP(F70,'[1]Codes &amp; Descr. SFICS25'!D:E,2,FALSE)</f>
        <v>2304</v>
      </c>
      <c r="F70" s="26" t="s">
        <v>514</v>
      </c>
      <c r="G70" s="27">
        <f>VLOOKUP(H70,'[1]Codes &amp; Descr. SFICS25'!F:H,2,FALSE)</f>
        <v>230404</v>
      </c>
      <c r="H70" s="26" t="s">
        <v>540</v>
      </c>
      <c r="I70" s="26" t="s">
        <v>541</v>
      </c>
      <c r="J70" s="26" t="s">
        <v>542</v>
      </c>
      <c r="K70" s="27" t="s">
        <v>543</v>
      </c>
      <c r="L70" s="28" t="s">
        <v>519</v>
      </c>
      <c r="M70" s="39" t="s">
        <v>29</v>
      </c>
      <c r="N70" s="30" t="s">
        <v>528</v>
      </c>
      <c r="O70" s="30" t="s">
        <v>544</v>
      </c>
      <c r="P70" s="194" t="s">
        <v>545</v>
      </c>
      <c r="Q70" s="31" t="s">
        <v>546</v>
      </c>
      <c r="R70" s="30" t="s">
        <v>40</v>
      </c>
      <c r="S70" s="30" t="s">
        <v>40</v>
      </c>
      <c r="T70" s="32" t="s">
        <v>445</v>
      </c>
      <c r="U70" s="33" t="s">
        <v>43</v>
      </c>
      <c r="V70" s="33" t="s">
        <v>43</v>
      </c>
      <c r="W70" s="34">
        <v>0</v>
      </c>
      <c r="X70" s="34">
        <v>0</v>
      </c>
      <c r="Y70" s="34">
        <v>0</v>
      </c>
      <c r="Z70" s="34">
        <v>0</v>
      </c>
      <c r="AA70" s="34">
        <f t="shared" si="1"/>
        <v>1</v>
      </c>
      <c r="AB70" s="34">
        <v>0</v>
      </c>
      <c r="AC70" s="1" t="s">
        <v>383</v>
      </c>
    </row>
    <row r="71" spans="1:29" ht="37.5" customHeight="1">
      <c r="A71" s="35"/>
      <c r="B71" s="148">
        <v>68</v>
      </c>
      <c r="C71" s="26">
        <f>VLOOKUP(D71,'[1]Codes &amp; Descr. SFICS25'!B:C,2,FALSE)</f>
        <v>23</v>
      </c>
      <c r="D71" s="26" t="s">
        <v>435</v>
      </c>
      <c r="E71" s="26">
        <f>+VLOOKUP(F71,'[1]Codes &amp; Descr. SFICS25'!D:E,2,FALSE)</f>
        <v>2304</v>
      </c>
      <c r="F71" s="26" t="s">
        <v>514</v>
      </c>
      <c r="G71" s="27">
        <f>VLOOKUP(H71,'[1]Codes &amp; Descr. SFICS25'!F:H,2,FALSE)</f>
        <v>230405</v>
      </c>
      <c r="H71" s="26" t="s">
        <v>547</v>
      </c>
      <c r="I71" s="26" t="s">
        <v>548</v>
      </c>
      <c r="J71" s="26" t="s">
        <v>549</v>
      </c>
      <c r="K71" s="27" t="s">
        <v>550</v>
      </c>
      <c r="L71" s="28" t="s">
        <v>519</v>
      </c>
      <c r="M71" s="39" t="s">
        <v>29</v>
      </c>
      <c r="N71" s="30" t="s">
        <v>520</v>
      </c>
      <c r="O71" s="30" t="s">
        <v>551</v>
      </c>
      <c r="P71" s="194" t="s">
        <v>552</v>
      </c>
      <c r="Q71" s="31" t="s">
        <v>553</v>
      </c>
      <c r="R71" s="30" t="s">
        <v>40</v>
      </c>
      <c r="S71" s="30" t="s">
        <v>40</v>
      </c>
      <c r="T71" s="32" t="s">
        <v>445</v>
      </c>
      <c r="U71" s="33" t="s">
        <v>43</v>
      </c>
      <c r="V71" s="33" t="s">
        <v>43</v>
      </c>
      <c r="W71" s="34">
        <v>0</v>
      </c>
      <c r="X71" s="34">
        <v>0</v>
      </c>
      <c r="Y71" s="34">
        <v>0</v>
      </c>
      <c r="Z71" s="34">
        <v>0</v>
      </c>
      <c r="AA71" s="34">
        <f t="shared" si="1"/>
        <v>1</v>
      </c>
      <c r="AB71" s="34">
        <v>0</v>
      </c>
      <c r="AC71" s="1" t="s">
        <v>383</v>
      </c>
    </row>
    <row r="72" spans="1:29" ht="37.5" customHeight="1">
      <c r="A72" s="35"/>
      <c r="B72" s="148">
        <v>69</v>
      </c>
      <c r="C72" s="26">
        <f>VLOOKUP(D72,'[1]Codes &amp; Descr. SFICS25'!B:C,2,FALSE)</f>
        <v>23</v>
      </c>
      <c r="D72" s="26" t="s">
        <v>435</v>
      </c>
      <c r="E72" s="26">
        <f>+VLOOKUP(F72,'[1]Codes &amp; Descr. SFICS25'!D:E,2,FALSE)</f>
        <v>2304</v>
      </c>
      <c r="F72" s="26" t="s">
        <v>514</v>
      </c>
      <c r="G72" s="27">
        <f>VLOOKUP(H72,'[1]Codes &amp; Descr. SFICS25'!F:H,2,FALSE)</f>
        <v>230406</v>
      </c>
      <c r="H72" s="26" t="s">
        <v>554</v>
      </c>
      <c r="I72" s="26" t="s">
        <v>555</v>
      </c>
      <c r="J72" s="26" t="s">
        <v>556</v>
      </c>
      <c r="K72" s="27" t="s">
        <v>557</v>
      </c>
      <c r="L72" s="28" t="s">
        <v>519</v>
      </c>
      <c r="M72" s="39" t="s">
        <v>29</v>
      </c>
      <c r="N72" s="30" t="s">
        <v>528</v>
      </c>
      <c r="O72" s="30" t="s">
        <v>558</v>
      </c>
      <c r="P72" s="194" t="s">
        <v>559</v>
      </c>
      <c r="Q72" s="31" t="s">
        <v>560</v>
      </c>
      <c r="R72" s="30" t="s">
        <v>40</v>
      </c>
      <c r="S72" s="30" t="s">
        <v>40</v>
      </c>
      <c r="T72" s="32" t="s">
        <v>445</v>
      </c>
      <c r="U72" s="33" t="s">
        <v>43</v>
      </c>
      <c r="V72" s="33" t="s">
        <v>43</v>
      </c>
      <c r="W72" s="34">
        <v>0</v>
      </c>
      <c r="X72" s="34">
        <v>0</v>
      </c>
      <c r="Y72" s="34">
        <v>0</v>
      </c>
      <c r="Z72" s="34">
        <v>0</v>
      </c>
      <c r="AA72" s="34">
        <f t="shared" si="1"/>
        <v>1</v>
      </c>
      <c r="AB72" s="34">
        <v>0</v>
      </c>
      <c r="AC72" s="1" t="s">
        <v>383</v>
      </c>
    </row>
    <row r="73" spans="1:29" ht="37.5" customHeight="1">
      <c r="A73" s="35"/>
      <c r="B73" s="148">
        <v>70</v>
      </c>
      <c r="C73" s="26">
        <f>VLOOKUP(D73,'[1]Codes &amp; Descr. SFICS25'!B:C,2,FALSE)</f>
        <v>23</v>
      </c>
      <c r="D73" s="26" t="s">
        <v>435</v>
      </c>
      <c r="E73" s="26">
        <f>+VLOOKUP(F73,'[1]Codes &amp; Descr. SFICS25'!D:E,2,FALSE)</f>
        <v>2304</v>
      </c>
      <c r="F73" s="26" t="s">
        <v>514</v>
      </c>
      <c r="G73" s="27">
        <f>VLOOKUP(H73,'[1]Codes &amp; Descr. SFICS25'!F:H,2,FALSE)</f>
        <v>230407</v>
      </c>
      <c r="H73" s="26" t="s">
        <v>561</v>
      </c>
      <c r="I73" s="26" t="s">
        <v>562</v>
      </c>
      <c r="J73" s="26" t="s">
        <v>563</v>
      </c>
      <c r="K73" s="27" t="s">
        <v>564</v>
      </c>
      <c r="L73" s="28" t="s">
        <v>519</v>
      </c>
      <c r="M73" s="39" t="s">
        <v>29</v>
      </c>
      <c r="N73" s="30" t="s">
        <v>520</v>
      </c>
      <c r="O73" s="30" t="s">
        <v>565</v>
      </c>
      <c r="P73" s="194" t="s">
        <v>566</v>
      </c>
      <c r="Q73" s="31" t="s">
        <v>567</v>
      </c>
      <c r="R73" s="30" t="s">
        <v>40</v>
      </c>
      <c r="S73" s="30" t="s">
        <v>40</v>
      </c>
      <c r="T73" s="32" t="s">
        <v>445</v>
      </c>
      <c r="U73" s="33" t="s">
        <v>43</v>
      </c>
      <c r="V73" s="33" t="s">
        <v>43</v>
      </c>
      <c r="W73" s="34">
        <v>0</v>
      </c>
      <c r="X73" s="34">
        <v>0</v>
      </c>
      <c r="Y73" s="34">
        <v>0</v>
      </c>
      <c r="Z73" s="34">
        <v>0</v>
      </c>
      <c r="AA73" s="34">
        <f t="shared" si="1"/>
        <v>1</v>
      </c>
      <c r="AB73" s="34">
        <v>0</v>
      </c>
      <c r="AC73" s="1" t="s">
        <v>383</v>
      </c>
    </row>
    <row r="74" spans="1:29" ht="37.5" customHeight="1">
      <c r="A74" s="35"/>
      <c r="B74" s="148">
        <v>71</v>
      </c>
      <c r="C74" s="26">
        <f>VLOOKUP(D74,'[1]Codes &amp; Descr. SFICS25'!B:C,2,FALSE)</f>
        <v>23</v>
      </c>
      <c r="D74" s="26" t="s">
        <v>435</v>
      </c>
      <c r="E74" s="26">
        <f>+VLOOKUP(F74,'[1]Codes &amp; Descr. SFICS25'!D:E,2,FALSE)</f>
        <v>2304</v>
      </c>
      <c r="F74" s="26" t="s">
        <v>514</v>
      </c>
      <c r="G74" s="27">
        <f>VLOOKUP(H74,'[1]Codes &amp; Descr. SFICS25'!F:H,2,FALSE)</f>
        <v>230408</v>
      </c>
      <c r="H74" s="26" t="s">
        <v>568</v>
      </c>
      <c r="I74" s="26" t="s">
        <v>569</v>
      </c>
      <c r="J74" s="26" t="s">
        <v>570</v>
      </c>
      <c r="K74" s="26" t="s">
        <v>571</v>
      </c>
      <c r="L74" s="28" t="s">
        <v>519</v>
      </c>
      <c r="M74" s="39" t="s">
        <v>29</v>
      </c>
      <c r="N74" s="30" t="s">
        <v>536</v>
      </c>
      <c r="O74" s="30" t="s">
        <v>572</v>
      </c>
      <c r="P74" s="195" t="s">
        <v>573</v>
      </c>
      <c r="Q74" s="31" t="s">
        <v>574</v>
      </c>
      <c r="R74" s="30" t="s">
        <v>40</v>
      </c>
      <c r="S74" s="30" t="s">
        <v>40</v>
      </c>
      <c r="T74" s="32" t="s">
        <v>445</v>
      </c>
      <c r="U74" s="33" t="s">
        <v>43</v>
      </c>
      <c r="V74" s="33" t="s">
        <v>43</v>
      </c>
      <c r="W74" s="34">
        <v>0</v>
      </c>
      <c r="X74" s="34">
        <v>0</v>
      </c>
      <c r="Y74" s="34">
        <v>0</v>
      </c>
      <c r="Z74" s="34">
        <v>0</v>
      </c>
      <c r="AA74" s="34">
        <f t="shared" si="1"/>
        <v>1</v>
      </c>
      <c r="AB74" s="34">
        <v>0</v>
      </c>
      <c r="AC74" s="1" t="s">
        <v>383</v>
      </c>
    </row>
    <row r="75" spans="1:29" ht="37.5" customHeight="1">
      <c r="A75" s="35"/>
      <c r="B75" s="148">
        <v>72</v>
      </c>
      <c r="C75" s="26">
        <f>VLOOKUP(D75,'[1]Codes &amp; Descr. SFICS25'!B:C,2,FALSE)</f>
        <v>23</v>
      </c>
      <c r="D75" s="26" t="s">
        <v>435</v>
      </c>
      <c r="E75" s="26">
        <f>+VLOOKUP(F75,'[1]Codes &amp; Descr. SFICS25'!D:E,2,FALSE)</f>
        <v>2304</v>
      </c>
      <c r="F75" s="26" t="s">
        <v>514</v>
      </c>
      <c r="G75" s="27">
        <f>VLOOKUP(H75,'[1]Codes &amp; Descr. SFICS25'!F:H,2,FALSE)</f>
        <v>230409</v>
      </c>
      <c r="H75" s="26" t="s">
        <v>575</v>
      </c>
      <c r="I75" s="26" t="s">
        <v>576</v>
      </c>
      <c r="J75" s="26" t="s">
        <v>577</v>
      </c>
      <c r="K75" s="26" t="s">
        <v>578</v>
      </c>
      <c r="L75" s="28" t="s">
        <v>519</v>
      </c>
      <c r="M75" s="39" t="s">
        <v>29</v>
      </c>
      <c r="N75" s="30" t="s">
        <v>579</v>
      </c>
      <c r="O75" s="30" t="s">
        <v>580</v>
      </c>
      <c r="P75" s="195" t="s">
        <v>581</v>
      </c>
      <c r="Q75" s="31" t="s">
        <v>582</v>
      </c>
      <c r="R75" s="30" t="s">
        <v>40</v>
      </c>
      <c r="S75" s="30" t="s">
        <v>40</v>
      </c>
      <c r="T75" s="32" t="s">
        <v>445</v>
      </c>
      <c r="U75" s="33" t="s">
        <v>43</v>
      </c>
      <c r="V75" s="33" t="s">
        <v>43</v>
      </c>
      <c r="W75" s="34">
        <v>0</v>
      </c>
      <c r="X75" s="34">
        <v>0</v>
      </c>
      <c r="Y75" s="34">
        <v>0</v>
      </c>
      <c r="Z75" s="34">
        <v>0</v>
      </c>
      <c r="AA75" s="34">
        <f t="shared" si="1"/>
        <v>1</v>
      </c>
      <c r="AB75" s="34">
        <v>0</v>
      </c>
      <c r="AC75" s="1" t="s">
        <v>383</v>
      </c>
    </row>
    <row r="76" spans="1:29" ht="32.25" customHeight="1">
      <c r="B76" s="148">
        <v>73</v>
      </c>
      <c r="C76" s="26">
        <f>VLOOKUP(D76,'[1]Codes &amp; Descr. SFICS25'!B:C,2,FALSE)</f>
        <v>23</v>
      </c>
      <c r="D76" s="26" t="s">
        <v>435</v>
      </c>
      <c r="E76" s="26">
        <f>+VLOOKUP(F76,'[1]Codes &amp; Descr. SFICS25'!D:E,2,FALSE)</f>
        <v>2306</v>
      </c>
      <c r="F76" s="26" t="s">
        <v>583</v>
      </c>
      <c r="G76" s="27">
        <f>VLOOKUP(H76,'[1]Codes &amp; Descr. SFICS25'!F:H,2,FALSE)</f>
        <v>230601</v>
      </c>
      <c r="H76" s="26" t="s">
        <v>584</v>
      </c>
      <c r="I76" s="26" t="s">
        <v>585</v>
      </c>
      <c r="J76" s="26" t="s">
        <v>585</v>
      </c>
      <c r="K76" s="27" t="s">
        <v>584</v>
      </c>
      <c r="L76" s="28" t="s">
        <v>584</v>
      </c>
      <c r="M76" s="39" t="s">
        <v>29</v>
      </c>
      <c r="N76" s="30" t="s">
        <v>586</v>
      </c>
      <c r="O76" s="30" t="s">
        <v>587</v>
      </c>
      <c r="P76" s="31" t="s">
        <v>40</v>
      </c>
      <c r="Q76" s="31" t="s">
        <v>588</v>
      </c>
      <c r="R76" s="30" t="s">
        <v>40</v>
      </c>
      <c r="S76" s="30" t="s">
        <v>40</v>
      </c>
      <c r="T76" s="32" t="s">
        <v>445</v>
      </c>
      <c r="U76" s="34">
        <v>0</v>
      </c>
      <c r="V76" s="34">
        <v>0</v>
      </c>
      <c r="W76" s="34">
        <v>0</v>
      </c>
      <c r="X76" s="33" t="s">
        <v>43</v>
      </c>
      <c r="Y76" s="34">
        <v>0</v>
      </c>
      <c r="Z76" s="34">
        <v>0</v>
      </c>
      <c r="AA76" s="34">
        <f t="shared" si="1"/>
        <v>0</v>
      </c>
      <c r="AB76" s="34">
        <v>0</v>
      </c>
      <c r="AC76" s="41"/>
    </row>
    <row r="77" spans="1:29" ht="32.25" customHeight="1">
      <c r="B77" s="148">
        <v>74</v>
      </c>
      <c r="C77" s="26">
        <f>VLOOKUP(D77,'[1]Codes &amp; Descr. SFICS25'!B:C,2,FALSE)</f>
        <v>23</v>
      </c>
      <c r="D77" s="26" t="s">
        <v>435</v>
      </c>
      <c r="E77" s="26">
        <f>+VLOOKUP(F77,'[1]Codes &amp; Descr. SFICS25'!D:E,2,FALSE)</f>
        <v>2306</v>
      </c>
      <c r="F77" s="26" t="s">
        <v>583</v>
      </c>
      <c r="G77" s="27">
        <f>VLOOKUP(H77,'[1]Codes &amp; Descr. SFICS25'!F:H,2,FALSE)</f>
        <v>230602</v>
      </c>
      <c r="H77" s="26" t="s">
        <v>589</v>
      </c>
      <c r="I77" s="26" t="s">
        <v>590</v>
      </c>
      <c r="J77" s="26" t="s">
        <v>591</v>
      </c>
      <c r="K77" s="27" t="s">
        <v>589</v>
      </c>
      <c r="L77" s="28" t="s">
        <v>589</v>
      </c>
      <c r="M77" s="39" t="s">
        <v>29</v>
      </c>
      <c r="N77" s="30" t="s">
        <v>592</v>
      </c>
      <c r="O77" s="30" t="s">
        <v>593</v>
      </c>
      <c r="P77" s="31" t="s">
        <v>268</v>
      </c>
      <c r="Q77" s="31" t="s">
        <v>594</v>
      </c>
      <c r="R77" s="30" t="s">
        <v>40</v>
      </c>
      <c r="S77" s="30" t="s">
        <v>40</v>
      </c>
      <c r="T77" s="32" t="s">
        <v>445</v>
      </c>
      <c r="U77" s="34">
        <v>0</v>
      </c>
      <c r="V77" s="34">
        <v>0</v>
      </c>
      <c r="W77" s="34">
        <v>0</v>
      </c>
      <c r="X77" s="33" t="s">
        <v>43</v>
      </c>
      <c r="Y77" s="34">
        <v>0</v>
      </c>
      <c r="Z77" s="34">
        <v>0</v>
      </c>
      <c r="AA77" s="34">
        <f t="shared" si="1"/>
        <v>1</v>
      </c>
      <c r="AB77" s="34">
        <v>0</v>
      </c>
      <c r="AC77" s="43"/>
    </row>
    <row r="78" spans="1:29" ht="32.25" customHeight="1">
      <c r="B78" s="148">
        <v>75</v>
      </c>
      <c r="C78" s="26">
        <f>VLOOKUP(D78,'[1]Codes &amp; Descr. SFICS25'!B:C,2,FALSE)</f>
        <v>23</v>
      </c>
      <c r="D78" s="26" t="s">
        <v>435</v>
      </c>
      <c r="E78" s="26">
        <f>+VLOOKUP(F78,'[1]Codes &amp; Descr. SFICS25'!D:E,2,FALSE)</f>
        <v>2303</v>
      </c>
      <c r="F78" s="26" t="s">
        <v>595</v>
      </c>
      <c r="G78" s="27">
        <f>VLOOKUP(H78,'[1]Codes &amp; Descr. SFICS25'!F:H,2,FALSE)</f>
        <v>230301</v>
      </c>
      <c r="H78" s="26" t="s">
        <v>596</v>
      </c>
      <c r="I78" s="26" t="s">
        <v>597</v>
      </c>
      <c r="J78" s="26" t="s">
        <v>598</v>
      </c>
      <c r="K78" s="27" t="s">
        <v>599</v>
      </c>
      <c r="L78" s="28" t="s">
        <v>599</v>
      </c>
      <c r="M78" s="39" t="s">
        <v>29</v>
      </c>
      <c r="N78" s="30" t="s">
        <v>600</v>
      </c>
      <c r="O78" s="30" t="s">
        <v>601</v>
      </c>
      <c r="P78" s="44" t="s">
        <v>602</v>
      </c>
      <c r="Q78" s="31" t="s">
        <v>603</v>
      </c>
      <c r="R78" s="30" t="s">
        <v>40</v>
      </c>
      <c r="S78" s="30" t="s">
        <v>40</v>
      </c>
      <c r="T78" s="32" t="s">
        <v>445</v>
      </c>
      <c r="U78" s="33" t="s">
        <v>185</v>
      </c>
      <c r="V78" s="33" t="s">
        <v>43</v>
      </c>
      <c r="W78" s="34">
        <v>0</v>
      </c>
      <c r="X78" s="34">
        <v>0</v>
      </c>
      <c r="Y78" s="34">
        <v>0</v>
      </c>
      <c r="Z78" s="34">
        <v>0</v>
      </c>
      <c r="AA78" s="34">
        <f t="shared" si="1"/>
        <v>1</v>
      </c>
      <c r="AB78" s="34">
        <v>0</v>
      </c>
      <c r="AC78" s="43"/>
    </row>
    <row r="79" spans="1:29" ht="32.25" customHeight="1">
      <c r="B79" s="148">
        <v>76</v>
      </c>
      <c r="C79" s="26">
        <f>VLOOKUP(D79,'[1]Codes &amp; Descr. SFICS25'!B:C,2,FALSE)</f>
        <v>23</v>
      </c>
      <c r="D79" s="26" t="s">
        <v>435</v>
      </c>
      <c r="E79" s="26">
        <f>+VLOOKUP(F79,'[1]Codes &amp; Descr. SFICS25'!D:E,2,FALSE)</f>
        <v>2303</v>
      </c>
      <c r="F79" s="26" t="s">
        <v>595</v>
      </c>
      <c r="G79" s="27">
        <f>VLOOKUP(H79,'[1]Codes &amp; Descr. SFICS25'!F:H,2,FALSE)</f>
        <v>230302</v>
      </c>
      <c r="H79" s="26" t="s">
        <v>604</v>
      </c>
      <c r="I79" s="26" t="s">
        <v>605</v>
      </c>
      <c r="J79" s="26" t="s">
        <v>606</v>
      </c>
      <c r="K79" s="27" t="s">
        <v>607</v>
      </c>
      <c r="L79" s="28" t="s">
        <v>608</v>
      </c>
      <c r="M79" s="29" t="s">
        <v>29</v>
      </c>
      <c r="N79" s="30" t="s">
        <v>609</v>
      </c>
      <c r="O79" s="30" t="s">
        <v>610</v>
      </c>
      <c r="P79" s="31" t="s">
        <v>40</v>
      </c>
      <c r="Q79" s="31" t="s">
        <v>611</v>
      </c>
      <c r="R79" s="30" t="s">
        <v>40</v>
      </c>
      <c r="S79" s="30" t="s">
        <v>40</v>
      </c>
      <c r="T79" s="32" t="s">
        <v>445</v>
      </c>
      <c r="U79" s="33" t="s">
        <v>185</v>
      </c>
      <c r="V79" s="33" t="s">
        <v>43</v>
      </c>
      <c r="W79" s="34">
        <v>0</v>
      </c>
      <c r="X79" s="34">
        <v>0</v>
      </c>
      <c r="Y79" s="34">
        <v>0</v>
      </c>
      <c r="Z79" s="34">
        <v>0</v>
      </c>
      <c r="AA79" s="34">
        <f t="shared" si="1"/>
        <v>0</v>
      </c>
      <c r="AB79" s="34">
        <v>0</v>
      </c>
      <c r="AC79" s="43"/>
    </row>
    <row r="80" spans="1:29" ht="32.25" customHeight="1">
      <c r="B80" s="148">
        <v>77</v>
      </c>
      <c r="C80" s="26">
        <f>VLOOKUP(D80,'[1]Codes &amp; Descr. SFICS25'!B:C,2,FALSE)</f>
        <v>23</v>
      </c>
      <c r="D80" s="26" t="s">
        <v>435</v>
      </c>
      <c r="E80" s="26">
        <f>+VLOOKUP(F80,'[1]Codes &amp; Descr. SFICS25'!D:E,2,FALSE)</f>
        <v>2303</v>
      </c>
      <c r="F80" s="26" t="s">
        <v>595</v>
      </c>
      <c r="G80" s="27">
        <f>VLOOKUP(H80,'[1]Codes &amp; Descr. SFICS25'!F:H,2,FALSE)</f>
        <v>230303</v>
      </c>
      <c r="H80" s="26" t="s">
        <v>612</v>
      </c>
      <c r="I80" s="26" t="s">
        <v>613</v>
      </c>
      <c r="J80" s="26" t="s">
        <v>614</v>
      </c>
      <c r="K80" s="27" t="s">
        <v>615</v>
      </c>
      <c r="L80" s="28" t="s">
        <v>616</v>
      </c>
      <c r="M80" s="29" t="s">
        <v>29</v>
      </c>
      <c r="N80" s="30" t="s">
        <v>617</v>
      </c>
      <c r="O80" s="30" t="s">
        <v>618</v>
      </c>
      <c r="P80" s="31" t="s">
        <v>40</v>
      </c>
      <c r="Q80" s="31" t="s">
        <v>619</v>
      </c>
      <c r="R80" s="30" t="s">
        <v>40</v>
      </c>
      <c r="S80" s="30" t="s">
        <v>40</v>
      </c>
      <c r="T80" s="32" t="s">
        <v>445</v>
      </c>
      <c r="U80" s="33" t="s">
        <v>185</v>
      </c>
      <c r="V80" s="33" t="s">
        <v>43</v>
      </c>
      <c r="W80" s="34">
        <v>0</v>
      </c>
      <c r="X80" s="34">
        <v>0</v>
      </c>
      <c r="Y80" s="34">
        <v>0</v>
      </c>
      <c r="Z80" s="34">
        <v>0</v>
      </c>
      <c r="AA80" s="34">
        <f t="shared" si="1"/>
        <v>0</v>
      </c>
      <c r="AB80" s="34">
        <v>0</v>
      </c>
      <c r="AC80" s="43"/>
    </row>
    <row r="81" spans="1:29" ht="32.25" customHeight="1">
      <c r="B81" s="148">
        <v>78</v>
      </c>
      <c r="C81" s="26">
        <f>VLOOKUP(D81,'[1]Codes &amp; Descr. SFICS25'!B:C,2,FALSE)</f>
        <v>23</v>
      </c>
      <c r="D81" s="26" t="s">
        <v>435</v>
      </c>
      <c r="E81" s="26">
        <f>+VLOOKUP(F81,'[1]Codes &amp; Descr. SFICS25'!D:E,2,FALSE)</f>
        <v>2303</v>
      </c>
      <c r="F81" s="26" t="s">
        <v>595</v>
      </c>
      <c r="G81" s="27">
        <f>VLOOKUP(H81,'[1]Codes &amp; Descr. SFICS25'!F:H,2,FALSE)</f>
        <v>230304</v>
      </c>
      <c r="H81" s="26" t="s">
        <v>620</v>
      </c>
      <c r="I81" s="26" t="s">
        <v>621</v>
      </c>
      <c r="J81" s="26" t="s">
        <v>622</v>
      </c>
      <c r="K81" s="27" t="s">
        <v>623</v>
      </c>
      <c r="L81" s="28" t="s">
        <v>623</v>
      </c>
      <c r="M81" s="29" t="s">
        <v>29</v>
      </c>
      <c r="N81" s="30" t="s">
        <v>624</v>
      </c>
      <c r="O81" s="30" t="s">
        <v>625</v>
      </c>
      <c r="P81" s="31" t="s">
        <v>40</v>
      </c>
      <c r="Q81" s="31" t="s">
        <v>619</v>
      </c>
      <c r="R81" s="30" t="s">
        <v>40</v>
      </c>
      <c r="S81" s="30" t="s">
        <v>40</v>
      </c>
      <c r="T81" s="32" t="s">
        <v>445</v>
      </c>
      <c r="U81" s="33" t="s">
        <v>185</v>
      </c>
      <c r="V81" s="33" t="s">
        <v>43</v>
      </c>
      <c r="W81" s="34">
        <v>0</v>
      </c>
      <c r="X81" s="34">
        <v>0</v>
      </c>
      <c r="Y81" s="34">
        <v>0</v>
      </c>
      <c r="Z81" s="34">
        <v>0</v>
      </c>
      <c r="AA81" s="34">
        <f t="shared" si="1"/>
        <v>0</v>
      </c>
      <c r="AB81" s="34">
        <v>0</v>
      </c>
      <c r="AC81" s="43"/>
    </row>
    <row r="82" spans="1:29" ht="32.25" customHeight="1">
      <c r="B82" s="148">
        <v>79</v>
      </c>
      <c r="C82" s="26">
        <f>VLOOKUP(D82,'[1]Codes &amp; Descr. SFICS25'!B:C,2,FALSE)</f>
        <v>23</v>
      </c>
      <c r="D82" s="26" t="s">
        <v>435</v>
      </c>
      <c r="E82" s="26">
        <f>+VLOOKUP(F82,'[1]Codes &amp; Descr. SFICS25'!D:E,2,FALSE)</f>
        <v>2305</v>
      </c>
      <c r="F82" s="26" t="s">
        <v>626</v>
      </c>
      <c r="G82" s="27" t="str">
        <f>VLOOKUP(H82,'[1]Codes &amp; Descr. SFICS25'!F:H,2,FALSE)</f>
        <v>-</v>
      </c>
      <c r="H82" s="26" t="s">
        <v>507</v>
      </c>
      <c r="I82" s="26" t="s">
        <v>507</v>
      </c>
      <c r="J82" s="26" t="s">
        <v>627</v>
      </c>
      <c r="K82" s="27" t="s">
        <v>628</v>
      </c>
      <c r="L82" s="28" t="s">
        <v>628</v>
      </c>
      <c r="M82" s="29" t="s">
        <v>29</v>
      </c>
      <c r="N82" s="30" t="s">
        <v>629</v>
      </c>
      <c r="O82" s="30" t="s">
        <v>630</v>
      </c>
      <c r="P82" s="31" t="s">
        <v>631</v>
      </c>
      <c r="Q82" s="31" t="s">
        <v>632</v>
      </c>
      <c r="R82" s="30" t="s">
        <v>40</v>
      </c>
      <c r="S82" s="30" t="s">
        <v>40</v>
      </c>
      <c r="T82" s="32" t="s">
        <v>445</v>
      </c>
      <c r="U82" s="34">
        <v>0</v>
      </c>
      <c r="V82" s="34">
        <v>0</v>
      </c>
      <c r="W82" s="34">
        <v>0</v>
      </c>
      <c r="X82" s="33" t="s">
        <v>237</v>
      </c>
      <c r="Y82" s="34">
        <v>0</v>
      </c>
      <c r="Z82" s="34">
        <v>0</v>
      </c>
      <c r="AA82" s="34">
        <f t="shared" si="1"/>
        <v>1</v>
      </c>
      <c r="AB82" s="34">
        <v>0</v>
      </c>
      <c r="AC82" s="41"/>
    </row>
    <row r="83" spans="1:29" ht="32.25" customHeight="1">
      <c r="B83" s="148">
        <v>80</v>
      </c>
      <c r="C83" s="26">
        <f>VLOOKUP(D83,'[1]Codes &amp; Descr. SFICS25'!B:C,2,FALSE)</f>
        <v>26</v>
      </c>
      <c r="D83" s="26" t="s">
        <v>633</v>
      </c>
      <c r="E83" s="26">
        <f>+VLOOKUP(F83,'[1]Codes &amp; Descr. SFICS25'!D:E,2,FALSE)</f>
        <v>2602</v>
      </c>
      <c r="F83" s="27" t="s">
        <v>634</v>
      </c>
      <c r="G83" s="27">
        <f>VLOOKUP(H83,'[1]Codes &amp; Descr. SFICS25'!F:H,2,FALSE)</f>
        <v>260201</v>
      </c>
      <c r="H83" s="26" t="s">
        <v>635</v>
      </c>
      <c r="I83" s="26" t="s">
        <v>636</v>
      </c>
      <c r="J83" s="26" t="s">
        <v>636</v>
      </c>
      <c r="K83" s="27" t="s">
        <v>635</v>
      </c>
      <c r="L83" s="28" t="s">
        <v>637</v>
      </c>
      <c r="M83" s="39" t="s">
        <v>29</v>
      </c>
      <c r="N83" s="30" t="s">
        <v>638</v>
      </c>
      <c r="O83" s="30" t="s">
        <v>639</v>
      </c>
      <c r="P83" s="31" t="s">
        <v>40</v>
      </c>
      <c r="Q83" s="31" t="s">
        <v>640</v>
      </c>
      <c r="R83" s="30" t="s">
        <v>40</v>
      </c>
      <c r="S83" s="30" t="s">
        <v>40</v>
      </c>
      <c r="T83" s="32" t="s">
        <v>641</v>
      </c>
      <c r="U83" s="33" t="s">
        <v>43</v>
      </c>
      <c r="V83" s="33" t="s">
        <v>43</v>
      </c>
      <c r="W83" s="34">
        <v>0</v>
      </c>
      <c r="X83" s="34">
        <v>0</v>
      </c>
      <c r="Y83" s="34">
        <v>0</v>
      </c>
      <c r="Z83" s="34">
        <v>0</v>
      </c>
      <c r="AA83" s="34">
        <f t="shared" si="1"/>
        <v>0</v>
      </c>
      <c r="AB83" s="34">
        <v>0</v>
      </c>
      <c r="AC83" s="43" t="s">
        <v>383</v>
      </c>
    </row>
    <row r="84" spans="1:29" ht="32.25" customHeight="1">
      <c r="B84" s="148">
        <v>81</v>
      </c>
      <c r="C84" s="26">
        <f>VLOOKUP(D84,'[1]Codes &amp; Descr. SFICS25'!B:C,2,FALSE)</f>
        <v>26</v>
      </c>
      <c r="D84" s="26" t="s">
        <v>633</v>
      </c>
      <c r="E84" s="26">
        <f>+VLOOKUP(F84,'[1]Codes &amp; Descr. SFICS25'!D:E,2,FALSE)</f>
        <v>2602</v>
      </c>
      <c r="F84" s="27" t="s">
        <v>634</v>
      </c>
      <c r="G84" s="27">
        <f>VLOOKUP(H84,'[1]Codes &amp; Descr. SFICS25'!F:H,2,FALSE)</f>
        <v>260202</v>
      </c>
      <c r="H84" s="26" t="s">
        <v>642</v>
      </c>
      <c r="I84" s="26" t="s">
        <v>643</v>
      </c>
      <c r="J84" s="26" t="s">
        <v>643</v>
      </c>
      <c r="K84" s="27" t="s">
        <v>644</v>
      </c>
      <c r="L84" s="28" t="s">
        <v>644</v>
      </c>
      <c r="M84" s="39" t="s">
        <v>29</v>
      </c>
      <c r="N84" s="30" t="s">
        <v>645</v>
      </c>
      <c r="O84" s="30" t="s">
        <v>646</v>
      </c>
      <c r="P84" s="31" t="s">
        <v>647</v>
      </c>
      <c r="Q84" s="31" t="s">
        <v>648</v>
      </c>
      <c r="R84" s="30" t="s">
        <v>40</v>
      </c>
      <c r="S84" s="30" t="s">
        <v>40</v>
      </c>
      <c r="T84" s="32" t="s">
        <v>641</v>
      </c>
      <c r="U84" s="34">
        <v>0</v>
      </c>
      <c r="V84" s="34">
        <v>0</v>
      </c>
      <c r="W84" s="33" t="s">
        <v>43</v>
      </c>
      <c r="X84" s="34">
        <v>0</v>
      </c>
      <c r="Y84" s="34">
        <v>0</v>
      </c>
      <c r="Z84" s="34">
        <v>0</v>
      </c>
      <c r="AA84" s="34">
        <f t="shared" si="1"/>
        <v>1</v>
      </c>
      <c r="AB84" s="34">
        <v>0</v>
      </c>
      <c r="AC84" s="43"/>
    </row>
    <row r="85" spans="1:29" ht="32.25" customHeight="1">
      <c r="B85" s="148">
        <v>82</v>
      </c>
      <c r="C85" s="26">
        <f>VLOOKUP(D85,'[1]Codes &amp; Descr. SFICS25'!B:C,2,FALSE)</f>
        <v>26</v>
      </c>
      <c r="D85" s="26" t="s">
        <v>633</v>
      </c>
      <c r="E85" s="26">
        <f>+VLOOKUP(F85,'[1]Codes &amp; Descr. SFICS25'!D:E,2,FALSE)</f>
        <v>2602</v>
      </c>
      <c r="F85" s="27" t="s">
        <v>634</v>
      </c>
      <c r="G85" s="27">
        <f>VLOOKUP(H85,'[1]Codes &amp; Descr. SFICS25'!F:H,2,FALSE)</f>
        <v>260203</v>
      </c>
      <c r="H85" s="26" t="s">
        <v>649</v>
      </c>
      <c r="I85" s="26" t="s">
        <v>650</v>
      </c>
      <c r="J85" s="26" t="s">
        <v>650</v>
      </c>
      <c r="K85" s="27" t="s">
        <v>649</v>
      </c>
      <c r="L85" s="28" t="s">
        <v>649</v>
      </c>
      <c r="M85" s="39" t="s">
        <v>29</v>
      </c>
      <c r="N85" s="30" t="s">
        <v>651</v>
      </c>
      <c r="O85" s="30" t="s">
        <v>652</v>
      </c>
      <c r="P85" s="31" t="s">
        <v>653</v>
      </c>
      <c r="Q85" s="31" t="s">
        <v>654</v>
      </c>
      <c r="R85" s="30" t="s">
        <v>40</v>
      </c>
      <c r="S85" s="30" t="s">
        <v>40</v>
      </c>
      <c r="T85" s="32" t="s">
        <v>641</v>
      </c>
      <c r="U85" s="34">
        <v>0</v>
      </c>
      <c r="V85" s="34">
        <v>0</v>
      </c>
      <c r="W85" s="33" t="s">
        <v>43</v>
      </c>
      <c r="X85" s="34">
        <v>0</v>
      </c>
      <c r="Y85" s="34">
        <v>0</v>
      </c>
      <c r="Z85" s="34">
        <v>0</v>
      </c>
      <c r="AA85" s="34">
        <f t="shared" si="1"/>
        <v>1</v>
      </c>
      <c r="AB85" s="34">
        <v>0</v>
      </c>
      <c r="AC85" s="43"/>
    </row>
    <row r="86" spans="1:29" ht="32.25" customHeight="1">
      <c r="B86" s="148">
        <v>83</v>
      </c>
      <c r="C86" s="26">
        <f>VLOOKUP(D86,'[1]Codes &amp; Descr. SFICS25'!B:C,2,FALSE)</f>
        <v>26</v>
      </c>
      <c r="D86" s="26" t="s">
        <v>633</v>
      </c>
      <c r="E86" s="26">
        <f>+VLOOKUP(F86,'[1]Codes &amp; Descr. SFICS25'!D:E,2,FALSE)</f>
        <v>2602</v>
      </c>
      <c r="F86" s="27" t="s">
        <v>634</v>
      </c>
      <c r="G86" s="27">
        <f>VLOOKUP(H86,'[1]Codes &amp; Descr. SFICS25'!F:H,2,FALSE)</f>
        <v>260204</v>
      </c>
      <c r="H86" s="26" t="s">
        <v>655</v>
      </c>
      <c r="I86" s="26" t="s">
        <v>656</v>
      </c>
      <c r="J86" s="26" t="s">
        <v>656</v>
      </c>
      <c r="K86" s="27" t="s">
        <v>655</v>
      </c>
      <c r="L86" s="28" t="s">
        <v>655</v>
      </c>
      <c r="M86" s="39" t="s">
        <v>29</v>
      </c>
      <c r="N86" s="30" t="s">
        <v>657</v>
      </c>
      <c r="O86" s="30" t="s">
        <v>658</v>
      </c>
      <c r="P86" s="31" t="s">
        <v>659</v>
      </c>
      <c r="Q86" s="31" t="s">
        <v>660</v>
      </c>
      <c r="R86" s="30" t="s">
        <v>40</v>
      </c>
      <c r="S86" s="30" t="s">
        <v>40</v>
      </c>
      <c r="T86" s="32" t="s">
        <v>641</v>
      </c>
      <c r="U86" s="34">
        <v>0</v>
      </c>
      <c r="V86" s="34">
        <v>0</v>
      </c>
      <c r="W86" s="34">
        <v>0</v>
      </c>
      <c r="X86" s="33" t="s">
        <v>43</v>
      </c>
      <c r="Y86" s="34">
        <v>0</v>
      </c>
      <c r="Z86" s="34">
        <v>0</v>
      </c>
      <c r="AA86" s="34">
        <f t="shared" si="1"/>
        <v>1</v>
      </c>
      <c r="AB86" s="34">
        <v>0</v>
      </c>
      <c r="AC86" s="43"/>
    </row>
    <row r="87" spans="1:29" ht="32.25" customHeight="1">
      <c r="B87" s="148">
        <v>84</v>
      </c>
      <c r="C87" s="26">
        <f>VLOOKUP(D87,'[1]Codes &amp; Descr. SFICS25'!B:C,2,FALSE)</f>
        <v>26</v>
      </c>
      <c r="D87" s="26" t="s">
        <v>633</v>
      </c>
      <c r="E87" s="26">
        <f>+VLOOKUP(F87,'[1]Codes &amp; Descr. SFICS25'!D:E,2,FALSE)</f>
        <v>2602</v>
      </c>
      <c r="F87" s="27" t="s">
        <v>634</v>
      </c>
      <c r="G87" s="27">
        <f>VLOOKUP(H87,'[1]Codes &amp; Descr. SFICS25'!F:H,2,FALSE)</f>
        <v>260205</v>
      </c>
      <c r="H87" s="26" t="s">
        <v>661</v>
      </c>
      <c r="I87" s="26" t="s">
        <v>662</v>
      </c>
      <c r="J87" s="26" t="s">
        <v>663</v>
      </c>
      <c r="K87" s="27" t="s">
        <v>664</v>
      </c>
      <c r="L87" s="28" t="s">
        <v>664</v>
      </c>
      <c r="M87" s="39" t="s">
        <v>29</v>
      </c>
      <c r="N87" s="30" t="s">
        <v>665</v>
      </c>
      <c r="O87" s="30" t="s">
        <v>665</v>
      </c>
      <c r="P87" s="31" t="s">
        <v>666</v>
      </c>
      <c r="Q87" s="31" t="s">
        <v>667</v>
      </c>
      <c r="R87" s="30" t="s">
        <v>40</v>
      </c>
      <c r="S87" s="30" t="s">
        <v>40</v>
      </c>
      <c r="T87" s="32" t="s">
        <v>641</v>
      </c>
      <c r="U87" s="34">
        <v>0</v>
      </c>
      <c r="V87" s="34">
        <v>0</v>
      </c>
      <c r="W87" s="34">
        <v>0</v>
      </c>
      <c r="X87" s="33" t="s">
        <v>43</v>
      </c>
      <c r="Y87" s="34">
        <v>0</v>
      </c>
      <c r="Z87" s="34">
        <v>0</v>
      </c>
      <c r="AA87" s="34">
        <f t="shared" si="1"/>
        <v>1</v>
      </c>
      <c r="AB87" s="34">
        <v>0</v>
      </c>
      <c r="AC87" s="43"/>
    </row>
    <row r="88" spans="1:29" ht="32.25" customHeight="1">
      <c r="A88" s="35"/>
      <c r="B88" s="148">
        <v>85</v>
      </c>
      <c r="C88" s="26">
        <f>VLOOKUP(D88,'[1]Codes &amp; Descr. SFICS25'!B:C,2,FALSE)</f>
        <v>26</v>
      </c>
      <c r="D88" s="26" t="s">
        <v>633</v>
      </c>
      <c r="E88" s="26">
        <f>+VLOOKUP(F88,'[1]Codes &amp; Descr. SFICS25'!D:E,2,FALSE)</f>
        <v>2604</v>
      </c>
      <c r="F88" s="27" t="s">
        <v>668</v>
      </c>
      <c r="G88" s="27">
        <f>VLOOKUP(H88,'[1]Codes &amp; Descr. SFICS25'!F:H,2,FALSE)</f>
        <v>260401</v>
      </c>
      <c r="H88" s="26" t="s">
        <v>669</v>
      </c>
      <c r="I88" s="26" t="s">
        <v>670</v>
      </c>
      <c r="J88" s="26" t="s">
        <v>671</v>
      </c>
      <c r="K88" s="27" t="s">
        <v>672</v>
      </c>
      <c r="L88" s="28" t="s">
        <v>672</v>
      </c>
      <c r="M88" s="39" t="s">
        <v>29</v>
      </c>
      <c r="N88" s="30" t="s">
        <v>673</v>
      </c>
      <c r="O88" s="30" t="s">
        <v>674</v>
      </c>
      <c r="P88" s="196" t="s">
        <v>675</v>
      </c>
      <c r="Q88" s="31" t="s">
        <v>676</v>
      </c>
      <c r="R88" s="30" t="s">
        <v>40</v>
      </c>
      <c r="S88" s="30" t="s">
        <v>40</v>
      </c>
      <c r="T88" s="32" t="s">
        <v>641</v>
      </c>
      <c r="U88" s="33" t="s">
        <v>43</v>
      </c>
      <c r="V88" s="33" t="s">
        <v>43</v>
      </c>
      <c r="W88" s="34">
        <v>0</v>
      </c>
      <c r="X88" s="34">
        <v>0</v>
      </c>
      <c r="Y88" s="34">
        <v>0</v>
      </c>
      <c r="Z88" s="34">
        <v>0</v>
      </c>
      <c r="AA88" s="45">
        <f t="shared" si="1"/>
        <v>1</v>
      </c>
      <c r="AB88" s="34">
        <v>0</v>
      </c>
      <c r="AC88" s="43"/>
    </row>
    <row r="89" spans="1:29" ht="32.25" customHeight="1">
      <c r="B89" s="148">
        <v>86</v>
      </c>
      <c r="C89" s="26">
        <f>VLOOKUP(D89,'[1]Codes &amp; Descr. SFICS25'!B:C,2,FALSE)</f>
        <v>26</v>
      </c>
      <c r="D89" s="26" t="s">
        <v>633</v>
      </c>
      <c r="E89" s="26">
        <f>+VLOOKUP(F89,'[1]Codes &amp; Descr. SFICS25'!D:E,2,FALSE)</f>
        <v>2604</v>
      </c>
      <c r="F89" s="27" t="s">
        <v>668</v>
      </c>
      <c r="G89" s="27">
        <f>VLOOKUP(H89,'[1]Codes &amp; Descr. SFICS25'!F:H,2,FALSE)</f>
        <v>260402</v>
      </c>
      <c r="H89" s="26" t="s">
        <v>677</v>
      </c>
      <c r="I89" s="26" t="s">
        <v>678</v>
      </c>
      <c r="J89" s="26" t="s">
        <v>679</v>
      </c>
      <c r="K89" s="27" t="s">
        <v>680</v>
      </c>
      <c r="L89" s="28" t="s">
        <v>680</v>
      </c>
      <c r="M89" s="39" t="s">
        <v>29</v>
      </c>
      <c r="N89" s="30" t="s">
        <v>681</v>
      </c>
      <c r="O89" s="30" t="s">
        <v>682</v>
      </c>
      <c r="P89" s="31" t="s">
        <v>683</v>
      </c>
      <c r="Q89" s="31" t="s">
        <v>684</v>
      </c>
      <c r="R89" s="30" t="s">
        <v>40</v>
      </c>
      <c r="S89" s="30" t="s">
        <v>40</v>
      </c>
      <c r="T89" s="32" t="s">
        <v>641</v>
      </c>
      <c r="U89" s="33" t="s">
        <v>43</v>
      </c>
      <c r="V89" s="33" t="s">
        <v>43</v>
      </c>
      <c r="W89" s="34">
        <v>0</v>
      </c>
      <c r="X89" s="34">
        <v>0</v>
      </c>
      <c r="Y89" s="34">
        <v>0</v>
      </c>
      <c r="Z89" s="34">
        <v>0</v>
      </c>
      <c r="AA89" s="34">
        <f t="shared" si="1"/>
        <v>1</v>
      </c>
      <c r="AB89" s="34">
        <v>0</v>
      </c>
      <c r="AC89" s="43"/>
    </row>
    <row r="90" spans="1:29" ht="32.25" customHeight="1">
      <c r="B90" s="148">
        <v>87</v>
      </c>
      <c r="C90" s="26">
        <f>VLOOKUP(D90,'[1]Codes &amp; Descr. SFICS25'!B:C,2,FALSE)</f>
        <v>26</v>
      </c>
      <c r="D90" s="26" t="s">
        <v>633</v>
      </c>
      <c r="E90" s="26">
        <f>+VLOOKUP(F90,'[1]Codes &amp; Descr. SFICS25'!D:E,2,FALSE)</f>
        <v>2604</v>
      </c>
      <c r="F90" s="27" t="s">
        <v>668</v>
      </c>
      <c r="G90" s="27">
        <f>VLOOKUP(H90,'[1]Codes &amp; Descr. SFICS25'!F:H,2,FALSE)</f>
        <v>260403</v>
      </c>
      <c r="H90" s="26" t="s">
        <v>685</v>
      </c>
      <c r="I90" s="26" t="s">
        <v>686</v>
      </c>
      <c r="J90" s="26" t="s">
        <v>687</v>
      </c>
      <c r="K90" s="27" t="s">
        <v>688</v>
      </c>
      <c r="L90" s="28" t="s">
        <v>688</v>
      </c>
      <c r="M90" s="39" t="s">
        <v>29</v>
      </c>
      <c r="N90" s="30" t="s">
        <v>689</v>
      </c>
      <c r="O90" s="30" t="s">
        <v>690</v>
      </c>
      <c r="P90" s="31" t="s">
        <v>691</v>
      </c>
      <c r="Q90" s="31" t="s">
        <v>692</v>
      </c>
      <c r="R90" s="30" t="s">
        <v>40</v>
      </c>
      <c r="S90" s="30" t="s">
        <v>40</v>
      </c>
      <c r="T90" s="32" t="s">
        <v>641</v>
      </c>
      <c r="U90" s="34">
        <v>0</v>
      </c>
      <c r="V90" s="34">
        <v>0</v>
      </c>
      <c r="W90" s="34">
        <v>0</v>
      </c>
      <c r="X90" s="33" t="s">
        <v>43</v>
      </c>
      <c r="Y90" s="34">
        <v>0</v>
      </c>
      <c r="Z90" s="34">
        <v>0</v>
      </c>
      <c r="AA90" s="34">
        <f t="shared" si="1"/>
        <v>1</v>
      </c>
      <c r="AB90" s="34">
        <v>0</v>
      </c>
      <c r="AC90" s="43"/>
    </row>
    <row r="91" spans="1:29" ht="32.25" customHeight="1">
      <c r="B91" s="148">
        <v>88</v>
      </c>
      <c r="C91" s="26">
        <f>VLOOKUP(D91,'[1]Codes &amp; Descr. SFICS25'!B:C,2,FALSE)</f>
        <v>26</v>
      </c>
      <c r="D91" s="26" t="s">
        <v>633</v>
      </c>
      <c r="E91" s="26">
        <f>+VLOOKUP(F91,'[1]Codes &amp; Descr. SFICS25'!D:E,2,FALSE)</f>
        <v>2604</v>
      </c>
      <c r="F91" s="27" t="s">
        <v>668</v>
      </c>
      <c r="G91" s="27">
        <f>VLOOKUP(H91,'[1]Codes &amp; Descr. SFICS25'!F:H,2,FALSE)</f>
        <v>260404</v>
      </c>
      <c r="H91" s="26" t="s">
        <v>693</v>
      </c>
      <c r="I91" s="26" t="s">
        <v>694</v>
      </c>
      <c r="J91" s="26" t="s">
        <v>695</v>
      </c>
      <c r="K91" s="27" t="s">
        <v>696</v>
      </c>
      <c r="L91" s="28" t="s">
        <v>696</v>
      </c>
      <c r="M91" s="39" t="s">
        <v>29</v>
      </c>
      <c r="N91" s="30" t="s">
        <v>697</v>
      </c>
      <c r="O91" s="30" t="s">
        <v>698</v>
      </c>
      <c r="P91" s="31" t="s">
        <v>40</v>
      </c>
      <c r="Q91" s="31" t="s">
        <v>699</v>
      </c>
      <c r="R91" s="30" t="s">
        <v>40</v>
      </c>
      <c r="S91" s="30" t="s">
        <v>40</v>
      </c>
      <c r="T91" s="32" t="s">
        <v>641</v>
      </c>
      <c r="U91" s="34">
        <v>0</v>
      </c>
      <c r="V91" s="34">
        <v>0</v>
      </c>
      <c r="W91" s="34">
        <v>0</v>
      </c>
      <c r="X91" s="33" t="s">
        <v>43</v>
      </c>
      <c r="Y91" s="33" t="s">
        <v>43</v>
      </c>
      <c r="Z91" s="34">
        <v>0</v>
      </c>
      <c r="AA91" s="34">
        <f t="shared" si="1"/>
        <v>0</v>
      </c>
      <c r="AB91" s="34">
        <v>0</v>
      </c>
      <c r="AC91" s="43"/>
    </row>
    <row r="92" spans="1:29" ht="32.25" customHeight="1">
      <c r="B92" s="148">
        <v>89</v>
      </c>
      <c r="C92" s="26">
        <f>VLOOKUP(D92,'[1]Codes &amp; Descr. SFICS25'!B:C,2,FALSE)</f>
        <v>26</v>
      </c>
      <c r="D92" s="26" t="s">
        <v>633</v>
      </c>
      <c r="E92" s="26">
        <f>+VLOOKUP(F92,'[1]Codes &amp; Descr. SFICS25'!D:E,2,FALSE)</f>
        <v>2604</v>
      </c>
      <c r="F92" s="27" t="s">
        <v>668</v>
      </c>
      <c r="G92" s="27">
        <f>VLOOKUP(H92,'[1]Codes &amp; Descr. SFICS25'!F:H,2,FALSE)</f>
        <v>260405</v>
      </c>
      <c r="H92" s="26" t="s">
        <v>700</v>
      </c>
      <c r="I92" s="26" t="s">
        <v>701</v>
      </c>
      <c r="J92" s="26" t="s">
        <v>702</v>
      </c>
      <c r="K92" s="27" t="s">
        <v>703</v>
      </c>
      <c r="L92" s="28" t="s">
        <v>703</v>
      </c>
      <c r="M92" s="39" t="s">
        <v>29</v>
      </c>
      <c r="N92" s="30" t="s">
        <v>704</v>
      </c>
      <c r="O92" s="30" t="s">
        <v>705</v>
      </c>
      <c r="P92" s="31" t="s">
        <v>40</v>
      </c>
      <c r="Q92" s="31" t="s">
        <v>706</v>
      </c>
      <c r="R92" s="30" t="s">
        <v>40</v>
      </c>
      <c r="S92" s="30" t="s">
        <v>40</v>
      </c>
      <c r="T92" s="32" t="s">
        <v>641</v>
      </c>
      <c r="U92" s="34">
        <v>0</v>
      </c>
      <c r="V92" s="34">
        <v>0</v>
      </c>
      <c r="W92" s="34">
        <v>0</v>
      </c>
      <c r="X92" s="33" t="s">
        <v>43</v>
      </c>
      <c r="Y92" s="34">
        <v>0</v>
      </c>
      <c r="Z92" s="34">
        <v>0</v>
      </c>
      <c r="AA92" s="34">
        <f t="shared" si="1"/>
        <v>0</v>
      </c>
      <c r="AB92" s="34">
        <v>0</v>
      </c>
      <c r="AC92" s="43"/>
    </row>
    <row r="93" spans="1:29" ht="32.25" customHeight="1">
      <c r="B93" s="148">
        <v>90</v>
      </c>
      <c r="C93" s="26">
        <f>VLOOKUP(D93,'[1]Codes &amp; Descr. SFICS25'!B:C,2,FALSE)</f>
        <v>26</v>
      </c>
      <c r="D93" s="26" t="s">
        <v>633</v>
      </c>
      <c r="E93" s="26">
        <f>+VLOOKUP(F93,'[1]Codes &amp; Descr. SFICS25'!D:E,2,FALSE)</f>
        <v>2604</v>
      </c>
      <c r="F93" s="27" t="s">
        <v>668</v>
      </c>
      <c r="G93" s="27">
        <f>VLOOKUP(H93,'[1]Codes &amp; Descr. SFICS25'!F:H,2,FALSE)</f>
        <v>260406</v>
      </c>
      <c r="H93" s="26" t="s">
        <v>707</v>
      </c>
      <c r="I93" s="26" t="s">
        <v>708</v>
      </c>
      <c r="J93" s="26" t="s">
        <v>709</v>
      </c>
      <c r="K93" s="27" t="s">
        <v>710</v>
      </c>
      <c r="L93" s="28" t="s">
        <v>711</v>
      </c>
      <c r="M93" s="39" t="s">
        <v>29</v>
      </c>
      <c r="N93" s="30" t="s">
        <v>712</v>
      </c>
      <c r="O93" s="30" t="s">
        <v>713</v>
      </c>
      <c r="P93" s="31" t="s">
        <v>714</v>
      </c>
      <c r="Q93" s="31" t="s">
        <v>715</v>
      </c>
      <c r="R93" s="30" t="s">
        <v>40</v>
      </c>
      <c r="S93" s="30" t="s">
        <v>40</v>
      </c>
      <c r="T93" s="32" t="s">
        <v>641</v>
      </c>
      <c r="U93" s="34">
        <v>0</v>
      </c>
      <c r="V93" s="34">
        <v>0</v>
      </c>
      <c r="W93" s="34">
        <v>0</v>
      </c>
      <c r="X93" s="33" t="s">
        <v>43</v>
      </c>
      <c r="Y93" s="34">
        <v>0</v>
      </c>
      <c r="Z93" s="34">
        <v>0</v>
      </c>
      <c r="AA93" s="34">
        <f t="shared" si="1"/>
        <v>1</v>
      </c>
      <c r="AB93" s="34">
        <v>0</v>
      </c>
      <c r="AC93" s="43"/>
    </row>
    <row r="94" spans="1:29" ht="32.25" customHeight="1">
      <c r="B94" s="148">
        <v>91</v>
      </c>
      <c r="C94" s="26">
        <f>VLOOKUP(D94,'[1]Codes &amp; Descr. SFICS25'!B:C,2,FALSE)</f>
        <v>26</v>
      </c>
      <c r="D94" s="26" t="s">
        <v>633</v>
      </c>
      <c r="E94" s="26">
        <f>+VLOOKUP(F94,'[1]Codes &amp; Descr. SFICS25'!D:E,2,FALSE)</f>
        <v>2604</v>
      </c>
      <c r="F94" s="27" t="s">
        <v>668</v>
      </c>
      <c r="G94" s="27">
        <f>VLOOKUP(H94,'[1]Codes &amp; Descr. SFICS25'!F:H,2,FALSE)</f>
        <v>260407</v>
      </c>
      <c r="H94" s="26" t="s">
        <v>716</v>
      </c>
      <c r="I94" s="26" t="s">
        <v>717</v>
      </c>
      <c r="J94" s="26" t="s">
        <v>718</v>
      </c>
      <c r="K94" s="27" t="s">
        <v>719</v>
      </c>
      <c r="L94" s="28" t="s">
        <v>719</v>
      </c>
      <c r="M94" s="39" t="s">
        <v>29</v>
      </c>
      <c r="N94" s="30" t="s">
        <v>720</v>
      </c>
      <c r="O94" s="30" t="s">
        <v>721</v>
      </c>
      <c r="P94" s="31" t="s">
        <v>722</v>
      </c>
      <c r="Q94" s="31" t="s">
        <v>723</v>
      </c>
      <c r="R94" s="30" t="s">
        <v>40</v>
      </c>
      <c r="S94" s="30" t="s">
        <v>40</v>
      </c>
      <c r="T94" s="32" t="s">
        <v>641</v>
      </c>
      <c r="U94" s="34">
        <v>0</v>
      </c>
      <c r="V94" s="34">
        <v>0</v>
      </c>
      <c r="W94" s="34">
        <v>0</v>
      </c>
      <c r="X94" s="34">
        <v>0</v>
      </c>
      <c r="Y94" s="33" t="s">
        <v>43</v>
      </c>
      <c r="Z94" s="34">
        <v>0</v>
      </c>
      <c r="AA94" s="34">
        <f t="shared" si="1"/>
        <v>1</v>
      </c>
      <c r="AB94" s="34">
        <v>0</v>
      </c>
      <c r="AC94" s="43"/>
    </row>
    <row r="95" spans="1:29" ht="32.25" customHeight="1">
      <c r="B95" s="148">
        <v>92</v>
      </c>
      <c r="C95" s="26">
        <f>VLOOKUP(D95,'[1]Codes &amp; Descr. SFICS25'!B:C,2,FALSE)</f>
        <v>26</v>
      </c>
      <c r="D95" s="26" t="s">
        <v>633</v>
      </c>
      <c r="E95" s="26">
        <f>+VLOOKUP(F95,'[1]Codes &amp; Descr. SFICS25'!D:E,2,FALSE)</f>
        <v>2603</v>
      </c>
      <c r="F95" s="27" t="s">
        <v>724</v>
      </c>
      <c r="G95" s="27">
        <f>VLOOKUP(H95,'[1]Codes &amp; Descr. SFICS25'!F:H,2,FALSE)</f>
        <v>260301</v>
      </c>
      <c r="H95" s="26" t="s">
        <v>725</v>
      </c>
      <c r="I95" s="26" t="s">
        <v>726</v>
      </c>
      <c r="J95" s="26" t="s">
        <v>727</v>
      </c>
      <c r="K95" s="27" t="s">
        <v>728</v>
      </c>
      <c r="L95" s="28" t="s">
        <v>728</v>
      </c>
      <c r="M95" s="39" t="s">
        <v>29</v>
      </c>
      <c r="N95" s="30" t="s">
        <v>729</v>
      </c>
      <c r="O95" s="30" t="s">
        <v>730</v>
      </c>
      <c r="P95" s="31" t="s">
        <v>40</v>
      </c>
      <c r="Q95" s="31" t="s">
        <v>731</v>
      </c>
      <c r="R95" s="30" t="s">
        <v>40</v>
      </c>
      <c r="S95" s="30" t="s">
        <v>40</v>
      </c>
      <c r="T95" s="32" t="s">
        <v>641</v>
      </c>
      <c r="U95" s="33" t="s">
        <v>43</v>
      </c>
      <c r="V95" s="33" t="s">
        <v>43</v>
      </c>
      <c r="W95" s="34">
        <v>0</v>
      </c>
      <c r="X95" s="34">
        <v>0</v>
      </c>
      <c r="Y95" s="34">
        <v>0</v>
      </c>
      <c r="Z95" s="34">
        <v>0</v>
      </c>
      <c r="AA95" s="34">
        <f t="shared" si="1"/>
        <v>0</v>
      </c>
      <c r="AB95" s="34">
        <v>0</v>
      </c>
      <c r="AC95" s="43"/>
    </row>
    <row r="96" spans="1:29" ht="32.25" customHeight="1">
      <c r="B96" s="148">
        <v>93</v>
      </c>
      <c r="C96" s="26">
        <f>VLOOKUP(D96,'[1]Codes &amp; Descr. SFICS25'!B:C,2,FALSE)</f>
        <v>26</v>
      </c>
      <c r="D96" s="26" t="s">
        <v>633</v>
      </c>
      <c r="E96" s="26">
        <f>+VLOOKUP(F96,'[1]Codes &amp; Descr. SFICS25'!D:E,2,FALSE)</f>
        <v>2603</v>
      </c>
      <c r="F96" s="27" t="s">
        <v>724</v>
      </c>
      <c r="G96" s="27">
        <f>VLOOKUP(H96,'[1]Codes &amp; Descr. SFICS25'!F:H,2,FALSE)</f>
        <v>260302</v>
      </c>
      <c r="H96" s="26" t="s">
        <v>732</v>
      </c>
      <c r="I96" s="26" t="s">
        <v>733</v>
      </c>
      <c r="J96" s="26" t="s">
        <v>734</v>
      </c>
      <c r="K96" s="27" t="s">
        <v>735</v>
      </c>
      <c r="L96" s="28" t="s">
        <v>735</v>
      </c>
      <c r="M96" s="39" t="s">
        <v>29</v>
      </c>
      <c r="N96" s="30" t="s">
        <v>736</v>
      </c>
      <c r="O96" s="30" t="s">
        <v>737</v>
      </c>
      <c r="P96" s="31" t="s">
        <v>738</v>
      </c>
      <c r="Q96" s="31" t="s">
        <v>739</v>
      </c>
      <c r="R96" s="30" t="s">
        <v>40</v>
      </c>
      <c r="S96" s="30" t="s">
        <v>40</v>
      </c>
      <c r="T96" s="32" t="s">
        <v>641</v>
      </c>
      <c r="U96" s="33" t="s">
        <v>43</v>
      </c>
      <c r="V96" s="33" t="s">
        <v>43</v>
      </c>
      <c r="W96" s="34">
        <v>0</v>
      </c>
      <c r="X96" s="34">
        <v>0</v>
      </c>
      <c r="Y96" s="34">
        <v>0</v>
      </c>
      <c r="Z96" s="34">
        <v>0</v>
      </c>
      <c r="AA96" s="34">
        <f t="shared" si="1"/>
        <v>1</v>
      </c>
      <c r="AB96" s="34">
        <v>0</v>
      </c>
      <c r="AC96" s="43"/>
    </row>
    <row r="97" spans="1:29" ht="32.25" customHeight="1">
      <c r="B97" s="148">
        <v>94</v>
      </c>
      <c r="C97" s="26">
        <f>VLOOKUP(D97,'[1]Codes &amp; Descr. SFICS25'!B:C,2,FALSE)</f>
        <v>26</v>
      </c>
      <c r="D97" s="26" t="s">
        <v>633</v>
      </c>
      <c r="E97" s="26">
        <f>+VLOOKUP(F97,'[1]Codes &amp; Descr. SFICS25'!D:E,2,FALSE)</f>
        <v>2603</v>
      </c>
      <c r="F97" s="27" t="s">
        <v>724</v>
      </c>
      <c r="G97" s="27">
        <f>VLOOKUP(H97,'[1]Codes &amp; Descr. SFICS25'!F:H,2,FALSE)</f>
        <v>260303</v>
      </c>
      <c r="H97" s="26" t="s">
        <v>740</v>
      </c>
      <c r="I97" s="26" t="s">
        <v>741</v>
      </c>
      <c r="J97" s="26" t="s">
        <v>742</v>
      </c>
      <c r="K97" s="27" t="s">
        <v>743</v>
      </c>
      <c r="L97" s="28" t="s">
        <v>743</v>
      </c>
      <c r="M97" s="39" t="s">
        <v>29</v>
      </c>
      <c r="N97" s="30" t="s">
        <v>744</v>
      </c>
      <c r="O97" s="30" t="s">
        <v>745</v>
      </c>
      <c r="P97" s="31" t="s">
        <v>746</v>
      </c>
      <c r="Q97" s="31" t="s">
        <v>747</v>
      </c>
      <c r="R97" s="30" t="s">
        <v>40</v>
      </c>
      <c r="S97" s="30" t="s">
        <v>40</v>
      </c>
      <c r="T97" s="32" t="s">
        <v>641</v>
      </c>
      <c r="U97" s="33" t="s">
        <v>43</v>
      </c>
      <c r="V97" s="33" t="s">
        <v>43</v>
      </c>
      <c r="W97" s="34">
        <v>0</v>
      </c>
      <c r="X97" s="34">
        <v>0</v>
      </c>
      <c r="Y97" s="34">
        <v>0</v>
      </c>
      <c r="Z97" s="34">
        <v>0</v>
      </c>
      <c r="AA97" s="34">
        <f t="shared" si="1"/>
        <v>1</v>
      </c>
      <c r="AB97" s="34">
        <v>0</v>
      </c>
      <c r="AC97" s="43"/>
    </row>
    <row r="98" spans="1:29" ht="32.25" customHeight="1">
      <c r="B98" s="148">
        <v>95</v>
      </c>
      <c r="C98" s="26">
        <f>VLOOKUP(D98,'[1]Codes &amp; Descr. SFICS25'!B:C,2,FALSE)</f>
        <v>26</v>
      </c>
      <c r="D98" s="26" t="s">
        <v>633</v>
      </c>
      <c r="E98" s="26">
        <f>+VLOOKUP(F98,'[1]Codes &amp; Descr. SFICS25'!D:E,2,FALSE)</f>
        <v>2603</v>
      </c>
      <c r="F98" s="27" t="s">
        <v>724</v>
      </c>
      <c r="G98" s="27">
        <f>VLOOKUP(H98,'[1]Codes &amp; Descr. SFICS25'!F:H,2,FALSE)</f>
        <v>260304</v>
      </c>
      <c r="H98" s="26" t="s">
        <v>748</v>
      </c>
      <c r="I98" s="26" t="s">
        <v>749</v>
      </c>
      <c r="J98" s="26" t="s">
        <v>750</v>
      </c>
      <c r="K98" s="27" t="s">
        <v>751</v>
      </c>
      <c r="L98" s="28" t="s">
        <v>751</v>
      </c>
      <c r="M98" s="39" t="s">
        <v>29</v>
      </c>
      <c r="N98" s="30" t="s">
        <v>752</v>
      </c>
      <c r="O98" s="30" t="s">
        <v>753</v>
      </c>
      <c r="P98" s="31" t="s">
        <v>754</v>
      </c>
      <c r="Q98" s="31" t="s">
        <v>755</v>
      </c>
      <c r="R98" s="30" t="s">
        <v>40</v>
      </c>
      <c r="S98" s="30" t="s">
        <v>40</v>
      </c>
      <c r="T98" s="32" t="s">
        <v>641</v>
      </c>
      <c r="U98" s="33" t="s">
        <v>43</v>
      </c>
      <c r="V98" s="33" t="s">
        <v>43</v>
      </c>
      <c r="W98" s="34">
        <v>0</v>
      </c>
      <c r="X98" s="34">
        <v>0</v>
      </c>
      <c r="Y98" s="34">
        <v>0</v>
      </c>
      <c r="Z98" s="34">
        <v>0</v>
      </c>
      <c r="AA98" s="34">
        <f t="shared" si="1"/>
        <v>1</v>
      </c>
      <c r="AB98" s="34">
        <v>0</v>
      </c>
      <c r="AC98" s="43"/>
    </row>
    <row r="99" spans="1:29" ht="32.25" customHeight="1">
      <c r="B99" s="148">
        <v>96</v>
      </c>
      <c r="C99" s="26">
        <f>VLOOKUP(D99,'[1]Codes &amp; Descr. SFICS25'!B:C,2,FALSE)</f>
        <v>26</v>
      </c>
      <c r="D99" s="26" t="s">
        <v>633</v>
      </c>
      <c r="E99" s="26">
        <f>+VLOOKUP(F99,'[1]Codes &amp; Descr. SFICS25'!D:E,2,FALSE)</f>
        <v>2603</v>
      </c>
      <c r="F99" s="27" t="s">
        <v>724</v>
      </c>
      <c r="G99" s="27">
        <f>VLOOKUP(H99,'[1]Codes &amp; Descr. SFICS25'!F:H,2,FALSE)</f>
        <v>260305</v>
      </c>
      <c r="H99" s="26" t="s">
        <v>756</v>
      </c>
      <c r="I99" s="26" t="s">
        <v>757</v>
      </c>
      <c r="J99" s="26" t="s">
        <v>758</v>
      </c>
      <c r="K99" s="27" t="s">
        <v>759</v>
      </c>
      <c r="L99" s="28" t="s">
        <v>759</v>
      </c>
      <c r="M99" s="39" t="s">
        <v>29</v>
      </c>
      <c r="N99" s="30" t="s">
        <v>760</v>
      </c>
      <c r="O99" s="30" t="s">
        <v>761</v>
      </c>
      <c r="P99" s="31" t="s">
        <v>762</v>
      </c>
      <c r="Q99" s="31" t="s">
        <v>763</v>
      </c>
      <c r="R99" s="30" t="s">
        <v>40</v>
      </c>
      <c r="S99" s="30" t="s">
        <v>40</v>
      </c>
      <c r="T99" s="32" t="s">
        <v>641</v>
      </c>
      <c r="U99" s="34">
        <v>0</v>
      </c>
      <c r="V99" s="34">
        <v>0</v>
      </c>
      <c r="W99" s="34">
        <v>0</v>
      </c>
      <c r="X99" s="33" t="s">
        <v>43</v>
      </c>
      <c r="Y99" s="34">
        <v>0</v>
      </c>
      <c r="Z99" s="34">
        <v>0</v>
      </c>
      <c r="AA99" s="34">
        <f t="shared" si="1"/>
        <v>1</v>
      </c>
      <c r="AB99" s="34">
        <v>0</v>
      </c>
      <c r="AC99" s="43"/>
    </row>
    <row r="100" spans="1:29" ht="32.25" customHeight="1">
      <c r="B100" s="148">
        <v>97</v>
      </c>
      <c r="C100" s="26">
        <f>VLOOKUP(D100,'[1]Codes &amp; Descr. SFICS25'!B:C,2,FALSE)</f>
        <v>26</v>
      </c>
      <c r="D100" s="26" t="s">
        <v>633</v>
      </c>
      <c r="E100" s="26">
        <f>+VLOOKUP(F100,'[1]Codes &amp; Descr. SFICS25'!D:E,2,FALSE)</f>
        <v>2601</v>
      </c>
      <c r="F100" s="27" t="s">
        <v>764</v>
      </c>
      <c r="G100" s="27">
        <f>VLOOKUP(H100,'[1]Codes &amp; Descr. SFICS25'!F:H,2,FALSE)</f>
        <v>260101</v>
      </c>
      <c r="H100" s="26" t="s">
        <v>765</v>
      </c>
      <c r="I100" s="26" t="s">
        <v>766</v>
      </c>
      <c r="J100" s="26" t="s">
        <v>766</v>
      </c>
      <c r="K100" s="27" t="s">
        <v>765</v>
      </c>
      <c r="L100" s="28" t="s">
        <v>767</v>
      </c>
      <c r="M100" s="39" t="s">
        <v>29</v>
      </c>
      <c r="N100" s="30" t="s">
        <v>768</v>
      </c>
      <c r="O100" s="30" t="s">
        <v>769</v>
      </c>
      <c r="P100" s="31" t="s">
        <v>770</v>
      </c>
      <c r="Q100" s="31" t="s">
        <v>771</v>
      </c>
      <c r="R100" s="30" t="s">
        <v>40</v>
      </c>
      <c r="S100" s="30" t="s">
        <v>40</v>
      </c>
      <c r="T100" s="32" t="s">
        <v>641</v>
      </c>
      <c r="U100" s="33" t="s">
        <v>43</v>
      </c>
      <c r="V100" s="33" t="s">
        <v>43</v>
      </c>
      <c r="W100" s="34">
        <v>0</v>
      </c>
      <c r="X100" s="34">
        <v>0</v>
      </c>
      <c r="Y100" s="34">
        <v>0</v>
      </c>
      <c r="Z100" s="34">
        <v>0</v>
      </c>
      <c r="AA100" s="34">
        <f t="shared" si="1"/>
        <v>1</v>
      </c>
      <c r="AB100" s="34">
        <v>0</v>
      </c>
      <c r="AC100" s="43"/>
    </row>
    <row r="101" spans="1:29" ht="32.25" customHeight="1">
      <c r="A101" s="35"/>
      <c r="B101" s="148">
        <v>98</v>
      </c>
      <c r="C101" s="26">
        <f>VLOOKUP(D101,'[1]Codes &amp; Descr. SFICS25'!B:C,2,FALSE)</f>
        <v>26</v>
      </c>
      <c r="D101" s="26" t="s">
        <v>633</v>
      </c>
      <c r="E101" s="26">
        <f>+VLOOKUP(F101,'[1]Codes &amp; Descr. SFICS25'!D:E,2,FALSE)</f>
        <v>2601</v>
      </c>
      <c r="F101" s="27" t="s">
        <v>764</v>
      </c>
      <c r="G101" s="27">
        <f>VLOOKUP(H101,'[1]Codes &amp; Descr. SFICS25'!F:H,2,FALSE)</f>
        <v>260102</v>
      </c>
      <c r="H101" s="26" t="s">
        <v>772</v>
      </c>
      <c r="I101" s="26" t="s">
        <v>773</v>
      </c>
      <c r="J101" s="26" t="s">
        <v>773</v>
      </c>
      <c r="K101" s="27" t="s">
        <v>772</v>
      </c>
      <c r="L101" s="28" t="s">
        <v>774</v>
      </c>
      <c r="M101" s="39" t="s">
        <v>29</v>
      </c>
      <c r="N101" s="30" t="s">
        <v>775</v>
      </c>
      <c r="O101" s="30" t="s">
        <v>776</v>
      </c>
      <c r="P101" s="197" t="s">
        <v>777</v>
      </c>
      <c r="Q101" s="197" t="s">
        <v>778</v>
      </c>
      <c r="R101" s="30" t="s">
        <v>40</v>
      </c>
      <c r="S101" s="30" t="s">
        <v>40</v>
      </c>
      <c r="T101" s="32" t="s">
        <v>641</v>
      </c>
      <c r="U101" s="34">
        <v>0</v>
      </c>
      <c r="V101" s="33" t="s">
        <v>185</v>
      </c>
      <c r="W101" s="34">
        <v>0</v>
      </c>
      <c r="X101" s="34">
        <v>0</v>
      </c>
      <c r="Y101" s="34">
        <v>0</v>
      </c>
      <c r="Z101" s="34">
        <v>0</v>
      </c>
      <c r="AA101" s="34">
        <f t="shared" si="1"/>
        <v>1</v>
      </c>
      <c r="AB101" s="34">
        <v>0</v>
      </c>
      <c r="AC101" s="43"/>
    </row>
    <row r="102" spans="1:29" ht="32.25" customHeight="1">
      <c r="B102" s="148">
        <v>99</v>
      </c>
      <c r="C102" s="26">
        <f>VLOOKUP(D102,'[1]Codes &amp; Descr. SFICS25'!B:C,2,FALSE)</f>
        <v>26</v>
      </c>
      <c r="D102" s="26" t="s">
        <v>633</v>
      </c>
      <c r="E102" s="26">
        <f>+VLOOKUP(F102,'[1]Codes &amp; Descr. SFICS25'!D:E,2,FALSE)</f>
        <v>2601</v>
      </c>
      <c r="F102" s="27" t="s">
        <v>764</v>
      </c>
      <c r="G102" s="27">
        <f>VLOOKUP(H102,'[1]Codes &amp; Descr. SFICS25'!F:H,2,FALSE)</f>
        <v>260103</v>
      </c>
      <c r="H102" s="26" t="s">
        <v>779</v>
      </c>
      <c r="I102" s="26" t="s">
        <v>780</v>
      </c>
      <c r="J102" s="26" t="s">
        <v>780</v>
      </c>
      <c r="K102" s="27" t="s">
        <v>764</v>
      </c>
      <c r="L102" s="28" t="s">
        <v>764</v>
      </c>
      <c r="M102" s="39" t="s">
        <v>29</v>
      </c>
      <c r="N102" s="30" t="s">
        <v>781</v>
      </c>
      <c r="O102" s="30" t="s">
        <v>782</v>
      </c>
      <c r="P102" s="31" t="s">
        <v>659</v>
      </c>
      <c r="Q102" s="31" t="s">
        <v>783</v>
      </c>
      <c r="R102" s="30" t="s">
        <v>40</v>
      </c>
      <c r="S102" s="30" t="s">
        <v>40</v>
      </c>
      <c r="T102" s="32" t="s">
        <v>641</v>
      </c>
      <c r="U102" s="34">
        <v>0</v>
      </c>
      <c r="V102" s="34">
        <v>0</v>
      </c>
      <c r="W102" s="33" t="s">
        <v>43</v>
      </c>
      <c r="X102" s="34">
        <v>0</v>
      </c>
      <c r="Y102" s="34">
        <v>0</v>
      </c>
      <c r="Z102" s="34">
        <v>0</v>
      </c>
      <c r="AA102" s="34">
        <f t="shared" si="1"/>
        <v>1</v>
      </c>
      <c r="AB102" s="34">
        <v>0</v>
      </c>
      <c r="AC102" s="43"/>
    </row>
    <row r="103" spans="1:29" ht="32.25" customHeight="1">
      <c r="B103" s="148">
        <v>100</v>
      </c>
      <c r="C103" s="26">
        <f>VLOOKUP(D103,'[1]Codes &amp; Descr. SFICS25'!B:C,2,FALSE)</f>
        <v>26</v>
      </c>
      <c r="D103" s="26" t="s">
        <v>633</v>
      </c>
      <c r="E103" s="26">
        <f>+VLOOKUP(F103,'[1]Codes &amp; Descr. SFICS25'!D:E,2,FALSE)</f>
        <v>2601</v>
      </c>
      <c r="F103" s="27" t="s">
        <v>764</v>
      </c>
      <c r="G103" s="27">
        <f>VLOOKUP(H103,'[1]Codes &amp; Descr. SFICS25'!F:H,2,FALSE)</f>
        <v>260104</v>
      </c>
      <c r="H103" s="26" t="s">
        <v>784</v>
      </c>
      <c r="I103" s="26" t="s">
        <v>785</v>
      </c>
      <c r="J103" s="26" t="s">
        <v>785</v>
      </c>
      <c r="K103" s="27" t="s">
        <v>786</v>
      </c>
      <c r="L103" s="28" t="s">
        <v>281</v>
      </c>
      <c r="M103" s="39" t="s">
        <v>29</v>
      </c>
      <c r="N103" s="30" t="s">
        <v>787</v>
      </c>
      <c r="O103" s="30" t="s">
        <v>788</v>
      </c>
      <c r="P103" s="31" t="s">
        <v>789</v>
      </c>
      <c r="Q103" s="31" t="s">
        <v>40</v>
      </c>
      <c r="R103" s="30" t="s">
        <v>40</v>
      </c>
      <c r="S103" s="30" t="s">
        <v>40</v>
      </c>
      <c r="T103" s="32" t="s">
        <v>641</v>
      </c>
      <c r="U103" s="34">
        <v>0</v>
      </c>
      <c r="V103" s="34">
        <v>0</v>
      </c>
      <c r="W103" s="34">
        <v>0</v>
      </c>
      <c r="X103" s="34">
        <v>0</v>
      </c>
      <c r="Y103" s="34">
        <v>0</v>
      </c>
      <c r="Z103" s="34">
        <v>0</v>
      </c>
      <c r="AA103" s="34">
        <f t="shared" si="1"/>
        <v>1</v>
      </c>
      <c r="AB103" s="34">
        <v>0</v>
      </c>
      <c r="AC103" s="43"/>
    </row>
    <row r="104" spans="1:29" ht="32.25" customHeight="1">
      <c r="B104" s="148">
        <v>101</v>
      </c>
      <c r="C104" s="26">
        <f>VLOOKUP(D104,'[1]Codes &amp; Descr. SFICS25'!B:C,2,FALSE)</f>
        <v>26</v>
      </c>
      <c r="D104" s="26" t="s">
        <v>633</v>
      </c>
      <c r="E104" s="26">
        <f>+VLOOKUP(F104,'[1]Codes &amp; Descr. SFICS25'!D:E,2,FALSE)</f>
        <v>2605</v>
      </c>
      <c r="F104" s="27" t="s">
        <v>790</v>
      </c>
      <c r="G104" s="27">
        <f>VLOOKUP(H104,'[1]Codes &amp; Descr. SFICS25'!F:H,2,FALSE)</f>
        <v>260501</v>
      </c>
      <c r="H104" s="26" t="s">
        <v>791</v>
      </c>
      <c r="I104" s="26" t="s">
        <v>792</v>
      </c>
      <c r="J104" s="26" t="s">
        <v>793</v>
      </c>
      <c r="K104" s="27" t="s">
        <v>794</v>
      </c>
      <c r="L104" s="28" t="s">
        <v>794</v>
      </c>
      <c r="M104" s="39" t="s">
        <v>29</v>
      </c>
      <c r="N104" s="30" t="s">
        <v>795</v>
      </c>
      <c r="O104" s="30" t="s">
        <v>796</v>
      </c>
      <c r="P104" s="31" t="s">
        <v>40</v>
      </c>
      <c r="Q104" s="31" t="s">
        <v>797</v>
      </c>
      <c r="R104" s="30" t="s">
        <v>40</v>
      </c>
      <c r="S104" s="30" t="s">
        <v>40</v>
      </c>
      <c r="T104" s="32" t="s">
        <v>641</v>
      </c>
      <c r="U104" s="34">
        <v>0</v>
      </c>
      <c r="V104" s="34">
        <v>0</v>
      </c>
      <c r="W104" s="34">
        <v>0</v>
      </c>
      <c r="X104" s="34">
        <v>0</v>
      </c>
      <c r="Y104" s="33" t="s">
        <v>43</v>
      </c>
      <c r="Z104" s="34">
        <v>0</v>
      </c>
      <c r="AA104" s="34">
        <f t="shared" si="1"/>
        <v>0</v>
      </c>
      <c r="AB104" s="34">
        <v>0</v>
      </c>
      <c r="AC104" s="43"/>
    </row>
    <row r="105" spans="1:29" ht="32.25" customHeight="1">
      <c r="B105" s="148">
        <v>102</v>
      </c>
      <c r="C105" s="26">
        <f>VLOOKUP(D105,'[1]Codes &amp; Descr. SFICS25'!B:C,2,FALSE)</f>
        <v>26</v>
      </c>
      <c r="D105" s="26" t="s">
        <v>633</v>
      </c>
      <c r="E105" s="26">
        <f>+VLOOKUP(F105,'[1]Codes &amp; Descr. SFICS25'!D:E,2,FALSE)</f>
        <v>2605</v>
      </c>
      <c r="F105" s="27" t="s">
        <v>790</v>
      </c>
      <c r="G105" s="27">
        <f>VLOOKUP(H105,'[1]Codes &amp; Descr. SFICS25'!F:H,2,FALSE)</f>
        <v>260502</v>
      </c>
      <c r="H105" s="26" t="s">
        <v>798</v>
      </c>
      <c r="I105" s="26" t="s">
        <v>799</v>
      </c>
      <c r="J105" s="26" t="s">
        <v>800</v>
      </c>
      <c r="K105" s="27" t="s">
        <v>801</v>
      </c>
      <c r="L105" s="28" t="s">
        <v>801</v>
      </c>
      <c r="M105" s="39" t="s">
        <v>29</v>
      </c>
      <c r="N105" s="30" t="s">
        <v>802</v>
      </c>
      <c r="O105" s="30" t="s">
        <v>803</v>
      </c>
      <c r="P105" s="31" t="s">
        <v>40</v>
      </c>
      <c r="Q105" s="31" t="s">
        <v>804</v>
      </c>
      <c r="R105" s="30" t="s">
        <v>40</v>
      </c>
      <c r="S105" s="30" t="s">
        <v>40</v>
      </c>
      <c r="T105" s="32" t="s">
        <v>641</v>
      </c>
      <c r="U105" s="34">
        <v>0</v>
      </c>
      <c r="V105" s="34">
        <v>0</v>
      </c>
      <c r="W105" s="34">
        <v>0</v>
      </c>
      <c r="X105" s="34">
        <v>0</v>
      </c>
      <c r="Y105" s="33" t="s">
        <v>43</v>
      </c>
      <c r="Z105" s="34">
        <v>0</v>
      </c>
      <c r="AA105" s="34">
        <f t="shared" si="1"/>
        <v>0</v>
      </c>
      <c r="AB105" s="34">
        <v>0</v>
      </c>
      <c r="AC105" s="43"/>
    </row>
    <row r="106" spans="1:29" ht="32.25" customHeight="1">
      <c r="B106" s="148">
        <v>103</v>
      </c>
      <c r="C106" s="26">
        <f>VLOOKUP(D106,'[1]Codes &amp; Descr. SFICS25'!B:C,2,FALSE)</f>
        <v>26</v>
      </c>
      <c r="D106" s="26" t="s">
        <v>633</v>
      </c>
      <c r="E106" s="26">
        <f>+VLOOKUP(F106,'[1]Codes &amp; Descr. SFICS25'!D:E,2,FALSE)</f>
        <v>2606</v>
      </c>
      <c r="F106" s="27" t="s">
        <v>805</v>
      </c>
      <c r="G106" s="27">
        <f>VLOOKUP(H106,'[1]Codes &amp; Descr. SFICS25'!F:H,2,FALSE)</f>
        <v>260601</v>
      </c>
      <c r="H106" s="26" t="s">
        <v>806</v>
      </c>
      <c r="I106" s="26" t="s">
        <v>807</v>
      </c>
      <c r="J106" s="26" t="s">
        <v>807</v>
      </c>
      <c r="K106" s="27" t="s">
        <v>806</v>
      </c>
      <c r="L106" s="28" t="s">
        <v>806</v>
      </c>
      <c r="M106" s="39" t="s">
        <v>29</v>
      </c>
      <c r="N106" s="30" t="s">
        <v>808</v>
      </c>
      <c r="O106" s="30" t="s">
        <v>809</v>
      </c>
      <c r="P106" s="31" t="s">
        <v>810</v>
      </c>
      <c r="Q106" s="31" t="s">
        <v>811</v>
      </c>
      <c r="R106" s="30" t="s">
        <v>40</v>
      </c>
      <c r="S106" s="30" t="s">
        <v>40</v>
      </c>
      <c r="T106" s="32" t="s">
        <v>641</v>
      </c>
      <c r="U106" s="33" t="s">
        <v>185</v>
      </c>
      <c r="V106" s="33" t="s">
        <v>43</v>
      </c>
      <c r="W106" s="34">
        <v>0</v>
      </c>
      <c r="X106" s="34">
        <v>0</v>
      </c>
      <c r="Y106" s="34">
        <v>0</v>
      </c>
      <c r="Z106" s="34">
        <v>0</v>
      </c>
      <c r="AA106" s="34">
        <f t="shared" si="1"/>
        <v>1</v>
      </c>
      <c r="AB106" s="34">
        <v>0</v>
      </c>
      <c r="AC106" s="43"/>
    </row>
    <row r="107" spans="1:29" ht="32.25" customHeight="1">
      <c r="B107" s="148">
        <v>104</v>
      </c>
      <c r="C107" s="26">
        <f>VLOOKUP(D107,'[1]Codes &amp; Descr. SFICS25'!B:C,2,FALSE)</f>
        <v>26</v>
      </c>
      <c r="D107" s="26" t="s">
        <v>633</v>
      </c>
      <c r="E107" s="26">
        <f>+VLOOKUP(F107,'[1]Codes &amp; Descr. SFICS25'!D:E,2,FALSE)</f>
        <v>2606</v>
      </c>
      <c r="F107" s="27" t="s">
        <v>805</v>
      </c>
      <c r="G107" s="27">
        <f>VLOOKUP(H107,'[1]Codes &amp; Descr. SFICS25'!F:H,2,FALSE)</f>
        <v>260602</v>
      </c>
      <c r="H107" s="26" t="s">
        <v>812</v>
      </c>
      <c r="I107" s="26" t="s">
        <v>813</v>
      </c>
      <c r="J107" s="26" t="s">
        <v>814</v>
      </c>
      <c r="K107" s="27" t="s">
        <v>815</v>
      </c>
      <c r="L107" s="28" t="s">
        <v>815</v>
      </c>
      <c r="M107" s="39" t="s">
        <v>29</v>
      </c>
      <c r="N107" s="30" t="s">
        <v>816</v>
      </c>
      <c r="O107" s="30" t="s">
        <v>817</v>
      </c>
      <c r="P107" s="31" t="s">
        <v>40</v>
      </c>
      <c r="Q107" s="31" t="s">
        <v>818</v>
      </c>
      <c r="R107" s="30" t="s">
        <v>40</v>
      </c>
      <c r="S107" s="30" t="s">
        <v>40</v>
      </c>
      <c r="T107" s="32" t="s">
        <v>641</v>
      </c>
      <c r="U107" s="33" t="s">
        <v>43</v>
      </c>
      <c r="V107" s="33" t="s">
        <v>43</v>
      </c>
      <c r="W107" s="34">
        <v>0</v>
      </c>
      <c r="X107" s="34">
        <v>0</v>
      </c>
      <c r="Y107" s="34">
        <v>0</v>
      </c>
      <c r="Z107" s="34">
        <v>0</v>
      </c>
      <c r="AA107" s="34">
        <f t="shared" si="1"/>
        <v>0</v>
      </c>
      <c r="AB107" s="34">
        <v>0</v>
      </c>
      <c r="AC107" s="43"/>
    </row>
    <row r="108" spans="1:29" ht="32.25" customHeight="1">
      <c r="B108" s="148">
        <v>105</v>
      </c>
      <c r="C108" s="26">
        <f>VLOOKUP(D108,'[1]Codes &amp; Descr. SFICS25'!B:C,2,FALSE)</f>
        <v>26</v>
      </c>
      <c r="D108" s="26" t="s">
        <v>633</v>
      </c>
      <c r="E108" s="26">
        <f>+VLOOKUP(F108,'[1]Codes &amp; Descr. SFICS25'!D:E,2,FALSE)</f>
        <v>2604</v>
      </c>
      <c r="F108" s="27" t="s">
        <v>668</v>
      </c>
      <c r="G108" s="27">
        <f>VLOOKUP(H108,'[1]Codes &amp; Descr. SFICS25'!F:H,2,FALSE)</f>
        <v>260408</v>
      </c>
      <c r="H108" s="46" t="s">
        <v>819</v>
      </c>
      <c r="I108" s="46" t="s">
        <v>820</v>
      </c>
      <c r="J108" s="46" t="s">
        <v>820</v>
      </c>
      <c r="K108" s="27" t="s">
        <v>819</v>
      </c>
      <c r="L108" s="28"/>
      <c r="M108" s="39" t="s">
        <v>29</v>
      </c>
      <c r="N108" s="30" t="s">
        <v>821</v>
      </c>
      <c r="O108" s="30" t="s">
        <v>822</v>
      </c>
      <c r="P108" s="31" t="s">
        <v>823</v>
      </c>
      <c r="Q108" s="31" t="s">
        <v>40</v>
      </c>
      <c r="R108" s="30" t="s">
        <v>40</v>
      </c>
      <c r="S108" s="30" t="s">
        <v>40</v>
      </c>
      <c r="T108" s="32" t="s">
        <v>641</v>
      </c>
      <c r="U108" s="33">
        <v>0</v>
      </c>
      <c r="V108" s="33">
        <v>0</v>
      </c>
      <c r="W108" s="33">
        <v>0</v>
      </c>
      <c r="X108" s="33">
        <v>0</v>
      </c>
      <c r="Y108" s="33">
        <v>0</v>
      </c>
      <c r="Z108" s="33">
        <v>0</v>
      </c>
      <c r="AA108" s="34">
        <f t="shared" si="1"/>
        <v>1</v>
      </c>
      <c r="AB108" s="34">
        <v>0</v>
      </c>
      <c r="AC108" s="43"/>
    </row>
    <row r="109" spans="1:29" ht="32.25" customHeight="1">
      <c r="A109" s="35"/>
      <c r="B109" s="148">
        <v>106</v>
      </c>
      <c r="C109" s="26">
        <f>VLOOKUP(D109,'[1]Codes &amp; Descr. SFICS25'!B:C,2,FALSE)</f>
        <v>27</v>
      </c>
      <c r="D109" s="26" t="s">
        <v>824</v>
      </c>
      <c r="E109" s="26">
        <f>+VLOOKUP(F109,'[1]Codes &amp; Descr. SFICS25'!D:E,2,FALSE)</f>
        <v>2703</v>
      </c>
      <c r="F109" s="27" t="s">
        <v>825</v>
      </c>
      <c r="G109" s="27">
        <f>VLOOKUP(H109,'[1]Codes &amp; Descr. SFICS25'!F:H,2,FALSE)</f>
        <v>270301</v>
      </c>
      <c r="H109" s="26" t="s">
        <v>826</v>
      </c>
      <c r="I109" s="26" t="s">
        <v>827</v>
      </c>
      <c r="J109" s="26" t="s">
        <v>827</v>
      </c>
      <c r="K109" s="27" t="s">
        <v>826</v>
      </c>
      <c r="L109" s="28" t="s">
        <v>281</v>
      </c>
      <c r="M109" s="39" t="s">
        <v>29</v>
      </c>
      <c r="N109" s="30" t="s">
        <v>828</v>
      </c>
      <c r="O109" s="30" t="s">
        <v>829</v>
      </c>
      <c r="P109" s="193" t="s">
        <v>830</v>
      </c>
      <c r="Q109" s="31" t="s">
        <v>40</v>
      </c>
      <c r="R109" s="30" t="s">
        <v>40</v>
      </c>
      <c r="S109" s="30" t="s">
        <v>40</v>
      </c>
      <c r="T109" s="32" t="s">
        <v>831</v>
      </c>
      <c r="U109" s="33">
        <v>0</v>
      </c>
      <c r="V109" s="34">
        <v>0</v>
      </c>
      <c r="W109" s="34">
        <v>0</v>
      </c>
      <c r="X109" s="34">
        <v>0</v>
      </c>
      <c r="Y109" s="34">
        <v>0</v>
      </c>
      <c r="Z109" s="34">
        <v>0</v>
      </c>
      <c r="AA109" s="34">
        <f t="shared" si="1"/>
        <v>1</v>
      </c>
      <c r="AB109" s="34">
        <v>0</v>
      </c>
      <c r="AC109" s="43"/>
    </row>
    <row r="110" spans="1:29" ht="32.25" customHeight="1">
      <c r="B110" s="148">
        <v>107</v>
      </c>
      <c r="C110" s="26">
        <f>VLOOKUP(D110,'[1]Codes &amp; Descr. SFICS25'!B:C,2,FALSE)</f>
        <v>27</v>
      </c>
      <c r="D110" s="26" t="s">
        <v>824</v>
      </c>
      <c r="E110" s="26">
        <f>+VLOOKUP(F110,'[1]Codes &amp; Descr. SFICS25'!D:E,2,FALSE)</f>
        <v>2703</v>
      </c>
      <c r="F110" s="27" t="s">
        <v>825</v>
      </c>
      <c r="G110" s="27">
        <f>VLOOKUP(H110,'[1]Codes &amp; Descr. SFICS25'!F:H,2,FALSE)</f>
        <v>270302</v>
      </c>
      <c r="H110" s="26" t="s">
        <v>832</v>
      </c>
      <c r="I110" s="26" t="s">
        <v>833</v>
      </c>
      <c r="J110" s="26" t="s">
        <v>833</v>
      </c>
      <c r="K110" s="27" t="s">
        <v>834</v>
      </c>
      <c r="L110" s="28" t="s">
        <v>281</v>
      </c>
      <c r="M110" s="39" t="s">
        <v>29</v>
      </c>
      <c r="N110" s="30" t="s">
        <v>835</v>
      </c>
      <c r="O110" s="30" t="s">
        <v>836</v>
      </c>
      <c r="P110" s="31" t="s">
        <v>837</v>
      </c>
      <c r="Q110" s="31" t="s">
        <v>40</v>
      </c>
      <c r="R110" s="30" t="s">
        <v>40</v>
      </c>
      <c r="S110" s="30" t="s">
        <v>40</v>
      </c>
      <c r="T110" s="32" t="s">
        <v>831</v>
      </c>
      <c r="U110" s="33">
        <v>0</v>
      </c>
      <c r="V110" s="34">
        <v>0</v>
      </c>
      <c r="W110" s="34">
        <v>0</v>
      </c>
      <c r="X110" s="34">
        <v>0</v>
      </c>
      <c r="Y110" s="34">
        <v>0</v>
      </c>
      <c r="Z110" s="34">
        <v>0</v>
      </c>
      <c r="AA110" s="34">
        <f t="shared" si="1"/>
        <v>1</v>
      </c>
      <c r="AB110" s="34">
        <v>0</v>
      </c>
      <c r="AC110" s="43"/>
    </row>
    <row r="111" spans="1:29" ht="32.25" customHeight="1">
      <c r="B111" s="148">
        <v>108</v>
      </c>
      <c r="C111" s="26">
        <f>VLOOKUP(D111,'[1]Codes &amp; Descr. SFICS25'!B:C,2,FALSE)</f>
        <v>27</v>
      </c>
      <c r="D111" s="26" t="s">
        <v>824</v>
      </c>
      <c r="E111" s="26">
        <f>+VLOOKUP(F111,'[1]Codes &amp; Descr. SFICS25'!D:E,2,FALSE)</f>
        <v>2703</v>
      </c>
      <c r="F111" s="27" t="s">
        <v>825</v>
      </c>
      <c r="G111" s="27">
        <f>VLOOKUP(H111,'[1]Codes &amp; Descr. SFICS25'!F:H,2,FALSE)</f>
        <v>270303</v>
      </c>
      <c r="H111" s="26" t="s">
        <v>838</v>
      </c>
      <c r="I111" s="26" t="s">
        <v>839</v>
      </c>
      <c r="J111" s="26" t="s">
        <v>840</v>
      </c>
      <c r="K111" s="27" t="s">
        <v>841</v>
      </c>
      <c r="L111" s="28" t="s">
        <v>281</v>
      </c>
      <c r="M111" s="39" t="s">
        <v>29</v>
      </c>
      <c r="N111" s="30" t="s">
        <v>842</v>
      </c>
      <c r="O111" s="30" t="s">
        <v>843</v>
      </c>
      <c r="P111" s="31" t="s">
        <v>844</v>
      </c>
      <c r="Q111" s="31" t="s">
        <v>40</v>
      </c>
      <c r="R111" s="30" t="s">
        <v>40</v>
      </c>
      <c r="S111" s="30" t="s">
        <v>40</v>
      </c>
      <c r="T111" s="32" t="s">
        <v>831</v>
      </c>
      <c r="U111" s="33">
        <v>0</v>
      </c>
      <c r="V111" s="34">
        <v>0</v>
      </c>
      <c r="W111" s="34">
        <v>0</v>
      </c>
      <c r="X111" s="34">
        <v>0</v>
      </c>
      <c r="Y111" s="34">
        <v>0</v>
      </c>
      <c r="Z111" s="34">
        <v>0</v>
      </c>
      <c r="AA111" s="34">
        <f t="shared" si="1"/>
        <v>1</v>
      </c>
      <c r="AB111" s="34">
        <v>0</v>
      </c>
      <c r="AC111" s="43"/>
    </row>
    <row r="112" spans="1:29" ht="32.25" customHeight="1">
      <c r="B112" s="148">
        <v>109</v>
      </c>
      <c r="C112" s="26">
        <f>VLOOKUP(D112,'[1]Codes &amp; Descr. SFICS25'!B:C,2,FALSE)</f>
        <v>27</v>
      </c>
      <c r="D112" s="26" t="s">
        <v>824</v>
      </c>
      <c r="E112" s="26">
        <f>+VLOOKUP(F112,'[1]Codes &amp; Descr. SFICS25'!D:E,2,FALSE)</f>
        <v>2703</v>
      </c>
      <c r="F112" s="27" t="s">
        <v>825</v>
      </c>
      <c r="G112" s="27">
        <f>VLOOKUP(H112,'[1]Codes &amp; Descr. SFICS25'!F:H,2,FALSE)</f>
        <v>270304</v>
      </c>
      <c r="H112" s="26" t="s">
        <v>845</v>
      </c>
      <c r="I112" s="26" t="s">
        <v>846</v>
      </c>
      <c r="J112" s="26" t="s">
        <v>847</v>
      </c>
      <c r="K112" s="27" t="s">
        <v>848</v>
      </c>
      <c r="L112" s="28" t="s">
        <v>281</v>
      </c>
      <c r="M112" s="39" t="s">
        <v>29</v>
      </c>
      <c r="N112" s="30" t="s">
        <v>849</v>
      </c>
      <c r="O112" s="30" t="s">
        <v>850</v>
      </c>
      <c r="P112" s="31" t="s">
        <v>851</v>
      </c>
      <c r="Q112" s="31" t="s">
        <v>40</v>
      </c>
      <c r="R112" s="30" t="s">
        <v>40</v>
      </c>
      <c r="S112" s="30" t="s">
        <v>40</v>
      </c>
      <c r="T112" s="32" t="s">
        <v>831</v>
      </c>
      <c r="U112" s="33">
        <v>0</v>
      </c>
      <c r="V112" s="34">
        <v>0</v>
      </c>
      <c r="W112" s="34">
        <v>0</v>
      </c>
      <c r="X112" s="34">
        <v>0</v>
      </c>
      <c r="Y112" s="34">
        <v>0</v>
      </c>
      <c r="Z112" s="34">
        <v>0</v>
      </c>
      <c r="AA112" s="34">
        <f t="shared" si="1"/>
        <v>1</v>
      </c>
      <c r="AB112" s="34">
        <v>0</v>
      </c>
      <c r="AC112" s="43"/>
    </row>
    <row r="113" spans="1:29" ht="32.25" customHeight="1">
      <c r="A113" s="35"/>
      <c r="B113" s="148">
        <v>110</v>
      </c>
      <c r="C113" s="26">
        <f>VLOOKUP(D113,'[1]Codes &amp; Descr. SFICS25'!B:C,2,FALSE)</f>
        <v>27</v>
      </c>
      <c r="D113" s="26" t="s">
        <v>824</v>
      </c>
      <c r="E113" s="26">
        <f>+VLOOKUP(F113,'[1]Codes &amp; Descr. SFICS25'!D:E,2,FALSE)</f>
        <v>2703</v>
      </c>
      <c r="F113" s="27" t="s">
        <v>825</v>
      </c>
      <c r="G113" s="27">
        <f>VLOOKUP(H113,'[1]Codes &amp; Descr. SFICS25'!F:H,2,FALSE)</f>
        <v>270305</v>
      </c>
      <c r="H113" s="26" t="s">
        <v>852</v>
      </c>
      <c r="I113" s="26" t="s">
        <v>853</v>
      </c>
      <c r="J113" s="26" t="s">
        <v>853</v>
      </c>
      <c r="K113" s="27" t="s">
        <v>854</v>
      </c>
      <c r="L113" s="28" t="s">
        <v>281</v>
      </c>
      <c r="M113" s="39" t="s">
        <v>29</v>
      </c>
      <c r="N113" s="30" t="s">
        <v>855</v>
      </c>
      <c r="O113" s="30" t="s">
        <v>856</v>
      </c>
      <c r="P113" s="193" t="s">
        <v>857</v>
      </c>
      <c r="Q113" s="31" t="s">
        <v>40</v>
      </c>
      <c r="R113" s="30" t="s">
        <v>40</v>
      </c>
      <c r="S113" s="30" t="s">
        <v>40</v>
      </c>
      <c r="T113" s="32" t="s">
        <v>831</v>
      </c>
      <c r="U113" s="33">
        <v>0</v>
      </c>
      <c r="V113" s="34">
        <v>0</v>
      </c>
      <c r="W113" s="34">
        <v>0</v>
      </c>
      <c r="X113" s="34">
        <v>0</v>
      </c>
      <c r="Y113" s="34">
        <v>0</v>
      </c>
      <c r="Z113" s="34">
        <v>0</v>
      </c>
      <c r="AA113" s="34">
        <f t="shared" si="1"/>
        <v>1</v>
      </c>
      <c r="AB113" s="34">
        <v>0</v>
      </c>
      <c r="AC113" s="43"/>
    </row>
    <row r="114" spans="1:29" ht="32.25" customHeight="1">
      <c r="B114" s="148">
        <v>111</v>
      </c>
      <c r="C114" s="26">
        <f>VLOOKUP(D114,'[1]Codes &amp; Descr. SFICS25'!B:C,2,FALSE)</f>
        <v>27</v>
      </c>
      <c r="D114" s="26" t="s">
        <v>824</v>
      </c>
      <c r="E114" s="26">
        <f>+VLOOKUP(F114,'[1]Codes &amp; Descr. SFICS25'!D:E,2,FALSE)</f>
        <v>2703</v>
      </c>
      <c r="F114" s="27" t="s">
        <v>825</v>
      </c>
      <c r="G114" s="27">
        <f>VLOOKUP(H114,'[1]Codes &amp; Descr. SFICS25'!F:H,2,FALSE)</f>
        <v>270306</v>
      </c>
      <c r="H114" s="26" t="s">
        <v>858</v>
      </c>
      <c r="I114" s="26" t="s">
        <v>859</v>
      </c>
      <c r="J114" s="26" t="s">
        <v>859</v>
      </c>
      <c r="K114" s="27" t="s">
        <v>858</v>
      </c>
      <c r="L114" s="28" t="s">
        <v>281</v>
      </c>
      <c r="M114" s="39" t="s">
        <v>29</v>
      </c>
      <c r="N114" s="30" t="s">
        <v>860</v>
      </c>
      <c r="O114" s="30" t="s">
        <v>861</v>
      </c>
      <c r="P114" s="31" t="s">
        <v>862</v>
      </c>
      <c r="Q114" s="31" t="s">
        <v>40</v>
      </c>
      <c r="R114" s="30" t="s">
        <v>40</v>
      </c>
      <c r="S114" s="30" t="s">
        <v>40</v>
      </c>
      <c r="T114" s="32" t="s">
        <v>831</v>
      </c>
      <c r="U114" s="33">
        <v>0</v>
      </c>
      <c r="V114" s="34">
        <v>0</v>
      </c>
      <c r="W114" s="34">
        <v>0</v>
      </c>
      <c r="X114" s="34">
        <v>0</v>
      </c>
      <c r="Y114" s="34">
        <v>0</v>
      </c>
      <c r="Z114" s="34">
        <v>0</v>
      </c>
      <c r="AA114" s="34">
        <f t="shared" si="1"/>
        <v>1</v>
      </c>
      <c r="AB114" s="34">
        <v>0</v>
      </c>
      <c r="AC114" s="43"/>
    </row>
    <row r="115" spans="1:29" ht="32.25" customHeight="1">
      <c r="B115" s="148">
        <v>112</v>
      </c>
      <c r="C115" s="26">
        <f>VLOOKUP(D115,'[1]Codes &amp; Descr. SFICS25'!B:C,2,FALSE)</f>
        <v>27</v>
      </c>
      <c r="D115" s="26" t="s">
        <v>824</v>
      </c>
      <c r="E115" s="26">
        <f>+VLOOKUP(F115,'[1]Codes &amp; Descr. SFICS25'!D:E,2,FALSE)</f>
        <v>2703</v>
      </c>
      <c r="F115" s="27" t="s">
        <v>825</v>
      </c>
      <c r="G115" s="27">
        <f>VLOOKUP(H115,'[1]Codes &amp; Descr. SFICS25'!F:H,2,FALSE)</f>
        <v>270307</v>
      </c>
      <c r="H115" s="26" t="s">
        <v>863</v>
      </c>
      <c r="I115" s="26" t="s">
        <v>864</v>
      </c>
      <c r="J115" s="26" t="s">
        <v>864</v>
      </c>
      <c r="K115" s="27" t="s">
        <v>863</v>
      </c>
      <c r="L115" s="28" t="s">
        <v>281</v>
      </c>
      <c r="M115" s="39" t="s">
        <v>29</v>
      </c>
      <c r="N115" s="30" t="s">
        <v>865</v>
      </c>
      <c r="O115" s="30" t="s">
        <v>866</v>
      </c>
      <c r="P115" s="31" t="s">
        <v>867</v>
      </c>
      <c r="Q115" s="31" t="s">
        <v>40</v>
      </c>
      <c r="R115" s="30" t="s">
        <v>40</v>
      </c>
      <c r="S115" s="30" t="s">
        <v>40</v>
      </c>
      <c r="T115" s="32" t="s">
        <v>831</v>
      </c>
      <c r="U115" s="33">
        <v>0</v>
      </c>
      <c r="V115" s="34">
        <v>0</v>
      </c>
      <c r="W115" s="34">
        <v>0</v>
      </c>
      <c r="X115" s="34">
        <v>0</v>
      </c>
      <c r="Y115" s="34">
        <v>0</v>
      </c>
      <c r="Z115" s="34">
        <v>0</v>
      </c>
      <c r="AA115" s="34">
        <f t="shared" si="1"/>
        <v>1</v>
      </c>
      <c r="AB115" s="34">
        <v>0</v>
      </c>
      <c r="AC115" s="43"/>
    </row>
    <row r="116" spans="1:29" ht="32.25" customHeight="1">
      <c r="B116" s="148">
        <v>113</v>
      </c>
      <c r="C116" s="26">
        <f>VLOOKUP(D116,'[1]Codes &amp; Descr. SFICS25'!B:C,2,FALSE)</f>
        <v>27</v>
      </c>
      <c r="D116" s="26" t="s">
        <v>824</v>
      </c>
      <c r="E116" s="26">
        <f>+VLOOKUP(F116,'[1]Codes &amp; Descr. SFICS25'!D:E,2,FALSE)</f>
        <v>2703</v>
      </c>
      <c r="F116" s="27" t="s">
        <v>825</v>
      </c>
      <c r="G116" s="27">
        <f>VLOOKUP(H116,'[1]Codes &amp; Descr. SFICS25'!F:H,2,FALSE)</f>
        <v>270308</v>
      </c>
      <c r="H116" s="26" t="s">
        <v>868</v>
      </c>
      <c r="I116" s="26" t="s">
        <v>869</v>
      </c>
      <c r="J116" s="26" t="s">
        <v>869</v>
      </c>
      <c r="K116" s="27" t="s">
        <v>868</v>
      </c>
      <c r="L116" s="28" t="s">
        <v>281</v>
      </c>
      <c r="M116" s="39" t="s">
        <v>29</v>
      </c>
      <c r="N116" s="30" t="s">
        <v>870</v>
      </c>
      <c r="O116" s="30" t="s">
        <v>871</v>
      </c>
      <c r="P116" s="31" t="s">
        <v>872</v>
      </c>
      <c r="Q116" s="31" t="s">
        <v>40</v>
      </c>
      <c r="R116" s="30" t="s">
        <v>40</v>
      </c>
      <c r="S116" s="30" t="s">
        <v>40</v>
      </c>
      <c r="T116" s="32" t="s">
        <v>831</v>
      </c>
      <c r="U116" s="33">
        <v>0</v>
      </c>
      <c r="V116" s="34">
        <v>0</v>
      </c>
      <c r="W116" s="34">
        <v>0</v>
      </c>
      <c r="X116" s="34">
        <v>0</v>
      </c>
      <c r="Y116" s="34">
        <v>0</v>
      </c>
      <c r="Z116" s="34">
        <v>0</v>
      </c>
      <c r="AA116" s="34">
        <f t="shared" si="1"/>
        <v>1</v>
      </c>
      <c r="AB116" s="34">
        <v>0</v>
      </c>
      <c r="AC116" s="43"/>
    </row>
    <row r="117" spans="1:29" ht="32.25" customHeight="1">
      <c r="A117" s="35"/>
      <c r="B117" s="148">
        <v>114</v>
      </c>
      <c r="C117" s="26">
        <f>VLOOKUP(D117,'[1]Codes &amp; Descr. SFICS25'!B:C,2,FALSE)</f>
        <v>27</v>
      </c>
      <c r="D117" s="26" t="s">
        <v>824</v>
      </c>
      <c r="E117" s="26">
        <f>+VLOOKUP(F117,'[1]Codes &amp; Descr. SFICS25'!D:E,2,FALSE)</f>
        <v>2703</v>
      </c>
      <c r="F117" s="27" t="s">
        <v>825</v>
      </c>
      <c r="G117" s="27">
        <f>VLOOKUP(H117,'[1]Codes &amp; Descr. SFICS25'!F:H,2,FALSE)</f>
        <v>270309</v>
      </c>
      <c r="H117" s="26" t="s">
        <v>873</v>
      </c>
      <c r="I117" s="26" t="s">
        <v>874</v>
      </c>
      <c r="J117" s="26" t="s">
        <v>874</v>
      </c>
      <c r="K117" s="27" t="s">
        <v>873</v>
      </c>
      <c r="L117" s="28" t="s">
        <v>281</v>
      </c>
      <c r="M117" s="39" t="s">
        <v>29</v>
      </c>
      <c r="N117" s="30" t="s">
        <v>875</v>
      </c>
      <c r="O117" s="30" t="s">
        <v>876</v>
      </c>
      <c r="P117" s="193" t="s">
        <v>877</v>
      </c>
      <c r="Q117" s="31" t="s">
        <v>40</v>
      </c>
      <c r="R117" s="30" t="s">
        <v>40</v>
      </c>
      <c r="S117" s="30" t="s">
        <v>40</v>
      </c>
      <c r="T117" s="32" t="s">
        <v>831</v>
      </c>
      <c r="U117" s="33">
        <v>0</v>
      </c>
      <c r="V117" s="34">
        <v>0</v>
      </c>
      <c r="W117" s="34">
        <v>0</v>
      </c>
      <c r="X117" s="34">
        <v>0</v>
      </c>
      <c r="Y117" s="34">
        <v>0</v>
      </c>
      <c r="Z117" s="34">
        <v>0</v>
      </c>
      <c r="AA117" s="34">
        <f t="shared" si="1"/>
        <v>1</v>
      </c>
      <c r="AB117" s="34">
        <v>0</v>
      </c>
      <c r="AC117" s="43"/>
    </row>
    <row r="118" spans="1:29" ht="32.25" customHeight="1">
      <c r="B118" s="148">
        <v>115</v>
      </c>
      <c r="C118" s="26">
        <f>VLOOKUP(D118,'[1]Codes &amp; Descr. SFICS25'!B:C,2,FALSE)</f>
        <v>27</v>
      </c>
      <c r="D118" s="26" t="s">
        <v>824</v>
      </c>
      <c r="E118" s="26">
        <f>+VLOOKUP(F118,'[1]Codes &amp; Descr. SFICS25'!D:E,2,FALSE)</f>
        <v>2703</v>
      </c>
      <c r="F118" s="27" t="s">
        <v>825</v>
      </c>
      <c r="G118" s="27">
        <f>VLOOKUP(H118,'[1]Codes &amp; Descr. SFICS25'!F:H,2,FALSE)</f>
        <v>270310</v>
      </c>
      <c r="H118" s="26" t="s">
        <v>878</v>
      </c>
      <c r="I118" s="26" t="s">
        <v>879</v>
      </c>
      <c r="J118" s="26" t="s">
        <v>879</v>
      </c>
      <c r="K118" s="27" t="s">
        <v>878</v>
      </c>
      <c r="L118" s="28" t="s">
        <v>281</v>
      </c>
      <c r="M118" s="39" t="s">
        <v>29</v>
      </c>
      <c r="N118" s="30" t="s">
        <v>880</v>
      </c>
      <c r="O118" s="30" t="s">
        <v>881</v>
      </c>
      <c r="P118" s="31" t="s">
        <v>882</v>
      </c>
      <c r="Q118" s="31" t="s">
        <v>40</v>
      </c>
      <c r="R118" s="30" t="s">
        <v>40</v>
      </c>
      <c r="S118" s="30" t="s">
        <v>40</v>
      </c>
      <c r="T118" s="32" t="s">
        <v>831</v>
      </c>
      <c r="U118" s="33">
        <v>0</v>
      </c>
      <c r="V118" s="34">
        <v>0</v>
      </c>
      <c r="W118" s="34">
        <v>0</v>
      </c>
      <c r="X118" s="34">
        <v>0</v>
      </c>
      <c r="Y118" s="34">
        <v>0</v>
      </c>
      <c r="Z118" s="34">
        <v>0</v>
      </c>
      <c r="AA118" s="34">
        <f t="shared" si="1"/>
        <v>1</v>
      </c>
      <c r="AB118" s="34">
        <v>0</v>
      </c>
      <c r="AC118" s="43"/>
    </row>
    <row r="119" spans="1:29" ht="32.25" customHeight="1">
      <c r="B119" s="148">
        <v>116</v>
      </c>
      <c r="C119" s="26">
        <f>VLOOKUP(D119,'[1]Codes &amp; Descr. SFICS25'!B:C,2,FALSE)</f>
        <v>27</v>
      </c>
      <c r="D119" s="26" t="s">
        <v>824</v>
      </c>
      <c r="E119" s="26">
        <f>+VLOOKUP(F119,'[1]Codes &amp; Descr. SFICS25'!D:E,2,FALSE)</f>
        <v>2703</v>
      </c>
      <c r="F119" s="27" t="s">
        <v>825</v>
      </c>
      <c r="G119" s="27">
        <f>VLOOKUP(H119,'[1]Codes &amp; Descr. SFICS25'!F:H,2,FALSE)</f>
        <v>270311</v>
      </c>
      <c r="H119" s="26" t="s">
        <v>883</v>
      </c>
      <c r="I119" s="26" t="s">
        <v>884</v>
      </c>
      <c r="J119" s="26" t="s">
        <v>884</v>
      </c>
      <c r="K119" s="27" t="s">
        <v>885</v>
      </c>
      <c r="L119" s="28" t="s">
        <v>281</v>
      </c>
      <c r="M119" s="39" t="s">
        <v>29</v>
      </c>
      <c r="N119" s="30" t="s">
        <v>886</v>
      </c>
      <c r="O119" s="30" t="s">
        <v>887</v>
      </c>
      <c r="P119" s="31" t="s">
        <v>888</v>
      </c>
      <c r="Q119" s="31" t="s">
        <v>40</v>
      </c>
      <c r="R119" s="30" t="s">
        <v>40</v>
      </c>
      <c r="S119" s="30" t="s">
        <v>40</v>
      </c>
      <c r="T119" s="32" t="s">
        <v>831</v>
      </c>
      <c r="U119" s="33">
        <v>0</v>
      </c>
      <c r="V119" s="34">
        <v>0</v>
      </c>
      <c r="W119" s="34">
        <v>0</v>
      </c>
      <c r="X119" s="34">
        <v>0</v>
      </c>
      <c r="Y119" s="34">
        <v>0</v>
      </c>
      <c r="Z119" s="34">
        <v>0</v>
      </c>
      <c r="AA119" s="34">
        <f t="shared" si="1"/>
        <v>1</v>
      </c>
      <c r="AB119" s="34">
        <v>0</v>
      </c>
      <c r="AC119" s="43"/>
    </row>
    <row r="120" spans="1:29" ht="32.25" customHeight="1">
      <c r="A120" s="35"/>
      <c r="B120" s="148">
        <v>117</v>
      </c>
      <c r="C120" s="26">
        <f>VLOOKUP(D120,'[1]Codes &amp; Descr. SFICS25'!B:C,2,FALSE)</f>
        <v>27</v>
      </c>
      <c r="D120" s="26" t="s">
        <v>824</v>
      </c>
      <c r="E120" s="26">
        <f>+VLOOKUP(F120,'[1]Codes &amp; Descr. SFICS25'!D:E,2,FALSE)</f>
        <v>2701</v>
      </c>
      <c r="F120" s="27" t="s">
        <v>889</v>
      </c>
      <c r="G120" s="27">
        <f>VLOOKUP(H120,'[1]Codes &amp; Descr. SFICS25'!F:H,2,FALSE)</f>
        <v>270101</v>
      </c>
      <c r="H120" s="26" t="s">
        <v>890</v>
      </c>
      <c r="I120" s="26" t="s">
        <v>891</v>
      </c>
      <c r="J120" s="26" t="s">
        <v>891</v>
      </c>
      <c r="K120" s="27" t="s">
        <v>890</v>
      </c>
      <c r="L120" s="28" t="s">
        <v>890</v>
      </c>
      <c r="M120" s="38" t="s">
        <v>29</v>
      </c>
      <c r="N120" s="30" t="s">
        <v>892</v>
      </c>
      <c r="O120" s="30" t="s">
        <v>893</v>
      </c>
      <c r="P120" s="193" t="s">
        <v>894</v>
      </c>
      <c r="Q120" s="31" t="s">
        <v>895</v>
      </c>
      <c r="R120" s="30" t="s">
        <v>40</v>
      </c>
      <c r="S120" s="30" t="s">
        <v>40</v>
      </c>
      <c r="T120" s="32" t="s">
        <v>831</v>
      </c>
      <c r="U120" s="33" t="s">
        <v>43</v>
      </c>
      <c r="V120" s="33" t="s">
        <v>185</v>
      </c>
      <c r="W120" s="34">
        <v>0</v>
      </c>
      <c r="X120" s="34">
        <v>0</v>
      </c>
      <c r="Y120" s="34">
        <v>0</v>
      </c>
      <c r="Z120" s="34">
        <v>0</v>
      </c>
      <c r="AA120" s="34">
        <f t="shared" si="1"/>
        <v>1</v>
      </c>
      <c r="AB120" s="34">
        <v>0</v>
      </c>
      <c r="AC120" s="43"/>
    </row>
    <row r="121" spans="1:29" ht="32.25" customHeight="1">
      <c r="B121" s="148">
        <v>118</v>
      </c>
      <c r="C121" s="26">
        <f>VLOOKUP(D121,'[1]Codes &amp; Descr. SFICS25'!B:C,2,FALSE)</f>
        <v>27</v>
      </c>
      <c r="D121" s="26" t="s">
        <v>824</v>
      </c>
      <c r="E121" s="26">
        <f>+VLOOKUP(F121,'[1]Codes &amp; Descr. SFICS25'!D:E,2,FALSE)</f>
        <v>2701</v>
      </c>
      <c r="F121" s="27" t="s">
        <v>889</v>
      </c>
      <c r="G121" s="27">
        <f>VLOOKUP(H121,'[1]Codes &amp; Descr. SFICS25'!F:H,2,FALSE)</f>
        <v>270102</v>
      </c>
      <c r="H121" s="26" t="s">
        <v>896</v>
      </c>
      <c r="I121" s="26" t="s">
        <v>897</v>
      </c>
      <c r="J121" s="26" t="s">
        <v>897</v>
      </c>
      <c r="K121" s="27" t="s">
        <v>896</v>
      </c>
      <c r="L121" s="28" t="s">
        <v>896</v>
      </c>
      <c r="M121" s="39" t="s">
        <v>29</v>
      </c>
      <c r="N121" s="30" t="s">
        <v>898</v>
      </c>
      <c r="O121" s="30" t="s">
        <v>899</v>
      </c>
      <c r="P121" s="31" t="s">
        <v>900</v>
      </c>
      <c r="Q121" s="31" t="s">
        <v>901</v>
      </c>
      <c r="R121" s="30" t="s">
        <v>40</v>
      </c>
      <c r="S121" s="30" t="s">
        <v>40</v>
      </c>
      <c r="T121" s="32" t="s">
        <v>831</v>
      </c>
      <c r="U121" s="33" t="s">
        <v>43</v>
      </c>
      <c r="V121" s="33" t="s">
        <v>185</v>
      </c>
      <c r="W121" s="34">
        <v>0</v>
      </c>
      <c r="X121" s="34">
        <v>0</v>
      </c>
      <c r="Y121" s="34">
        <v>0</v>
      </c>
      <c r="Z121" s="34">
        <v>0</v>
      </c>
      <c r="AA121" s="34">
        <f t="shared" si="1"/>
        <v>1</v>
      </c>
      <c r="AB121" s="34">
        <v>0</v>
      </c>
      <c r="AC121" s="43"/>
    </row>
    <row r="122" spans="1:29" ht="32.25" customHeight="1">
      <c r="B122" s="148">
        <v>119</v>
      </c>
      <c r="C122" s="26">
        <f>VLOOKUP(D122,'[1]Codes &amp; Descr. SFICS25'!B:C,2,FALSE)</f>
        <v>27</v>
      </c>
      <c r="D122" s="26" t="s">
        <v>824</v>
      </c>
      <c r="E122" s="26">
        <f>+VLOOKUP(F122,'[1]Codes &amp; Descr. SFICS25'!D:E,2,FALSE)</f>
        <v>2702</v>
      </c>
      <c r="F122" s="27" t="s">
        <v>902</v>
      </c>
      <c r="G122" s="27">
        <f>VLOOKUP(H122,'[1]Codes &amp; Descr. SFICS25'!F:H,2,FALSE)</f>
        <v>270201</v>
      </c>
      <c r="H122" s="26" t="s">
        <v>903</v>
      </c>
      <c r="I122" s="26" t="s">
        <v>904</v>
      </c>
      <c r="J122" s="26" t="s">
        <v>905</v>
      </c>
      <c r="K122" s="27" t="s">
        <v>906</v>
      </c>
      <c r="L122" s="28" t="s">
        <v>906</v>
      </c>
      <c r="M122" s="39" t="s">
        <v>29</v>
      </c>
      <c r="N122" s="30" t="s">
        <v>907</v>
      </c>
      <c r="O122" s="30" t="s">
        <v>908</v>
      </c>
      <c r="P122" s="31" t="s">
        <v>260</v>
      </c>
      <c r="Q122" s="31" t="s">
        <v>909</v>
      </c>
      <c r="R122" s="30" t="s">
        <v>40</v>
      </c>
      <c r="S122" s="30" t="s">
        <v>40</v>
      </c>
      <c r="T122" s="32" t="s">
        <v>831</v>
      </c>
      <c r="U122" s="33" t="s">
        <v>43</v>
      </c>
      <c r="V122" s="33" t="s">
        <v>185</v>
      </c>
      <c r="W122" s="34">
        <v>0</v>
      </c>
      <c r="X122" s="34">
        <v>0</v>
      </c>
      <c r="Y122" s="34">
        <v>0</v>
      </c>
      <c r="Z122" s="34">
        <v>0</v>
      </c>
      <c r="AA122" s="34">
        <f t="shared" si="1"/>
        <v>1</v>
      </c>
      <c r="AB122" s="34">
        <v>0</v>
      </c>
      <c r="AC122" s="43"/>
    </row>
    <row r="123" spans="1:29" ht="32.25" customHeight="1">
      <c r="B123" s="148">
        <v>120</v>
      </c>
      <c r="C123" s="26">
        <f>VLOOKUP(D123,'[1]Codes &amp; Descr. SFICS25'!B:C,2,FALSE)</f>
        <v>27</v>
      </c>
      <c r="D123" s="26" t="s">
        <v>824</v>
      </c>
      <c r="E123" s="26">
        <f>+VLOOKUP(F123,'[1]Codes &amp; Descr. SFICS25'!D:E,2,FALSE)</f>
        <v>2702</v>
      </c>
      <c r="F123" s="27" t="s">
        <v>902</v>
      </c>
      <c r="G123" s="27">
        <f>VLOOKUP(H123,'[1]Codes &amp; Descr. SFICS25'!F:H,2,FALSE)</f>
        <v>270202</v>
      </c>
      <c r="H123" s="26" t="s">
        <v>910</v>
      </c>
      <c r="I123" s="26" t="s">
        <v>911</v>
      </c>
      <c r="J123" s="26" t="s">
        <v>911</v>
      </c>
      <c r="K123" s="27" t="s">
        <v>910</v>
      </c>
      <c r="L123" s="28" t="s">
        <v>910</v>
      </c>
      <c r="M123" s="39" t="s">
        <v>29</v>
      </c>
      <c r="N123" s="30" t="s">
        <v>912</v>
      </c>
      <c r="O123" s="30" t="s">
        <v>913</v>
      </c>
      <c r="P123" s="31" t="s">
        <v>914</v>
      </c>
      <c r="Q123" s="31" t="s">
        <v>915</v>
      </c>
      <c r="R123" s="30" t="s">
        <v>40</v>
      </c>
      <c r="S123" s="30" t="s">
        <v>40</v>
      </c>
      <c r="T123" s="32" t="s">
        <v>831</v>
      </c>
      <c r="U123" s="33" t="s">
        <v>43</v>
      </c>
      <c r="V123" s="33" t="s">
        <v>185</v>
      </c>
      <c r="W123" s="34">
        <v>0</v>
      </c>
      <c r="X123" s="34">
        <v>0</v>
      </c>
      <c r="Y123" s="34">
        <v>0</v>
      </c>
      <c r="Z123" s="34">
        <v>0</v>
      </c>
      <c r="AA123" s="34">
        <f t="shared" si="1"/>
        <v>1</v>
      </c>
      <c r="AB123" s="34">
        <v>0</v>
      </c>
      <c r="AC123" s="43"/>
    </row>
    <row r="124" spans="1:29" ht="32.25" customHeight="1">
      <c r="B124" s="148">
        <v>121</v>
      </c>
      <c r="C124" s="26">
        <f>VLOOKUP(D124,'[1]Codes &amp; Descr. SFICS25'!B:C,2,FALSE)</f>
        <v>27</v>
      </c>
      <c r="D124" s="26" t="s">
        <v>824</v>
      </c>
      <c r="E124" s="26">
        <f>+VLOOKUP(F124,'[1]Codes &amp; Descr. SFICS25'!D:E,2,FALSE)</f>
        <v>2702</v>
      </c>
      <c r="F124" s="27" t="s">
        <v>902</v>
      </c>
      <c r="G124" s="27">
        <f>VLOOKUP(H124,'[1]Codes &amp; Descr. SFICS25'!F:H,2,FALSE)</f>
        <v>270203</v>
      </c>
      <c r="H124" s="26" t="s">
        <v>916</v>
      </c>
      <c r="I124" s="26" t="s">
        <v>917</v>
      </c>
      <c r="J124" s="26" t="s">
        <v>917</v>
      </c>
      <c r="K124" s="27" t="s">
        <v>916</v>
      </c>
      <c r="L124" s="28" t="s">
        <v>916</v>
      </c>
      <c r="M124" s="39" t="s">
        <v>29</v>
      </c>
      <c r="N124" s="30" t="s">
        <v>918</v>
      </c>
      <c r="O124" s="30" t="s">
        <v>919</v>
      </c>
      <c r="P124" s="31" t="s">
        <v>920</v>
      </c>
      <c r="Q124" s="31" t="s">
        <v>921</v>
      </c>
      <c r="R124" s="30" t="s">
        <v>40</v>
      </c>
      <c r="S124" s="30" t="s">
        <v>40</v>
      </c>
      <c r="T124" s="32" t="s">
        <v>831</v>
      </c>
      <c r="U124" s="33" t="s">
        <v>43</v>
      </c>
      <c r="V124" s="33" t="s">
        <v>185</v>
      </c>
      <c r="W124" s="34">
        <v>0</v>
      </c>
      <c r="X124" s="34">
        <v>0</v>
      </c>
      <c r="Y124" s="34">
        <v>0</v>
      </c>
      <c r="Z124" s="34">
        <v>0</v>
      </c>
      <c r="AA124" s="34">
        <f t="shared" si="1"/>
        <v>1</v>
      </c>
      <c r="AB124" s="34">
        <v>0</v>
      </c>
      <c r="AC124" s="43"/>
    </row>
    <row r="125" spans="1:29" ht="32.25" customHeight="1">
      <c r="B125" s="148">
        <v>122</v>
      </c>
      <c r="C125" s="26">
        <f>VLOOKUP(D125,'[1]Codes &amp; Descr. SFICS25'!B:C,2,FALSE)</f>
        <v>27</v>
      </c>
      <c r="D125" s="26" t="s">
        <v>824</v>
      </c>
      <c r="E125" s="26">
        <f>+VLOOKUP(F125,'[1]Codes &amp; Descr. SFICS25'!D:E,2,FALSE)</f>
        <v>2702</v>
      </c>
      <c r="F125" s="27" t="s">
        <v>902</v>
      </c>
      <c r="G125" s="27">
        <f>VLOOKUP(H125,'[1]Codes &amp; Descr. SFICS25'!F:H,2,FALSE)</f>
        <v>270204</v>
      </c>
      <c r="H125" s="26" t="s">
        <v>922</v>
      </c>
      <c r="I125" s="26" t="s">
        <v>923</v>
      </c>
      <c r="J125" s="26" t="s">
        <v>924</v>
      </c>
      <c r="K125" s="27" t="s">
        <v>925</v>
      </c>
      <c r="L125" s="28" t="s">
        <v>925</v>
      </c>
      <c r="M125" s="39" t="s">
        <v>29</v>
      </c>
      <c r="N125" s="30" t="s">
        <v>926</v>
      </c>
      <c r="O125" s="30" t="s">
        <v>927</v>
      </c>
      <c r="P125" s="31" t="s">
        <v>40</v>
      </c>
      <c r="Q125" s="31" t="s">
        <v>928</v>
      </c>
      <c r="R125" s="30" t="s">
        <v>40</v>
      </c>
      <c r="S125" s="30" t="s">
        <v>40</v>
      </c>
      <c r="T125" s="32" t="s">
        <v>831</v>
      </c>
      <c r="U125" s="34">
        <v>0</v>
      </c>
      <c r="V125" s="34">
        <v>0</v>
      </c>
      <c r="W125" s="34">
        <v>0</v>
      </c>
      <c r="X125" s="34">
        <v>0</v>
      </c>
      <c r="Y125" s="34">
        <v>0</v>
      </c>
      <c r="Z125" s="33" t="s">
        <v>43</v>
      </c>
      <c r="AA125" s="34">
        <f t="shared" si="1"/>
        <v>0</v>
      </c>
      <c r="AB125" s="34">
        <v>0</v>
      </c>
      <c r="AC125" s="43"/>
    </row>
    <row r="126" spans="1:29" ht="32.25" customHeight="1">
      <c r="B126" s="148">
        <v>123</v>
      </c>
      <c r="C126" s="26">
        <f>VLOOKUP(D126,'[1]Codes &amp; Descr. SFICS25'!B:C,2,FALSE)</f>
        <v>27</v>
      </c>
      <c r="D126" s="26" t="s">
        <v>824</v>
      </c>
      <c r="E126" s="26">
        <f>+VLOOKUP(F126,'[1]Codes &amp; Descr. SFICS25'!D:E,2,FALSE)</f>
        <v>2706</v>
      </c>
      <c r="F126" s="27" t="s">
        <v>929</v>
      </c>
      <c r="G126" s="27" t="str">
        <f>VLOOKUP(H126,'[1]Codes &amp; Descr. SFICS25'!F:H,2,FALSE)</f>
        <v>-</v>
      </c>
      <c r="H126" s="26" t="s">
        <v>507</v>
      </c>
      <c r="I126" s="26" t="s">
        <v>507</v>
      </c>
      <c r="J126" s="26" t="s">
        <v>930</v>
      </c>
      <c r="K126" s="27" t="s">
        <v>931</v>
      </c>
      <c r="L126" s="28" t="s">
        <v>281</v>
      </c>
      <c r="M126" s="39" t="s">
        <v>29</v>
      </c>
      <c r="N126" s="30" t="s">
        <v>932</v>
      </c>
      <c r="O126" s="30" t="s">
        <v>933</v>
      </c>
      <c r="P126" s="31" t="s">
        <v>934</v>
      </c>
      <c r="Q126" s="31" t="s">
        <v>40</v>
      </c>
      <c r="R126" s="30" t="s">
        <v>40</v>
      </c>
      <c r="S126" s="30" t="s">
        <v>40</v>
      </c>
      <c r="T126" s="32" t="s">
        <v>831</v>
      </c>
      <c r="U126" s="33">
        <v>0</v>
      </c>
      <c r="V126" s="34">
        <v>0</v>
      </c>
      <c r="W126" s="34">
        <v>0</v>
      </c>
      <c r="X126" s="34">
        <v>0</v>
      </c>
      <c r="Y126" s="34">
        <v>0</v>
      </c>
      <c r="Z126" s="34">
        <v>0</v>
      </c>
      <c r="AA126" s="34">
        <f t="shared" si="1"/>
        <v>1</v>
      </c>
      <c r="AB126" s="34">
        <v>0</v>
      </c>
      <c r="AC126" s="43"/>
    </row>
    <row r="127" spans="1:29" ht="32.25" customHeight="1">
      <c r="A127" s="35"/>
      <c r="B127" s="148">
        <v>124</v>
      </c>
      <c r="C127" s="26">
        <f>VLOOKUP(D127,'[1]Codes &amp; Descr. SFICS25'!B:C,2,FALSE)</f>
        <v>27</v>
      </c>
      <c r="D127" s="26" t="s">
        <v>824</v>
      </c>
      <c r="E127" s="26">
        <f>+VLOOKUP(F127,'[1]Codes &amp; Descr. SFICS25'!D:E,2,FALSE)</f>
        <v>2704</v>
      </c>
      <c r="F127" s="27" t="s">
        <v>935</v>
      </c>
      <c r="G127" s="27" t="str">
        <f>VLOOKUP(H127,'[1]Codes &amp; Descr. SFICS25'!F:H,2,FALSE)</f>
        <v>-</v>
      </c>
      <c r="H127" s="26" t="s">
        <v>507</v>
      </c>
      <c r="I127" s="26" t="s">
        <v>507</v>
      </c>
      <c r="J127" s="26" t="s">
        <v>935</v>
      </c>
      <c r="K127" s="27" t="s">
        <v>936</v>
      </c>
      <c r="L127" s="28" t="s">
        <v>281</v>
      </c>
      <c r="M127" s="39" t="s">
        <v>29</v>
      </c>
      <c r="N127" s="30" t="s">
        <v>937</v>
      </c>
      <c r="O127" s="30" t="s">
        <v>938</v>
      </c>
      <c r="P127" s="193" t="s">
        <v>939</v>
      </c>
      <c r="Q127" s="31" t="s">
        <v>40</v>
      </c>
      <c r="R127" s="30" t="s">
        <v>40</v>
      </c>
      <c r="S127" s="30" t="s">
        <v>40</v>
      </c>
      <c r="T127" s="32" t="s">
        <v>831</v>
      </c>
      <c r="U127" s="33">
        <v>0</v>
      </c>
      <c r="V127" s="34">
        <v>0</v>
      </c>
      <c r="W127" s="34">
        <v>0</v>
      </c>
      <c r="X127" s="34">
        <v>0</v>
      </c>
      <c r="Y127" s="34">
        <v>0</v>
      </c>
      <c r="Z127" s="34">
        <v>0</v>
      </c>
      <c r="AA127" s="34">
        <f t="shared" si="1"/>
        <v>1</v>
      </c>
      <c r="AB127" s="34">
        <v>0</v>
      </c>
      <c r="AC127" s="43"/>
    </row>
    <row r="128" spans="1:29" ht="32.25" customHeight="1">
      <c r="B128" s="148">
        <v>125</v>
      </c>
      <c r="C128" s="26">
        <f>VLOOKUP(D128,'[1]Codes &amp; Descr. SFICS25'!B:C,2,FALSE)</f>
        <v>27</v>
      </c>
      <c r="D128" s="26" t="s">
        <v>824</v>
      </c>
      <c r="E128" s="26">
        <f>+VLOOKUP(F128,'[1]Codes &amp; Descr. SFICS25'!D:E,2,FALSE)</f>
        <v>2705</v>
      </c>
      <c r="F128" s="27" t="s">
        <v>940</v>
      </c>
      <c r="G128" s="27" t="str">
        <f>VLOOKUP(H128,'[1]Codes &amp; Descr. SFICS25'!F:H,2,FALSE)</f>
        <v>-</v>
      </c>
      <c r="H128" s="26" t="s">
        <v>507</v>
      </c>
      <c r="I128" s="26" t="s">
        <v>507</v>
      </c>
      <c r="J128" s="26" t="s">
        <v>941</v>
      </c>
      <c r="K128" s="27" t="s">
        <v>942</v>
      </c>
      <c r="L128" s="28" t="s">
        <v>281</v>
      </c>
      <c r="M128" s="39" t="s">
        <v>29</v>
      </c>
      <c r="N128" s="30" t="s">
        <v>943</v>
      </c>
      <c r="O128" s="30" t="s">
        <v>944</v>
      </c>
      <c r="P128" s="31" t="s">
        <v>945</v>
      </c>
      <c r="Q128" s="31" t="s">
        <v>40</v>
      </c>
      <c r="R128" s="30" t="s">
        <v>40</v>
      </c>
      <c r="S128" s="30" t="s">
        <v>40</v>
      </c>
      <c r="T128" s="32" t="s">
        <v>831</v>
      </c>
      <c r="U128" s="33">
        <v>0</v>
      </c>
      <c r="V128" s="34">
        <v>0</v>
      </c>
      <c r="W128" s="34">
        <v>0</v>
      </c>
      <c r="X128" s="34">
        <v>0</v>
      </c>
      <c r="Y128" s="34">
        <v>0</v>
      </c>
      <c r="Z128" s="34">
        <v>0</v>
      </c>
      <c r="AA128" s="34">
        <f t="shared" si="1"/>
        <v>1</v>
      </c>
      <c r="AB128" s="34">
        <v>0</v>
      </c>
      <c r="AC128" s="43"/>
    </row>
    <row r="129" spans="2:29" ht="32.25" customHeight="1">
      <c r="B129" s="148">
        <v>126</v>
      </c>
      <c r="C129" s="26">
        <f>VLOOKUP(D129,'[1]Codes &amp; Descr. SFICS25'!B:C,2,FALSE)</f>
        <v>28</v>
      </c>
      <c r="D129" s="26" t="s">
        <v>946</v>
      </c>
      <c r="E129" s="26">
        <f>+VLOOKUP(F129,'[1]Codes &amp; Descr. SFICS25'!D:E,2,FALSE)</f>
        <v>2803</v>
      </c>
      <c r="F129" s="27" t="s">
        <v>285</v>
      </c>
      <c r="G129" s="27">
        <f>VLOOKUP(H129,'[1]Codes &amp; Descr. SFICS25'!F:H,2,FALSE)</f>
        <v>280301</v>
      </c>
      <c r="H129" s="26" t="s">
        <v>947</v>
      </c>
      <c r="I129" s="26" t="s">
        <v>948</v>
      </c>
      <c r="J129" s="26" t="s">
        <v>949</v>
      </c>
      <c r="K129" s="27" t="s">
        <v>950</v>
      </c>
      <c r="L129" s="28" t="s">
        <v>950</v>
      </c>
      <c r="M129" s="39" t="s">
        <v>29</v>
      </c>
      <c r="N129" s="30" t="s">
        <v>951</v>
      </c>
      <c r="O129" s="30" t="s">
        <v>952</v>
      </c>
      <c r="P129" s="31" t="s">
        <v>953</v>
      </c>
      <c r="Q129" s="31" t="s">
        <v>954</v>
      </c>
      <c r="R129" s="30" t="s">
        <v>40</v>
      </c>
      <c r="S129" s="30" t="s">
        <v>40</v>
      </c>
      <c r="T129" s="32" t="s">
        <v>955</v>
      </c>
      <c r="U129" s="33" t="s">
        <v>185</v>
      </c>
      <c r="V129" s="33" t="s">
        <v>43</v>
      </c>
      <c r="W129" s="34">
        <v>0</v>
      </c>
      <c r="X129" s="34">
        <v>0</v>
      </c>
      <c r="Y129" s="34">
        <v>0</v>
      </c>
      <c r="Z129" s="34">
        <v>0</v>
      </c>
      <c r="AA129" s="34">
        <f t="shared" si="1"/>
        <v>1</v>
      </c>
      <c r="AB129" s="34">
        <v>0</v>
      </c>
      <c r="AC129" s="43"/>
    </row>
    <row r="130" spans="2:29" ht="32.25" customHeight="1">
      <c r="B130" s="148">
        <v>127</v>
      </c>
      <c r="C130" s="26">
        <f>VLOOKUP(D130,'[1]Codes &amp; Descr. SFICS25'!B:C,2,FALSE)</f>
        <v>28</v>
      </c>
      <c r="D130" s="26" t="s">
        <v>946</v>
      </c>
      <c r="E130" s="26">
        <f>+VLOOKUP(F130,'[1]Codes &amp; Descr. SFICS25'!D:E,2,FALSE)</f>
        <v>2803</v>
      </c>
      <c r="F130" s="27" t="s">
        <v>285</v>
      </c>
      <c r="G130" s="27">
        <f>VLOOKUP(H130,'[1]Codes &amp; Descr. SFICS25'!F:H,2,FALSE)</f>
        <v>280302</v>
      </c>
      <c r="H130" s="26" t="s">
        <v>956</v>
      </c>
      <c r="I130" s="26" t="s">
        <v>957</v>
      </c>
      <c r="J130" s="26" t="s">
        <v>958</v>
      </c>
      <c r="K130" s="27" t="s">
        <v>959</v>
      </c>
      <c r="L130" s="28" t="s">
        <v>959</v>
      </c>
      <c r="M130" s="39" t="s">
        <v>29</v>
      </c>
      <c r="N130" s="30" t="s">
        <v>40</v>
      </c>
      <c r="O130" s="30" t="s">
        <v>960</v>
      </c>
      <c r="P130" s="31" t="s">
        <v>961</v>
      </c>
      <c r="Q130" s="31" t="s">
        <v>962</v>
      </c>
      <c r="R130" s="30" t="s">
        <v>40</v>
      </c>
      <c r="S130" s="30" t="s">
        <v>40</v>
      </c>
      <c r="T130" s="32" t="s">
        <v>955</v>
      </c>
      <c r="U130" s="33" t="s">
        <v>185</v>
      </c>
      <c r="V130" s="33">
        <v>0</v>
      </c>
      <c r="W130" s="34">
        <v>0</v>
      </c>
      <c r="X130" s="34">
        <v>0</v>
      </c>
      <c r="Y130" s="34">
        <v>0</v>
      </c>
      <c r="Z130" s="34">
        <v>0</v>
      </c>
      <c r="AA130" s="34">
        <f t="shared" si="1"/>
        <v>1</v>
      </c>
      <c r="AB130" s="34">
        <v>0</v>
      </c>
      <c r="AC130" s="43"/>
    </row>
    <row r="131" spans="2:29" ht="32.25" customHeight="1">
      <c r="B131" s="148">
        <v>128</v>
      </c>
      <c r="C131" s="26">
        <f>VLOOKUP(D131,'[1]Codes &amp; Descr. SFICS25'!B:C,2,FALSE)</f>
        <v>28</v>
      </c>
      <c r="D131" s="26" t="s">
        <v>946</v>
      </c>
      <c r="E131" s="26">
        <f>+VLOOKUP(F131,'[1]Codes &amp; Descr. SFICS25'!D:E,2,FALSE)</f>
        <v>2803</v>
      </c>
      <c r="F131" s="27" t="s">
        <v>285</v>
      </c>
      <c r="G131" s="27">
        <f>VLOOKUP(H131,'[1]Codes &amp; Descr. SFICS25'!F:H,2,FALSE)</f>
        <v>280303</v>
      </c>
      <c r="H131" s="26" t="s">
        <v>963</v>
      </c>
      <c r="I131" s="26" t="s">
        <v>964</v>
      </c>
      <c r="J131" s="26" t="s">
        <v>965</v>
      </c>
      <c r="K131" s="27" t="s">
        <v>966</v>
      </c>
      <c r="L131" s="28" t="s">
        <v>966</v>
      </c>
      <c r="M131" s="39" t="s">
        <v>29</v>
      </c>
      <c r="N131" s="30" t="s">
        <v>967</v>
      </c>
      <c r="O131" s="30" t="s">
        <v>968</v>
      </c>
      <c r="P131" s="31" t="s">
        <v>969</v>
      </c>
      <c r="Q131" s="31" t="s">
        <v>970</v>
      </c>
      <c r="R131" s="30" t="s">
        <v>40</v>
      </c>
      <c r="S131" s="30" t="s">
        <v>40</v>
      </c>
      <c r="T131" s="32" t="s">
        <v>955</v>
      </c>
      <c r="U131" s="33" t="s">
        <v>185</v>
      </c>
      <c r="V131" s="34">
        <v>0</v>
      </c>
      <c r="W131" s="34">
        <v>0</v>
      </c>
      <c r="X131" s="34">
        <v>0</v>
      </c>
      <c r="Y131" s="34">
        <v>0</v>
      </c>
      <c r="Z131" s="34">
        <v>0</v>
      </c>
      <c r="AA131" s="34">
        <f t="shared" si="1"/>
        <v>1</v>
      </c>
      <c r="AB131" s="34">
        <v>0</v>
      </c>
      <c r="AC131" s="43"/>
    </row>
    <row r="132" spans="2:29" ht="32.25" customHeight="1">
      <c r="B132" s="148">
        <v>129</v>
      </c>
      <c r="C132" s="26">
        <f>VLOOKUP(D132,'[1]Codes &amp; Descr. SFICS25'!B:C,2,FALSE)</f>
        <v>28</v>
      </c>
      <c r="D132" s="26" t="s">
        <v>946</v>
      </c>
      <c r="E132" s="26">
        <f>+VLOOKUP(F132,'[1]Codes &amp; Descr. SFICS25'!D:E,2,FALSE)</f>
        <v>2803</v>
      </c>
      <c r="F132" s="27" t="s">
        <v>285</v>
      </c>
      <c r="G132" s="27">
        <f>VLOOKUP(H132,'[1]Codes &amp; Descr. SFICS25'!F:H,2,FALSE)</f>
        <v>280304</v>
      </c>
      <c r="H132" s="26" t="s">
        <v>971</v>
      </c>
      <c r="I132" s="26" t="s">
        <v>972</v>
      </c>
      <c r="J132" s="26" t="s">
        <v>973</v>
      </c>
      <c r="K132" s="27" t="s">
        <v>974</v>
      </c>
      <c r="L132" s="28" t="s">
        <v>974</v>
      </c>
      <c r="M132" s="39" t="s">
        <v>29</v>
      </c>
      <c r="N132" s="30" t="s">
        <v>975</v>
      </c>
      <c r="O132" s="30" t="s">
        <v>976</v>
      </c>
      <c r="P132" s="31" t="s">
        <v>977</v>
      </c>
      <c r="Q132" s="31" t="s">
        <v>978</v>
      </c>
      <c r="R132" s="30" t="s">
        <v>40</v>
      </c>
      <c r="S132" s="30" t="s">
        <v>40</v>
      </c>
      <c r="T132" s="32" t="s">
        <v>955</v>
      </c>
      <c r="U132" s="33" t="s">
        <v>237</v>
      </c>
      <c r="V132" s="34">
        <v>0</v>
      </c>
      <c r="W132" s="34">
        <v>0</v>
      </c>
      <c r="X132" s="34">
        <v>0</v>
      </c>
      <c r="Y132" s="34">
        <v>0</v>
      </c>
      <c r="Z132" s="34">
        <v>0</v>
      </c>
      <c r="AA132" s="34">
        <f t="shared" si="1"/>
        <v>1</v>
      </c>
      <c r="AB132" s="34">
        <v>0</v>
      </c>
      <c r="AC132" s="41" t="s">
        <v>383</v>
      </c>
    </row>
    <row r="133" spans="2:29" ht="32.25" customHeight="1">
      <c r="B133" s="148">
        <v>130</v>
      </c>
      <c r="C133" s="26">
        <f>VLOOKUP(D133,'[1]Codes &amp; Descr. SFICS25'!B:C,2,FALSE)</f>
        <v>28</v>
      </c>
      <c r="D133" s="26" t="s">
        <v>946</v>
      </c>
      <c r="E133" s="26">
        <f>+VLOOKUP(F133,'[1]Codes &amp; Descr. SFICS25'!D:E,2,FALSE)</f>
        <v>2802</v>
      </c>
      <c r="F133" s="27" t="s">
        <v>979</v>
      </c>
      <c r="G133" s="27">
        <v>280201</v>
      </c>
      <c r="H133" s="26" t="s">
        <v>620</v>
      </c>
      <c r="I133" s="26" t="s">
        <v>980</v>
      </c>
      <c r="J133" s="26" t="s">
        <v>981</v>
      </c>
      <c r="K133" s="27" t="s">
        <v>982</v>
      </c>
      <c r="L133" s="28" t="s">
        <v>982</v>
      </c>
      <c r="M133" s="39" t="s">
        <v>29</v>
      </c>
      <c r="N133" s="30" t="s">
        <v>983</v>
      </c>
      <c r="O133" s="30" t="s">
        <v>984</v>
      </c>
      <c r="P133" s="31" t="s">
        <v>40</v>
      </c>
      <c r="Q133" s="31" t="s">
        <v>985</v>
      </c>
      <c r="R133" s="30" t="s">
        <v>40</v>
      </c>
      <c r="S133" s="30" t="s">
        <v>40</v>
      </c>
      <c r="T133" s="32" t="s">
        <v>955</v>
      </c>
      <c r="U133" s="33" t="s">
        <v>185</v>
      </c>
      <c r="V133" s="33" t="s">
        <v>43</v>
      </c>
      <c r="W133" s="34">
        <v>0</v>
      </c>
      <c r="X133" s="34">
        <v>0</v>
      </c>
      <c r="Y133" s="34">
        <v>0</v>
      </c>
      <c r="Z133" s="34">
        <v>0</v>
      </c>
      <c r="AA133" s="34">
        <f t="shared" si="1"/>
        <v>0</v>
      </c>
      <c r="AB133" s="34">
        <v>0</v>
      </c>
      <c r="AC133" s="41"/>
    </row>
    <row r="134" spans="2:29" ht="32.25" customHeight="1">
      <c r="B134" s="148">
        <v>131</v>
      </c>
      <c r="C134" s="26">
        <f>VLOOKUP(D134,'[1]Codes &amp; Descr. SFICS25'!B:C,2,FALSE)</f>
        <v>28</v>
      </c>
      <c r="D134" s="26" t="s">
        <v>946</v>
      </c>
      <c r="E134" s="26">
        <f>+VLOOKUP(F134,'[1]Codes &amp; Descr. SFICS25'!D:E,2,FALSE)</f>
        <v>2802</v>
      </c>
      <c r="F134" s="27" t="s">
        <v>979</v>
      </c>
      <c r="G134" s="27">
        <f>VLOOKUP(H134,'[1]Codes &amp; Descr. SFICS25'!F:H,2,FALSE)</f>
        <v>280202</v>
      </c>
      <c r="H134" s="26" t="s">
        <v>986</v>
      </c>
      <c r="I134" s="26" t="s">
        <v>987</v>
      </c>
      <c r="J134" s="26" t="s">
        <v>988</v>
      </c>
      <c r="K134" s="27" t="s">
        <v>989</v>
      </c>
      <c r="L134" s="28" t="s">
        <v>989</v>
      </c>
      <c r="M134" s="39" t="s">
        <v>29</v>
      </c>
      <c r="N134" s="30" t="s">
        <v>990</v>
      </c>
      <c r="O134" s="30" t="s">
        <v>991</v>
      </c>
      <c r="P134" s="31" t="s">
        <v>40</v>
      </c>
      <c r="Q134" s="31" t="s">
        <v>992</v>
      </c>
      <c r="R134" s="30" t="s">
        <v>40</v>
      </c>
      <c r="S134" s="30" t="s">
        <v>40</v>
      </c>
      <c r="T134" s="32" t="s">
        <v>955</v>
      </c>
      <c r="U134" s="33" t="s">
        <v>185</v>
      </c>
      <c r="V134" s="33" t="s">
        <v>43</v>
      </c>
      <c r="W134" s="34">
        <v>0</v>
      </c>
      <c r="X134" s="34">
        <v>0</v>
      </c>
      <c r="Y134" s="34">
        <v>0</v>
      </c>
      <c r="Z134" s="34">
        <v>0</v>
      </c>
      <c r="AA134" s="34">
        <f t="shared" ref="AA134:AA179" si="2">IF(P134="Not applicable",0,1)</f>
        <v>0</v>
      </c>
      <c r="AB134" s="34">
        <v>0</v>
      </c>
      <c r="AC134" s="43"/>
    </row>
    <row r="135" spans="2:29" ht="32.25" customHeight="1">
      <c r="B135" s="148">
        <v>132</v>
      </c>
      <c r="C135" s="26">
        <f>VLOOKUP(D135,'[1]Codes &amp; Descr. SFICS25'!B:C,2,FALSE)</f>
        <v>28</v>
      </c>
      <c r="D135" s="26" t="s">
        <v>946</v>
      </c>
      <c r="E135" s="26">
        <f>+VLOOKUP(F135,'[1]Codes &amp; Descr. SFICS25'!D:E,2,FALSE)</f>
        <v>2802</v>
      </c>
      <c r="F135" s="27" t="s">
        <v>979</v>
      </c>
      <c r="G135" s="27">
        <f>VLOOKUP(H135,'[1]Codes &amp; Descr. SFICS25'!F:H,2,FALSE)</f>
        <v>280203</v>
      </c>
      <c r="H135" s="26" t="s">
        <v>993</v>
      </c>
      <c r="I135" s="26" t="s">
        <v>994</v>
      </c>
      <c r="J135" s="26" t="s">
        <v>994</v>
      </c>
      <c r="K135" s="27" t="s">
        <v>993</v>
      </c>
      <c r="L135" s="28" t="s">
        <v>993</v>
      </c>
      <c r="M135" s="39" t="s">
        <v>29</v>
      </c>
      <c r="N135" s="30" t="s">
        <v>995</v>
      </c>
      <c r="O135" s="30" t="s">
        <v>996</v>
      </c>
      <c r="P135" s="31" t="s">
        <v>40</v>
      </c>
      <c r="Q135" s="31" t="s">
        <v>997</v>
      </c>
      <c r="R135" s="30" t="s">
        <v>40</v>
      </c>
      <c r="S135" s="30" t="s">
        <v>40</v>
      </c>
      <c r="T135" s="32" t="s">
        <v>955</v>
      </c>
      <c r="U135" s="33" t="s">
        <v>43</v>
      </c>
      <c r="V135" s="33" t="s">
        <v>43</v>
      </c>
      <c r="W135" s="34">
        <v>0</v>
      </c>
      <c r="X135" s="34">
        <v>0</v>
      </c>
      <c r="Y135" s="34">
        <v>0</v>
      </c>
      <c r="Z135" s="34">
        <v>0</v>
      </c>
      <c r="AA135" s="34">
        <f t="shared" si="2"/>
        <v>0</v>
      </c>
      <c r="AB135" s="34">
        <v>0</v>
      </c>
      <c r="AC135" s="43"/>
    </row>
    <row r="136" spans="2:29" ht="32.25" customHeight="1">
      <c r="B136" s="148">
        <v>133</v>
      </c>
      <c r="C136" s="26">
        <f>VLOOKUP(D136,'[1]Codes &amp; Descr. SFICS25'!B:C,2,FALSE)</f>
        <v>28</v>
      </c>
      <c r="D136" s="26" t="s">
        <v>946</v>
      </c>
      <c r="E136" s="26">
        <f>+VLOOKUP(F136,'[1]Codes &amp; Descr. SFICS25'!D:E,2,FALSE)</f>
        <v>2805</v>
      </c>
      <c r="F136" s="27" t="s">
        <v>998</v>
      </c>
      <c r="G136" s="27">
        <f>VLOOKUP(H136,'[1]Codes &amp; Descr. SFICS25'!F:H,2,FALSE)</f>
        <v>280501</v>
      </c>
      <c r="H136" s="26" t="s">
        <v>999</v>
      </c>
      <c r="I136" s="26" t="s">
        <v>1000</v>
      </c>
      <c r="J136" s="26" t="s">
        <v>1001</v>
      </c>
      <c r="K136" s="27" t="s">
        <v>1002</v>
      </c>
      <c r="L136" s="28" t="s">
        <v>1002</v>
      </c>
      <c r="M136" s="39" t="s">
        <v>29</v>
      </c>
      <c r="N136" s="30" t="s">
        <v>1002</v>
      </c>
      <c r="O136" s="30" t="s">
        <v>1003</v>
      </c>
      <c r="P136" s="31" t="s">
        <v>1004</v>
      </c>
      <c r="Q136" s="31" t="s">
        <v>1005</v>
      </c>
      <c r="R136" s="30" t="s">
        <v>40</v>
      </c>
      <c r="S136" s="30" t="s">
        <v>40</v>
      </c>
      <c r="T136" s="32" t="s">
        <v>955</v>
      </c>
      <c r="U136" s="33" t="s">
        <v>185</v>
      </c>
      <c r="V136" s="33" t="s">
        <v>43</v>
      </c>
      <c r="W136" s="34">
        <v>0</v>
      </c>
      <c r="X136" s="34">
        <v>0</v>
      </c>
      <c r="Y136" s="34">
        <v>0</v>
      </c>
      <c r="Z136" s="34">
        <v>0</v>
      </c>
      <c r="AA136" s="34">
        <f t="shared" si="2"/>
        <v>1</v>
      </c>
      <c r="AB136" s="34">
        <v>0</v>
      </c>
      <c r="AC136" s="43"/>
    </row>
    <row r="137" spans="2:29" ht="32.25" customHeight="1">
      <c r="B137" s="148">
        <v>134</v>
      </c>
      <c r="C137" s="26">
        <f>VLOOKUP(D137,'[1]Codes &amp; Descr. SFICS25'!B:C,2,FALSE)</f>
        <v>28</v>
      </c>
      <c r="D137" s="26" t="s">
        <v>946</v>
      </c>
      <c r="E137" s="26">
        <f>+VLOOKUP(F137,'[1]Codes &amp; Descr. SFICS25'!D:E,2,FALSE)</f>
        <v>2805</v>
      </c>
      <c r="F137" s="27" t="s">
        <v>998</v>
      </c>
      <c r="G137" s="27">
        <f>VLOOKUP(H137,'[1]Codes &amp; Descr. SFICS25'!F:H,2,FALSE)</f>
        <v>280502</v>
      </c>
      <c r="H137" s="26" t="s">
        <v>1006</v>
      </c>
      <c r="I137" s="26" t="s">
        <v>1007</v>
      </c>
      <c r="J137" s="26" t="s">
        <v>1008</v>
      </c>
      <c r="K137" s="27" t="s">
        <v>1009</v>
      </c>
      <c r="L137" s="28" t="s">
        <v>1009</v>
      </c>
      <c r="M137" s="39" t="s">
        <v>29</v>
      </c>
      <c r="N137" s="30" t="s">
        <v>1010</v>
      </c>
      <c r="O137" s="30" t="s">
        <v>1011</v>
      </c>
      <c r="P137" s="31" t="s">
        <v>40</v>
      </c>
      <c r="Q137" s="31" t="s">
        <v>1012</v>
      </c>
      <c r="R137" s="30" t="s">
        <v>40</v>
      </c>
      <c r="S137" s="30" t="s">
        <v>40</v>
      </c>
      <c r="T137" s="32" t="s">
        <v>955</v>
      </c>
      <c r="U137" s="33" t="s">
        <v>185</v>
      </c>
      <c r="V137" s="33" t="s">
        <v>43</v>
      </c>
      <c r="W137" s="34">
        <v>0</v>
      </c>
      <c r="X137" s="34">
        <v>0</v>
      </c>
      <c r="Y137" s="34">
        <v>0</v>
      </c>
      <c r="Z137" s="34">
        <v>0</v>
      </c>
      <c r="AA137" s="34">
        <f t="shared" si="2"/>
        <v>0</v>
      </c>
      <c r="AB137" s="34">
        <v>0</v>
      </c>
      <c r="AC137" s="43"/>
    </row>
    <row r="138" spans="2:29" ht="32.25" customHeight="1">
      <c r="B138" s="148">
        <v>135</v>
      </c>
      <c r="C138" s="26">
        <f>VLOOKUP(D138,'[1]Codes &amp; Descr. SFICS25'!B:C,2,FALSE)</f>
        <v>28</v>
      </c>
      <c r="D138" s="26" t="s">
        <v>946</v>
      </c>
      <c r="E138" s="26">
        <f>+VLOOKUP(F138,'[1]Codes &amp; Descr. SFICS25'!D:E,2,FALSE)</f>
        <v>2805</v>
      </c>
      <c r="F138" s="27" t="s">
        <v>998</v>
      </c>
      <c r="G138" s="27">
        <f>VLOOKUP(H138,'[1]Codes &amp; Descr. SFICS25'!F:H,2,FALSE)</f>
        <v>280503</v>
      </c>
      <c r="H138" s="26" t="s">
        <v>1013</v>
      </c>
      <c r="I138" s="26" t="s">
        <v>1014</v>
      </c>
      <c r="J138" s="26" t="s">
        <v>1015</v>
      </c>
      <c r="K138" s="27" t="s">
        <v>1016</v>
      </c>
      <c r="L138" s="28" t="s">
        <v>1016</v>
      </c>
      <c r="M138" s="39" t="s">
        <v>29</v>
      </c>
      <c r="N138" s="30" t="s">
        <v>1017</v>
      </c>
      <c r="O138" s="30" t="s">
        <v>1018</v>
      </c>
      <c r="P138" s="31" t="s">
        <v>1019</v>
      </c>
      <c r="Q138" s="31" t="s">
        <v>1020</v>
      </c>
      <c r="R138" s="30" t="s">
        <v>40</v>
      </c>
      <c r="S138" s="30" t="s">
        <v>40</v>
      </c>
      <c r="T138" s="32" t="s">
        <v>955</v>
      </c>
      <c r="U138" s="33" t="s">
        <v>185</v>
      </c>
      <c r="V138" s="34">
        <v>0</v>
      </c>
      <c r="W138" s="34">
        <v>0</v>
      </c>
      <c r="X138" s="34">
        <v>0</v>
      </c>
      <c r="Y138" s="34">
        <v>0</v>
      </c>
      <c r="Z138" s="34">
        <v>0</v>
      </c>
      <c r="AA138" s="34">
        <f t="shared" si="2"/>
        <v>1</v>
      </c>
      <c r="AB138" s="34">
        <v>0</v>
      </c>
      <c r="AC138" s="41"/>
    </row>
    <row r="139" spans="2:29" ht="32.25" customHeight="1">
      <c r="B139" s="148">
        <v>136</v>
      </c>
      <c r="C139" s="26">
        <f>VLOOKUP(D139,'[1]Codes &amp; Descr. SFICS25'!B:C,2,FALSE)</f>
        <v>28</v>
      </c>
      <c r="D139" s="26" t="s">
        <v>946</v>
      </c>
      <c r="E139" s="26">
        <f>+VLOOKUP(F139,'[1]Codes &amp; Descr. SFICS25'!D:E,2,FALSE)</f>
        <v>2805</v>
      </c>
      <c r="F139" s="27" t="s">
        <v>998</v>
      </c>
      <c r="G139" s="27">
        <f>VLOOKUP(H139,'[1]Codes &amp; Descr. SFICS25'!F:H,2,FALSE)</f>
        <v>280504</v>
      </c>
      <c r="H139" s="26" t="s">
        <v>1021</v>
      </c>
      <c r="I139" s="26" t="s">
        <v>1022</v>
      </c>
      <c r="J139" s="26" t="s">
        <v>1023</v>
      </c>
      <c r="K139" s="27" t="s">
        <v>1024</v>
      </c>
      <c r="L139" s="28" t="s">
        <v>281</v>
      </c>
      <c r="M139" s="39" t="s">
        <v>29</v>
      </c>
      <c r="N139" s="30" t="s">
        <v>1025</v>
      </c>
      <c r="O139" s="30" t="s">
        <v>1026</v>
      </c>
      <c r="P139" s="31" t="s">
        <v>1027</v>
      </c>
      <c r="Q139" s="31" t="s">
        <v>40</v>
      </c>
      <c r="R139" s="30" t="s">
        <v>40</v>
      </c>
      <c r="S139" s="30" t="s">
        <v>40</v>
      </c>
      <c r="T139" s="32" t="s">
        <v>955</v>
      </c>
      <c r="U139" s="33">
        <v>0</v>
      </c>
      <c r="V139" s="34">
        <v>0</v>
      </c>
      <c r="W139" s="34">
        <v>0</v>
      </c>
      <c r="X139" s="34">
        <v>0</v>
      </c>
      <c r="Y139" s="34">
        <v>0</v>
      </c>
      <c r="Z139" s="34">
        <v>0</v>
      </c>
      <c r="AA139" s="34">
        <f t="shared" si="2"/>
        <v>1</v>
      </c>
      <c r="AB139" s="34">
        <v>0</v>
      </c>
      <c r="AC139" s="43"/>
    </row>
    <row r="140" spans="2:29" ht="56.25" customHeight="1">
      <c r="B140" s="148">
        <v>137</v>
      </c>
      <c r="C140" s="26">
        <f>VLOOKUP(D140,'[1]Codes &amp; Descr. SFICS25'!B:C,2,FALSE)</f>
        <v>28</v>
      </c>
      <c r="D140" s="26" t="s">
        <v>946</v>
      </c>
      <c r="E140" s="26">
        <f>+VLOOKUP(F140,'[1]Codes &amp; Descr. SFICS25'!D:E,2,FALSE)</f>
        <v>2805</v>
      </c>
      <c r="F140" s="27" t="s">
        <v>998</v>
      </c>
      <c r="G140" s="27">
        <f>VLOOKUP(H140,'[1]Codes &amp; Descr. SFICS25'!F:H,2,FALSE)</f>
        <v>280505</v>
      </c>
      <c r="H140" s="26" t="s">
        <v>1028</v>
      </c>
      <c r="I140" s="26" t="s">
        <v>1029</v>
      </c>
      <c r="J140" s="26" t="s">
        <v>1030</v>
      </c>
      <c r="K140" s="26" t="s">
        <v>1031</v>
      </c>
      <c r="L140" s="28" t="s">
        <v>1031</v>
      </c>
      <c r="M140" s="39" t="s">
        <v>29</v>
      </c>
      <c r="N140" s="30" t="s">
        <v>1032</v>
      </c>
      <c r="O140" s="30" t="s">
        <v>1033</v>
      </c>
      <c r="P140" s="31" t="s">
        <v>1034</v>
      </c>
      <c r="Q140" s="31" t="s">
        <v>1035</v>
      </c>
      <c r="R140" s="30" t="s">
        <v>40</v>
      </c>
      <c r="S140" s="30" t="s">
        <v>40</v>
      </c>
      <c r="T140" s="32" t="s">
        <v>955</v>
      </c>
      <c r="U140" s="33">
        <v>0</v>
      </c>
      <c r="V140" s="34">
        <v>0</v>
      </c>
      <c r="W140" s="47" t="s">
        <v>185</v>
      </c>
      <c r="X140" s="34">
        <v>0</v>
      </c>
      <c r="Y140" s="34">
        <v>0</v>
      </c>
      <c r="Z140" s="34">
        <v>0</v>
      </c>
      <c r="AA140" s="34">
        <f t="shared" si="2"/>
        <v>1</v>
      </c>
      <c r="AB140" s="34">
        <v>0</v>
      </c>
      <c r="AC140" s="41"/>
    </row>
    <row r="141" spans="2:29" ht="32.25" customHeight="1">
      <c r="B141" s="148">
        <v>138</v>
      </c>
      <c r="C141" s="26">
        <f>VLOOKUP(D141,'[1]Codes &amp; Descr. SFICS25'!B:C,2,FALSE)</f>
        <v>28</v>
      </c>
      <c r="D141" s="26" t="s">
        <v>946</v>
      </c>
      <c r="E141" s="26">
        <f>+VLOOKUP(F141,'[1]Codes &amp; Descr. SFICS25'!D:E,2,FALSE)</f>
        <v>2801</v>
      </c>
      <c r="F141" s="27" t="s">
        <v>1036</v>
      </c>
      <c r="G141" s="27">
        <f>VLOOKUP(H141,'[1]Codes &amp; Descr. SFICS25'!F:H,2,FALSE)</f>
        <v>280101</v>
      </c>
      <c r="H141" s="26" t="s">
        <v>1037</v>
      </c>
      <c r="I141" s="26" t="s">
        <v>1038</v>
      </c>
      <c r="J141" s="26" t="s">
        <v>1038</v>
      </c>
      <c r="K141" s="27" t="s">
        <v>1037</v>
      </c>
      <c r="L141" s="28" t="s">
        <v>1037</v>
      </c>
      <c r="M141" s="39" t="s">
        <v>29</v>
      </c>
      <c r="N141" s="30" t="s">
        <v>1039</v>
      </c>
      <c r="O141" s="30" t="s">
        <v>1040</v>
      </c>
      <c r="P141" s="31" t="s">
        <v>40</v>
      </c>
      <c r="Q141" s="31" t="s">
        <v>1041</v>
      </c>
      <c r="R141" s="30" t="s">
        <v>40</v>
      </c>
      <c r="S141" s="30" t="s">
        <v>40</v>
      </c>
      <c r="T141" s="32" t="s">
        <v>955</v>
      </c>
      <c r="U141" s="34">
        <v>0</v>
      </c>
      <c r="V141" s="34">
        <v>0</v>
      </c>
      <c r="W141" s="34">
        <v>0</v>
      </c>
      <c r="X141" s="33" t="s">
        <v>43</v>
      </c>
      <c r="Y141" s="34">
        <v>0</v>
      </c>
      <c r="Z141" s="34">
        <v>0</v>
      </c>
      <c r="AA141" s="34">
        <f t="shared" si="2"/>
        <v>0</v>
      </c>
      <c r="AB141" s="34">
        <v>0</v>
      </c>
      <c r="AC141" s="43"/>
    </row>
    <row r="142" spans="2:29" ht="32.25" customHeight="1">
      <c r="B142" s="148">
        <v>139</v>
      </c>
      <c r="C142" s="26">
        <f>VLOOKUP(D142,'[1]Codes &amp; Descr. SFICS25'!B:C,2,FALSE)</f>
        <v>28</v>
      </c>
      <c r="D142" s="26" t="s">
        <v>946</v>
      </c>
      <c r="E142" s="26">
        <f>+VLOOKUP(F142,'[1]Codes &amp; Descr. SFICS25'!D:E,2,FALSE)</f>
        <v>2801</v>
      </c>
      <c r="F142" s="27" t="s">
        <v>1036</v>
      </c>
      <c r="G142" s="27">
        <f>VLOOKUP(H142,'[1]Codes &amp; Descr. SFICS25'!F:H,2,FALSE)</f>
        <v>280102</v>
      </c>
      <c r="H142" s="26" t="s">
        <v>1042</v>
      </c>
      <c r="I142" s="26" t="s">
        <v>1043</v>
      </c>
      <c r="J142" s="26" t="s">
        <v>1043</v>
      </c>
      <c r="K142" s="27" t="s">
        <v>1042</v>
      </c>
      <c r="L142" s="28" t="s">
        <v>1042</v>
      </c>
      <c r="M142" s="39" t="s">
        <v>29</v>
      </c>
      <c r="N142" s="30" t="s">
        <v>1044</v>
      </c>
      <c r="O142" s="30" t="s">
        <v>1045</v>
      </c>
      <c r="P142" s="31" t="s">
        <v>40</v>
      </c>
      <c r="Q142" s="31" t="s">
        <v>1046</v>
      </c>
      <c r="R142" s="30" t="s">
        <v>40</v>
      </c>
      <c r="S142" s="30" t="s">
        <v>40</v>
      </c>
      <c r="T142" s="32" t="s">
        <v>955</v>
      </c>
      <c r="U142" s="34">
        <v>0</v>
      </c>
      <c r="V142" s="34">
        <v>0</v>
      </c>
      <c r="W142" s="34">
        <v>0</v>
      </c>
      <c r="X142" s="33" t="s">
        <v>43</v>
      </c>
      <c r="Y142" s="34">
        <v>0</v>
      </c>
      <c r="Z142" s="34">
        <v>0</v>
      </c>
      <c r="AA142" s="34">
        <f t="shared" si="2"/>
        <v>0</v>
      </c>
      <c r="AB142" s="34">
        <v>0</v>
      </c>
      <c r="AC142" s="43"/>
    </row>
    <row r="143" spans="2:29" ht="32.25" customHeight="1">
      <c r="B143" s="148">
        <v>140</v>
      </c>
      <c r="C143" s="26">
        <f>VLOOKUP(D143,'[1]Codes &amp; Descr. SFICS25'!B:C,2,FALSE)</f>
        <v>28</v>
      </c>
      <c r="D143" s="26" t="s">
        <v>946</v>
      </c>
      <c r="E143" s="26">
        <f>+VLOOKUP(F143,'[1]Codes &amp; Descr. SFICS25'!D:E,2,FALSE)</f>
        <v>2801</v>
      </c>
      <c r="F143" s="27" t="s">
        <v>1036</v>
      </c>
      <c r="G143" s="27">
        <f>VLOOKUP(H143,'[1]Codes &amp; Descr. SFICS25'!F:H,2,FALSE)</f>
        <v>280103</v>
      </c>
      <c r="H143" s="26" t="s">
        <v>1047</v>
      </c>
      <c r="I143" s="26" t="s">
        <v>1048</v>
      </c>
      <c r="J143" s="26" t="s">
        <v>1049</v>
      </c>
      <c r="K143" s="27" t="s">
        <v>1050</v>
      </c>
      <c r="L143" s="28" t="s">
        <v>1050</v>
      </c>
      <c r="M143" s="39" t="s">
        <v>29</v>
      </c>
      <c r="N143" s="30" t="s">
        <v>40</v>
      </c>
      <c r="O143" s="30" t="s">
        <v>40</v>
      </c>
      <c r="P143" s="31" t="s">
        <v>40</v>
      </c>
      <c r="Q143" s="31" t="s">
        <v>1051</v>
      </c>
      <c r="R143" s="30" t="s">
        <v>40</v>
      </c>
      <c r="S143" s="30" t="s">
        <v>40</v>
      </c>
      <c r="T143" s="32" t="s">
        <v>955</v>
      </c>
      <c r="U143" s="34">
        <v>0</v>
      </c>
      <c r="V143" s="34">
        <v>0</v>
      </c>
      <c r="W143" s="34">
        <v>0</v>
      </c>
      <c r="X143" s="33" t="s">
        <v>43</v>
      </c>
      <c r="Y143" s="34">
        <v>0</v>
      </c>
      <c r="Z143" s="34">
        <v>0</v>
      </c>
      <c r="AA143" s="34">
        <f t="shared" si="2"/>
        <v>0</v>
      </c>
      <c r="AB143" s="34">
        <v>0</v>
      </c>
    </row>
    <row r="144" spans="2:29" ht="32.25" customHeight="1">
      <c r="B144" s="148">
        <v>141</v>
      </c>
      <c r="C144" s="26">
        <f>VLOOKUP(D144,'[1]Codes &amp; Descr. SFICS25'!B:C,2,FALSE)</f>
        <v>28</v>
      </c>
      <c r="D144" s="26" t="s">
        <v>946</v>
      </c>
      <c r="E144" s="26">
        <f>+VLOOKUP(F144,'[1]Codes &amp; Descr. SFICS25'!D:E,2,FALSE)</f>
        <v>2801</v>
      </c>
      <c r="F144" s="27" t="s">
        <v>1036</v>
      </c>
      <c r="G144" s="27">
        <f>VLOOKUP(H144,'[1]Codes &amp; Descr. SFICS25'!F:H,2,FALSE)</f>
        <v>280104</v>
      </c>
      <c r="H144" s="26" t="s">
        <v>1052</v>
      </c>
      <c r="I144" s="26" t="s">
        <v>1053</v>
      </c>
      <c r="J144" s="26" t="s">
        <v>1053</v>
      </c>
      <c r="K144" s="27" t="s">
        <v>1052</v>
      </c>
      <c r="L144" s="28" t="s">
        <v>1052</v>
      </c>
      <c r="M144" s="39" t="s">
        <v>29</v>
      </c>
      <c r="N144" s="30" t="s">
        <v>40</v>
      </c>
      <c r="O144" s="30" t="s">
        <v>40</v>
      </c>
      <c r="P144" s="31" t="s">
        <v>40</v>
      </c>
      <c r="Q144" s="31" t="s">
        <v>1054</v>
      </c>
      <c r="R144" s="30" t="s">
        <v>40</v>
      </c>
      <c r="S144" s="30" t="s">
        <v>40</v>
      </c>
      <c r="T144" s="32" t="s">
        <v>955</v>
      </c>
      <c r="U144" s="34">
        <v>0</v>
      </c>
      <c r="V144" s="34">
        <v>0</v>
      </c>
      <c r="W144" s="34">
        <v>0</v>
      </c>
      <c r="X144" s="33" t="s">
        <v>43</v>
      </c>
      <c r="Y144" s="34">
        <v>0</v>
      </c>
      <c r="Z144" s="34">
        <v>0</v>
      </c>
      <c r="AA144" s="34">
        <f t="shared" si="2"/>
        <v>0</v>
      </c>
      <c r="AB144" s="34">
        <v>0</v>
      </c>
    </row>
    <row r="145" spans="2:29" ht="32.25" customHeight="1">
      <c r="B145" s="148">
        <v>142</v>
      </c>
      <c r="C145" s="26">
        <f>VLOOKUP(D145,'[1]Codes &amp; Descr. SFICS25'!B:C,2,FALSE)</f>
        <v>28</v>
      </c>
      <c r="D145" s="26" t="s">
        <v>946</v>
      </c>
      <c r="E145" s="26">
        <f>+VLOOKUP(F145,'[1]Codes &amp; Descr. SFICS25'!D:E,2,FALSE)</f>
        <v>2801</v>
      </c>
      <c r="F145" s="27" t="s">
        <v>1036</v>
      </c>
      <c r="G145" s="27">
        <f>VLOOKUP(H145,'[1]Codes &amp; Descr. SFICS25'!F:H,2,FALSE)</f>
        <v>280105</v>
      </c>
      <c r="H145" s="26" t="s">
        <v>1055</v>
      </c>
      <c r="I145" s="26" t="s">
        <v>1056</v>
      </c>
      <c r="J145" s="26" t="s">
        <v>1057</v>
      </c>
      <c r="K145" s="27" t="s">
        <v>1058</v>
      </c>
      <c r="L145" s="28" t="s">
        <v>1058</v>
      </c>
      <c r="M145" s="39" t="s">
        <v>29</v>
      </c>
      <c r="N145" s="30" t="s">
        <v>1059</v>
      </c>
      <c r="O145" s="30" t="s">
        <v>1060</v>
      </c>
      <c r="P145" s="31" t="s">
        <v>40</v>
      </c>
      <c r="Q145" s="31" t="s">
        <v>1061</v>
      </c>
      <c r="R145" s="30" t="s">
        <v>40</v>
      </c>
      <c r="S145" s="30" t="s">
        <v>40</v>
      </c>
      <c r="T145" s="32" t="s">
        <v>955</v>
      </c>
      <c r="U145" s="34">
        <v>0</v>
      </c>
      <c r="V145" s="34">
        <v>0</v>
      </c>
      <c r="W145" s="34">
        <v>0</v>
      </c>
      <c r="X145" s="33" t="s">
        <v>43</v>
      </c>
      <c r="Y145" s="34">
        <v>0</v>
      </c>
      <c r="Z145" s="34">
        <v>0</v>
      </c>
      <c r="AA145" s="34">
        <f t="shared" si="2"/>
        <v>0</v>
      </c>
      <c r="AB145" s="34">
        <v>0</v>
      </c>
    </row>
    <row r="146" spans="2:29" ht="32.25" customHeight="1">
      <c r="B146" s="148">
        <v>143</v>
      </c>
      <c r="C146" s="26">
        <f>VLOOKUP(D146,'[1]Codes &amp; Descr. SFICS25'!B:C,2,FALSE)</f>
        <v>28</v>
      </c>
      <c r="D146" s="26" t="s">
        <v>946</v>
      </c>
      <c r="E146" s="26">
        <f>+VLOOKUP(F146,'[1]Codes &amp; Descr. SFICS25'!D:E,2,FALSE)</f>
        <v>2801</v>
      </c>
      <c r="F146" s="27" t="s">
        <v>1036</v>
      </c>
      <c r="G146" s="27">
        <f>VLOOKUP(H146,'[1]Codes &amp; Descr. SFICS25'!F:H,2,FALSE)</f>
        <v>280106</v>
      </c>
      <c r="H146" s="26" t="s">
        <v>1062</v>
      </c>
      <c r="I146" s="26" t="s">
        <v>1063</v>
      </c>
      <c r="J146" s="26" t="s">
        <v>1064</v>
      </c>
      <c r="K146" s="27" t="s">
        <v>1065</v>
      </c>
      <c r="L146" s="28" t="s">
        <v>1066</v>
      </c>
      <c r="M146" s="39" t="s">
        <v>29</v>
      </c>
      <c r="N146" s="30" t="s">
        <v>1067</v>
      </c>
      <c r="O146" s="30" t="s">
        <v>1068</v>
      </c>
      <c r="P146" s="31" t="s">
        <v>631</v>
      </c>
      <c r="Q146" s="31" t="s">
        <v>1069</v>
      </c>
      <c r="R146" s="30" t="s">
        <v>40</v>
      </c>
      <c r="S146" s="30" t="s">
        <v>40</v>
      </c>
      <c r="T146" s="32" t="s">
        <v>955</v>
      </c>
      <c r="U146" s="34">
        <v>0</v>
      </c>
      <c r="V146" s="34">
        <v>0</v>
      </c>
      <c r="W146" s="34">
        <v>0</v>
      </c>
      <c r="X146" s="33" t="s">
        <v>185</v>
      </c>
      <c r="Y146" s="34">
        <v>0</v>
      </c>
      <c r="Z146" s="34">
        <v>0</v>
      </c>
      <c r="AA146" s="34">
        <f t="shared" si="2"/>
        <v>1</v>
      </c>
      <c r="AB146" s="34">
        <v>0</v>
      </c>
    </row>
    <row r="147" spans="2:29" ht="32.25" customHeight="1">
      <c r="B147" s="148">
        <v>144</v>
      </c>
      <c r="C147" s="26">
        <f>VLOOKUP(D147,'[1]Codes &amp; Descr. SFICS25'!B:C,2,FALSE)</f>
        <v>28</v>
      </c>
      <c r="D147" s="26" t="s">
        <v>946</v>
      </c>
      <c r="E147" s="26">
        <f>+VLOOKUP(F147,'[1]Codes &amp; Descr. SFICS25'!D:E,2,FALSE)</f>
        <v>2807</v>
      </c>
      <c r="F147" s="27" t="s">
        <v>1070</v>
      </c>
      <c r="G147" s="27">
        <f>VLOOKUP(H147,'[1]Codes &amp; Descr. SFICS25'!F:H,2,FALSE)</f>
        <v>280701</v>
      </c>
      <c r="H147" s="26" t="s">
        <v>1071</v>
      </c>
      <c r="I147" s="26" t="s">
        <v>1072</v>
      </c>
      <c r="J147" s="26" t="s">
        <v>1073</v>
      </c>
      <c r="K147" s="27" t="s">
        <v>1074</v>
      </c>
      <c r="L147" s="28" t="s">
        <v>1074</v>
      </c>
      <c r="M147" s="39" t="s">
        <v>29</v>
      </c>
      <c r="N147" s="30" t="s">
        <v>40</v>
      </c>
      <c r="O147" s="30" t="s">
        <v>40</v>
      </c>
      <c r="P147" s="31" t="s">
        <v>40</v>
      </c>
      <c r="Q147" s="31" t="s">
        <v>1075</v>
      </c>
      <c r="R147" s="30" t="s">
        <v>40</v>
      </c>
      <c r="S147" s="30" t="s">
        <v>40</v>
      </c>
      <c r="T147" s="32" t="s">
        <v>955</v>
      </c>
      <c r="U147" s="33" t="s">
        <v>237</v>
      </c>
      <c r="V147" s="33" t="s">
        <v>43</v>
      </c>
      <c r="W147" s="34">
        <v>0</v>
      </c>
      <c r="X147" s="34">
        <v>0</v>
      </c>
      <c r="Y147" s="34">
        <v>0</v>
      </c>
      <c r="Z147" s="34">
        <v>0</v>
      </c>
      <c r="AA147" s="34">
        <f t="shared" si="2"/>
        <v>0</v>
      </c>
      <c r="AB147" s="34">
        <v>0</v>
      </c>
    </row>
    <row r="148" spans="2:29" ht="94.5" customHeight="1">
      <c r="B148" s="148">
        <v>145</v>
      </c>
      <c r="C148" s="26">
        <f>VLOOKUP(D148,'[1]Codes &amp; Descr. SFICS25'!B:C,2,FALSE)</f>
        <v>28</v>
      </c>
      <c r="D148" s="26" t="s">
        <v>946</v>
      </c>
      <c r="E148" s="26">
        <f>+VLOOKUP(F148,'[1]Codes &amp; Descr. SFICS25'!D:E,2,FALSE)</f>
        <v>2807</v>
      </c>
      <c r="F148" s="27" t="s">
        <v>1070</v>
      </c>
      <c r="G148" s="27">
        <f>VLOOKUP(H148,'[1]Codes &amp; Descr. SFICS25'!F:H,2,FALSE)</f>
        <v>280702</v>
      </c>
      <c r="H148" s="26" t="s">
        <v>1076</v>
      </c>
      <c r="I148" s="26" t="s">
        <v>1077</v>
      </c>
      <c r="J148" s="26" t="s">
        <v>1078</v>
      </c>
      <c r="K148" s="27" t="s">
        <v>1079</v>
      </c>
      <c r="L148" s="28" t="s">
        <v>1079</v>
      </c>
      <c r="M148" s="39" t="s">
        <v>29</v>
      </c>
      <c r="N148" s="30" t="s">
        <v>40</v>
      </c>
      <c r="O148" s="30" t="s">
        <v>40</v>
      </c>
      <c r="P148" s="31" t="s">
        <v>1080</v>
      </c>
      <c r="Q148" s="31" t="s">
        <v>1081</v>
      </c>
      <c r="R148" s="30" t="s">
        <v>40</v>
      </c>
      <c r="S148" s="30" t="s">
        <v>40</v>
      </c>
      <c r="T148" s="32" t="s">
        <v>955</v>
      </c>
      <c r="U148" s="33" t="s">
        <v>237</v>
      </c>
      <c r="V148" s="33" t="s">
        <v>43</v>
      </c>
      <c r="W148" s="34">
        <v>0</v>
      </c>
      <c r="X148" s="34">
        <v>0</v>
      </c>
      <c r="Y148" s="34">
        <v>0</v>
      </c>
      <c r="Z148" s="34">
        <v>0</v>
      </c>
      <c r="AA148" s="34">
        <f t="shared" si="2"/>
        <v>1</v>
      </c>
      <c r="AB148" s="34">
        <v>0</v>
      </c>
      <c r="AC148" s="41"/>
    </row>
    <row r="149" spans="2:29" ht="32.25" customHeight="1">
      <c r="B149" s="148">
        <v>146</v>
      </c>
      <c r="C149" s="26">
        <f>VLOOKUP(D149,'[1]Codes &amp; Descr. SFICS25'!B:C,2,FALSE)</f>
        <v>28</v>
      </c>
      <c r="D149" s="26" t="s">
        <v>946</v>
      </c>
      <c r="E149" s="26">
        <f>+VLOOKUP(F149,'[1]Codes &amp; Descr. SFICS25'!D:E,2,FALSE)</f>
        <v>2807</v>
      </c>
      <c r="F149" s="27" t="s">
        <v>1070</v>
      </c>
      <c r="G149" s="27">
        <f>VLOOKUP(H149,'[1]Codes &amp; Descr. SFICS25'!F:H,2,FALSE)</f>
        <v>280703</v>
      </c>
      <c r="H149" s="26" t="s">
        <v>1082</v>
      </c>
      <c r="I149" s="26" t="s">
        <v>1083</v>
      </c>
      <c r="J149" s="26" t="s">
        <v>1084</v>
      </c>
      <c r="K149" s="27" t="s">
        <v>1085</v>
      </c>
      <c r="L149" s="28" t="s">
        <v>1086</v>
      </c>
      <c r="M149" s="39" t="s">
        <v>29</v>
      </c>
      <c r="N149" s="30" t="s">
        <v>1087</v>
      </c>
      <c r="O149" s="30" t="s">
        <v>1088</v>
      </c>
      <c r="P149" s="31" t="s">
        <v>1089</v>
      </c>
      <c r="Q149" s="31" t="s">
        <v>1090</v>
      </c>
      <c r="R149" s="30" t="s">
        <v>40</v>
      </c>
      <c r="S149" s="30" t="s">
        <v>40</v>
      </c>
      <c r="T149" s="32" t="s">
        <v>955</v>
      </c>
      <c r="U149" s="33" t="s">
        <v>237</v>
      </c>
      <c r="V149" s="33" t="s">
        <v>43</v>
      </c>
      <c r="W149" s="34">
        <v>0</v>
      </c>
      <c r="X149" s="34">
        <v>0</v>
      </c>
      <c r="Y149" s="34">
        <v>0</v>
      </c>
      <c r="Z149" s="34">
        <v>0</v>
      </c>
      <c r="AA149" s="34">
        <f t="shared" si="2"/>
        <v>1</v>
      </c>
      <c r="AB149" s="34">
        <v>0</v>
      </c>
      <c r="AC149" s="43"/>
    </row>
    <row r="150" spans="2:29" ht="32.25" customHeight="1">
      <c r="B150" s="148">
        <v>147</v>
      </c>
      <c r="C150" s="26">
        <f>VLOOKUP(D150,'[1]Codes &amp; Descr. SFICS25'!B:C,2,FALSE)</f>
        <v>28</v>
      </c>
      <c r="D150" s="26" t="s">
        <v>946</v>
      </c>
      <c r="E150" s="26">
        <f>+VLOOKUP(F150,'[1]Codes &amp; Descr. SFICS25'!D:E,2,FALSE)</f>
        <v>2807</v>
      </c>
      <c r="F150" s="27" t="s">
        <v>1070</v>
      </c>
      <c r="G150" s="27">
        <f>VLOOKUP(H150,'[1]Codes &amp; Descr. SFICS25'!F:H,2,FALSE)</f>
        <v>280704</v>
      </c>
      <c r="H150" s="26" t="s">
        <v>1091</v>
      </c>
      <c r="I150" s="26" t="s">
        <v>1092</v>
      </c>
      <c r="J150" s="26" t="s">
        <v>1093</v>
      </c>
      <c r="K150" s="27" t="s">
        <v>1094</v>
      </c>
      <c r="L150" s="28" t="s">
        <v>1094</v>
      </c>
      <c r="M150" s="39" t="s">
        <v>29</v>
      </c>
      <c r="N150" s="30" t="s">
        <v>40</v>
      </c>
      <c r="O150" s="30" t="s">
        <v>40</v>
      </c>
      <c r="P150" s="31" t="s">
        <v>1095</v>
      </c>
      <c r="Q150" s="31" t="s">
        <v>1096</v>
      </c>
      <c r="R150" s="30" t="s">
        <v>40</v>
      </c>
      <c r="S150" s="30" t="s">
        <v>40</v>
      </c>
      <c r="T150" s="32" t="s">
        <v>955</v>
      </c>
      <c r="U150" s="33" t="s">
        <v>43</v>
      </c>
      <c r="V150" s="33" t="s">
        <v>43</v>
      </c>
      <c r="W150" s="34">
        <v>0</v>
      </c>
      <c r="X150" s="34">
        <v>0</v>
      </c>
      <c r="Y150" s="34">
        <v>0</v>
      </c>
      <c r="Z150" s="34">
        <v>0</v>
      </c>
      <c r="AA150" s="34">
        <f t="shared" si="2"/>
        <v>1</v>
      </c>
      <c r="AB150" s="34">
        <v>0</v>
      </c>
      <c r="AC150" s="43"/>
    </row>
    <row r="151" spans="2:29" ht="32.25" customHeight="1">
      <c r="B151" s="148">
        <v>148</v>
      </c>
      <c r="C151" s="26">
        <f>VLOOKUP(D151,'[1]Codes &amp; Descr. SFICS25'!B:C,2,FALSE)</f>
        <v>28</v>
      </c>
      <c r="D151" s="26" t="s">
        <v>946</v>
      </c>
      <c r="E151" s="26">
        <f>+VLOOKUP(F151,'[1]Codes &amp; Descr. SFICS25'!D:E,2,FALSE)</f>
        <v>2807</v>
      </c>
      <c r="F151" s="27" t="s">
        <v>1070</v>
      </c>
      <c r="G151" s="27">
        <f>VLOOKUP(H151,'[1]Codes &amp; Descr. SFICS25'!F:H,2,FALSE)</f>
        <v>280705</v>
      </c>
      <c r="H151" s="26" t="s">
        <v>1097</v>
      </c>
      <c r="I151" s="26" t="s">
        <v>1098</v>
      </c>
      <c r="J151" s="26" t="s">
        <v>1099</v>
      </c>
      <c r="K151" s="27" t="s">
        <v>1100</v>
      </c>
      <c r="L151" s="28" t="s">
        <v>1100</v>
      </c>
      <c r="M151" s="39" t="s">
        <v>29</v>
      </c>
      <c r="N151" s="30" t="s">
        <v>40</v>
      </c>
      <c r="O151" s="30" t="s">
        <v>40</v>
      </c>
      <c r="P151" s="31" t="s">
        <v>40</v>
      </c>
      <c r="Q151" s="31" t="s">
        <v>1101</v>
      </c>
      <c r="R151" s="30" t="s">
        <v>40</v>
      </c>
      <c r="S151" s="30" t="s">
        <v>40</v>
      </c>
      <c r="T151" s="32" t="s">
        <v>955</v>
      </c>
      <c r="U151" s="33" t="s">
        <v>237</v>
      </c>
      <c r="V151" s="33" t="s">
        <v>43</v>
      </c>
      <c r="W151" s="34">
        <v>0</v>
      </c>
      <c r="X151" s="34">
        <v>0</v>
      </c>
      <c r="Y151" s="34">
        <v>0</v>
      </c>
      <c r="Z151" s="34">
        <v>0</v>
      </c>
      <c r="AA151" s="34">
        <f>IF(P151="Not applicable",0,1)</f>
        <v>0</v>
      </c>
      <c r="AB151" s="34">
        <v>0</v>
      </c>
      <c r="AC151" s="43"/>
    </row>
    <row r="152" spans="2:29" ht="32.25" customHeight="1">
      <c r="B152" s="148">
        <v>149</v>
      </c>
      <c r="C152" s="26">
        <f>VLOOKUP(D152,'[1]Codes &amp; Descr. SFICS25'!B:C,2,FALSE)</f>
        <v>28</v>
      </c>
      <c r="D152" s="26" t="s">
        <v>946</v>
      </c>
      <c r="E152" s="26">
        <f>+VLOOKUP(F152,'[1]Codes &amp; Descr. SFICS25'!D:E,2,FALSE)</f>
        <v>2807</v>
      </c>
      <c r="F152" s="27" t="s">
        <v>1070</v>
      </c>
      <c r="G152" s="27">
        <f>VLOOKUP(H152,'[1]Codes &amp; Descr. SFICS25'!F:H,2,FALSE)</f>
        <v>280706</v>
      </c>
      <c r="H152" s="26" t="s">
        <v>1102</v>
      </c>
      <c r="I152" s="26" t="s">
        <v>1103</v>
      </c>
      <c r="J152" s="26" t="s">
        <v>1104</v>
      </c>
      <c r="K152" s="27" t="s">
        <v>1105</v>
      </c>
      <c r="L152" s="28" t="s">
        <v>281</v>
      </c>
      <c r="M152" s="39" t="s">
        <v>29</v>
      </c>
      <c r="N152" s="30" t="s">
        <v>40</v>
      </c>
      <c r="O152" s="30" t="s">
        <v>40</v>
      </c>
      <c r="P152" s="31" t="s">
        <v>1106</v>
      </c>
      <c r="Q152" s="31" t="s">
        <v>40</v>
      </c>
      <c r="R152" s="30" t="s">
        <v>40</v>
      </c>
      <c r="S152" s="30" t="s">
        <v>40</v>
      </c>
      <c r="T152" s="32" t="s">
        <v>955</v>
      </c>
      <c r="U152" s="33">
        <v>0</v>
      </c>
      <c r="V152" s="34">
        <v>0</v>
      </c>
      <c r="W152" s="34">
        <v>0</v>
      </c>
      <c r="X152" s="34">
        <v>0</v>
      </c>
      <c r="Y152" s="34">
        <v>0</v>
      </c>
      <c r="Z152" s="34">
        <v>0</v>
      </c>
      <c r="AA152" s="34">
        <f t="shared" si="2"/>
        <v>1</v>
      </c>
      <c r="AB152" s="34">
        <v>0</v>
      </c>
      <c r="AC152" s="43"/>
    </row>
    <row r="153" spans="2:29" ht="32.25" customHeight="1">
      <c r="B153" s="148">
        <v>150</v>
      </c>
      <c r="C153" s="26">
        <f>VLOOKUP(D153,'[1]Codes &amp; Descr. SFICS25'!B:C,2,FALSE)</f>
        <v>28</v>
      </c>
      <c r="D153" s="26" t="s">
        <v>946</v>
      </c>
      <c r="E153" s="26">
        <f>+VLOOKUP(F153,'[1]Codes &amp; Descr. SFICS25'!D:E,2,FALSE)</f>
        <v>2801</v>
      </c>
      <c r="F153" s="46" t="s">
        <v>1036</v>
      </c>
      <c r="G153" s="48">
        <f>VLOOKUP(H153,'[1]Codes &amp; Descr. SFICS25'!F:H,2,FALSE)</f>
        <v>280107</v>
      </c>
      <c r="H153" s="46" t="s">
        <v>1107</v>
      </c>
      <c r="I153" s="46" t="s">
        <v>1108</v>
      </c>
      <c r="J153" s="46" t="s">
        <v>1109</v>
      </c>
      <c r="K153" s="27" t="s">
        <v>1110</v>
      </c>
      <c r="L153" s="28"/>
      <c r="M153" s="49" t="s">
        <v>29</v>
      </c>
      <c r="N153" s="30" t="s">
        <v>1111</v>
      </c>
      <c r="O153" s="30" t="s">
        <v>1112</v>
      </c>
      <c r="P153" s="31" t="s">
        <v>40</v>
      </c>
      <c r="Q153" s="31" t="s">
        <v>1113</v>
      </c>
      <c r="R153" s="30" t="s">
        <v>40</v>
      </c>
      <c r="S153" s="30" t="s">
        <v>40</v>
      </c>
      <c r="T153" s="32" t="s">
        <v>955</v>
      </c>
      <c r="U153" s="33">
        <v>0</v>
      </c>
      <c r="V153" s="33">
        <v>0</v>
      </c>
      <c r="W153" s="33">
        <v>0</v>
      </c>
      <c r="X153" s="50" t="s">
        <v>43</v>
      </c>
      <c r="Y153" s="33">
        <v>0</v>
      </c>
      <c r="Z153" s="33">
        <v>0</v>
      </c>
      <c r="AA153" s="34">
        <f>IF(P153="Not applicable",0,1)</f>
        <v>0</v>
      </c>
      <c r="AB153" s="34">
        <v>0</v>
      </c>
      <c r="AC153" s="43"/>
    </row>
    <row r="154" spans="2:29" ht="32.25" customHeight="1">
      <c r="B154" s="148">
        <v>151</v>
      </c>
      <c r="C154" s="26">
        <f>VLOOKUP(D154,'[1]Codes &amp; Descr. SFICS25'!B:C,2,FALSE)</f>
        <v>28</v>
      </c>
      <c r="D154" s="26" t="s">
        <v>946</v>
      </c>
      <c r="E154" s="26">
        <f>+VLOOKUP(F154,'[1]Codes &amp; Descr. SFICS25'!D:E,2,FALSE)</f>
        <v>2806</v>
      </c>
      <c r="F154" s="27" t="s">
        <v>1114</v>
      </c>
      <c r="G154" s="27">
        <f>VLOOKUP(H154,'[1]Codes &amp; Descr. SFICS25'!F:H,2,FALSE)</f>
        <v>280601</v>
      </c>
      <c r="H154" s="26" t="s">
        <v>1115</v>
      </c>
      <c r="I154" s="26" t="s">
        <v>1116</v>
      </c>
      <c r="J154" s="26" t="s">
        <v>1117</v>
      </c>
      <c r="K154" s="27" t="s">
        <v>1118</v>
      </c>
      <c r="L154" s="28" t="s">
        <v>1118</v>
      </c>
      <c r="M154" s="39" t="s">
        <v>29</v>
      </c>
      <c r="N154" s="30" t="s">
        <v>1119</v>
      </c>
      <c r="O154" s="30" t="s">
        <v>1120</v>
      </c>
      <c r="P154" s="31" t="s">
        <v>1121</v>
      </c>
      <c r="Q154" s="31" t="s">
        <v>1122</v>
      </c>
      <c r="R154" s="30" t="s">
        <v>40</v>
      </c>
      <c r="S154" s="30" t="s">
        <v>40</v>
      </c>
      <c r="T154" s="32" t="s">
        <v>955</v>
      </c>
      <c r="U154" s="33" t="s">
        <v>237</v>
      </c>
      <c r="V154" s="33" t="s">
        <v>43</v>
      </c>
      <c r="W154" s="34">
        <v>0</v>
      </c>
      <c r="X154" s="34">
        <v>0</v>
      </c>
      <c r="Y154" s="34">
        <v>0</v>
      </c>
      <c r="Z154" s="34">
        <v>0</v>
      </c>
      <c r="AA154" s="34">
        <f t="shared" si="2"/>
        <v>1</v>
      </c>
      <c r="AB154" s="34">
        <v>0</v>
      </c>
      <c r="AC154" s="43"/>
    </row>
    <row r="155" spans="2:29" ht="32.25" customHeight="1">
      <c r="B155" s="148">
        <v>152</v>
      </c>
      <c r="C155" s="26">
        <f>VLOOKUP(D155,'[1]Codes &amp; Descr. SFICS25'!B:C,2,FALSE)</f>
        <v>28</v>
      </c>
      <c r="D155" s="26" t="s">
        <v>946</v>
      </c>
      <c r="E155" s="26">
        <f>+VLOOKUP(F155,'[1]Codes &amp; Descr. SFICS25'!D:E,2,FALSE)</f>
        <v>2806</v>
      </c>
      <c r="F155" s="27" t="s">
        <v>1114</v>
      </c>
      <c r="G155" s="27">
        <f>VLOOKUP(H155,'[1]Codes &amp; Descr. SFICS25'!F:H,2,FALSE)</f>
        <v>280602</v>
      </c>
      <c r="H155" s="26" t="s">
        <v>1123</v>
      </c>
      <c r="I155" s="26" t="s">
        <v>1124</v>
      </c>
      <c r="J155" s="26" t="s">
        <v>1125</v>
      </c>
      <c r="K155" s="27" t="s">
        <v>1126</v>
      </c>
      <c r="L155" s="28" t="s">
        <v>1126</v>
      </c>
      <c r="M155" s="39" t="s">
        <v>29</v>
      </c>
      <c r="N155" s="30" t="s">
        <v>1127</v>
      </c>
      <c r="O155" s="30" t="s">
        <v>1128</v>
      </c>
      <c r="P155" s="31" t="s">
        <v>1129</v>
      </c>
      <c r="Q155" s="31" t="s">
        <v>1130</v>
      </c>
      <c r="R155" s="30" t="s">
        <v>40</v>
      </c>
      <c r="S155" s="30" t="s">
        <v>40</v>
      </c>
      <c r="T155" s="32" t="s">
        <v>955</v>
      </c>
      <c r="U155" s="33" t="s">
        <v>1131</v>
      </c>
      <c r="V155" s="33" t="s">
        <v>43</v>
      </c>
      <c r="W155" s="34">
        <v>0</v>
      </c>
      <c r="X155" s="34">
        <v>0</v>
      </c>
      <c r="Y155" s="34">
        <v>0</v>
      </c>
      <c r="Z155" s="34">
        <v>0</v>
      </c>
      <c r="AA155" s="34">
        <f t="shared" si="2"/>
        <v>1</v>
      </c>
      <c r="AB155" s="34">
        <v>0</v>
      </c>
      <c r="AC155" s="43"/>
    </row>
    <row r="156" spans="2:29" ht="32.25" customHeight="1">
      <c r="B156" s="148">
        <v>153</v>
      </c>
      <c r="C156" s="26">
        <f>VLOOKUP(D156,'[1]Codes &amp; Descr. SFICS25'!B:C,2,FALSE)</f>
        <v>28</v>
      </c>
      <c r="D156" s="26" t="s">
        <v>946</v>
      </c>
      <c r="E156" s="26">
        <f>+VLOOKUP(F156,'[1]Codes &amp; Descr. SFICS25'!D:E,2,FALSE)</f>
        <v>2806</v>
      </c>
      <c r="F156" s="27" t="s">
        <v>1114</v>
      </c>
      <c r="G156" s="27">
        <f>VLOOKUP(H156,'[1]Codes &amp; Descr. SFICS25'!F:H,2,FALSE)</f>
        <v>280603</v>
      </c>
      <c r="H156" s="26" t="s">
        <v>1132</v>
      </c>
      <c r="I156" s="26" t="s">
        <v>1133</v>
      </c>
      <c r="J156" s="26" t="s">
        <v>1134</v>
      </c>
      <c r="K156" s="27" t="s">
        <v>1135</v>
      </c>
      <c r="L156" s="28" t="s">
        <v>1135</v>
      </c>
      <c r="M156" s="39" t="s">
        <v>29</v>
      </c>
      <c r="N156" s="30" t="s">
        <v>40</v>
      </c>
      <c r="O156" s="30" t="s">
        <v>40</v>
      </c>
      <c r="P156" s="31" t="s">
        <v>1121</v>
      </c>
      <c r="Q156" s="31" t="s">
        <v>1136</v>
      </c>
      <c r="R156" s="30" t="s">
        <v>40</v>
      </c>
      <c r="S156" s="30" t="s">
        <v>40</v>
      </c>
      <c r="T156" s="32" t="s">
        <v>955</v>
      </c>
      <c r="U156" s="33" t="s">
        <v>237</v>
      </c>
      <c r="V156" s="33" t="s">
        <v>43</v>
      </c>
      <c r="W156" s="34">
        <v>0</v>
      </c>
      <c r="X156" s="34">
        <v>0</v>
      </c>
      <c r="Y156" s="34">
        <v>0</v>
      </c>
      <c r="Z156" s="34">
        <v>0</v>
      </c>
      <c r="AA156" s="34">
        <f t="shared" si="2"/>
        <v>1</v>
      </c>
      <c r="AB156" s="34">
        <v>0</v>
      </c>
      <c r="AC156" s="43"/>
    </row>
    <row r="157" spans="2:29" ht="32.25" customHeight="1">
      <c r="B157" s="148">
        <v>154</v>
      </c>
      <c r="C157" s="26">
        <f>VLOOKUP(D157,'[1]Codes &amp; Descr. SFICS25'!B:C,2,FALSE)</f>
        <v>28</v>
      </c>
      <c r="D157" s="26" t="s">
        <v>946</v>
      </c>
      <c r="E157" s="26">
        <f>+VLOOKUP(F157,'[1]Codes &amp; Descr. SFICS25'!D:E,2,FALSE)</f>
        <v>2806</v>
      </c>
      <c r="F157" s="27" t="s">
        <v>1114</v>
      </c>
      <c r="G157" s="27">
        <f>VLOOKUP(H157,'[1]Codes &amp; Descr. SFICS25'!F:H,2,FALSE)</f>
        <v>280604</v>
      </c>
      <c r="H157" s="26" t="s">
        <v>1137</v>
      </c>
      <c r="I157" s="26" t="s">
        <v>1138</v>
      </c>
      <c r="J157" s="26" t="s">
        <v>1139</v>
      </c>
      <c r="K157" s="27" t="s">
        <v>1140</v>
      </c>
      <c r="L157" s="28" t="s">
        <v>1140</v>
      </c>
      <c r="M157" s="39" t="s">
        <v>29</v>
      </c>
      <c r="N157" s="30" t="s">
        <v>40</v>
      </c>
      <c r="O157" s="30" t="s">
        <v>40</v>
      </c>
      <c r="P157" s="31" t="s">
        <v>1141</v>
      </c>
      <c r="Q157" s="31" t="s">
        <v>1142</v>
      </c>
      <c r="R157" s="30" t="s">
        <v>40</v>
      </c>
      <c r="S157" s="30" t="s">
        <v>40</v>
      </c>
      <c r="T157" s="32" t="s">
        <v>955</v>
      </c>
      <c r="U157" s="33" t="s">
        <v>237</v>
      </c>
      <c r="V157" s="33" t="s">
        <v>43</v>
      </c>
      <c r="W157" s="34">
        <v>0</v>
      </c>
      <c r="X157" s="34">
        <v>0</v>
      </c>
      <c r="Y157" s="34">
        <v>0</v>
      </c>
      <c r="Z157" s="34">
        <v>0</v>
      </c>
      <c r="AA157" s="34">
        <f t="shared" si="2"/>
        <v>1</v>
      </c>
      <c r="AB157" s="34">
        <v>0</v>
      </c>
      <c r="AC157" s="43"/>
    </row>
    <row r="158" spans="2:29" ht="32.25" customHeight="1">
      <c r="B158" s="148">
        <v>155</v>
      </c>
      <c r="C158" s="26">
        <f>VLOOKUP(D158,'[1]Codes &amp; Descr. SFICS25'!B:C,2,FALSE)</f>
        <v>28</v>
      </c>
      <c r="D158" s="26" t="s">
        <v>946</v>
      </c>
      <c r="E158" s="26">
        <f>+VLOOKUP(F158,'[1]Codes &amp; Descr. SFICS25'!D:E,2,FALSE)</f>
        <v>2808</v>
      </c>
      <c r="F158" s="27" t="s">
        <v>1143</v>
      </c>
      <c r="G158" s="27">
        <f>VLOOKUP(H158,'[1]Codes &amp; Descr. SFICS25'!F:H,2,FALSE)</f>
        <v>280801</v>
      </c>
      <c r="H158" s="26" t="s">
        <v>1144</v>
      </c>
      <c r="I158" s="26" t="s">
        <v>1145</v>
      </c>
      <c r="J158" s="26" t="s">
        <v>1146</v>
      </c>
      <c r="K158" s="27" t="s">
        <v>1147</v>
      </c>
      <c r="L158" s="28" t="s">
        <v>1147</v>
      </c>
      <c r="M158" s="39" t="s">
        <v>29</v>
      </c>
      <c r="N158" s="30" t="s">
        <v>1148</v>
      </c>
      <c r="O158" s="30" t="s">
        <v>1149</v>
      </c>
      <c r="P158" s="31" t="s">
        <v>1150</v>
      </c>
      <c r="Q158" s="31" t="s">
        <v>1151</v>
      </c>
      <c r="R158" s="30" t="s">
        <v>40</v>
      </c>
      <c r="S158" s="30" t="s">
        <v>40</v>
      </c>
      <c r="T158" s="32" t="s">
        <v>955</v>
      </c>
      <c r="U158" s="33" t="s">
        <v>237</v>
      </c>
      <c r="V158" s="33" t="s">
        <v>43</v>
      </c>
      <c r="W158" s="34">
        <v>0</v>
      </c>
      <c r="X158" s="34">
        <v>0</v>
      </c>
      <c r="Y158" s="34">
        <v>0</v>
      </c>
      <c r="Z158" s="34">
        <v>0</v>
      </c>
      <c r="AA158" s="34">
        <f t="shared" si="2"/>
        <v>1</v>
      </c>
      <c r="AB158" s="34">
        <v>0</v>
      </c>
      <c r="AC158" s="43"/>
    </row>
    <row r="159" spans="2:29" ht="32.25" customHeight="1">
      <c r="B159" s="148">
        <v>156</v>
      </c>
      <c r="C159" s="26">
        <f>VLOOKUP(D159,'[1]Codes &amp; Descr. SFICS25'!B:C,2,FALSE)</f>
        <v>28</v>
      </c>
      <c r="D159" s="26" t="s">
        <v>946</v>
      </c>
      <c r="E159" s="26">
        <f>+VLOOKUP(F159,'[1]Codes &amp; Descr. SFICS25'!D:E,2,FALSE)</f>
        <v>2808</v>
      </c>
      <c r="F159" s="27" t="s">
        <v>1143</v>
      </c>
      <c r="G159" s="27">
        <f>VLOOKUP(H159,'[1]Codes &amp; Descr. SFICS25'!F:H,2,FALSE)</f>
        <v>280802</v>
      </c>
      <c r="H159" s="26" t="s">
        <v>1152</v>
      </c>
      <c r="I159" s="26" t="s">
        <v>1153</v>
      </c>
      <c r="J159" s="26" t="s">
        <v>1154</v>
      </c>
      <c r="K159" s="27" t="s">
        <v>1155</v>
      </c>
      <c r="L159" s="28" t="s">
        <v>1155</v>
      </c>
      <c r="M159" s="39" t="s">
        <v>29</v>
      </c>
      <c r="N159" s="30" t="s">
        <v>40</v>
      </c>
      <c r="O159" s="30" t="s">
        <v>40</v>
      </c>
      <c r="P159" s="31" t="s">
        <v>653</v>
      </c>
      <c r="Q159" s="31" t="s">
        <v>1156</v>
      </c>
      <c r="R159" s="30" t="s">
        <v>40</v>
      </c>
      <c r="S159" s="30" t="s">
        <v>40</v>
      </c>
      <c r="T159" s="32" t="s">
        <v>955</v>
      </c>
      <c r="U159" s="34">
        <v>0</v>
      </c>
      <c r="V159" s="34">
        <v>0</v>
      </c>
      <c r="W159" s="34">
        <v>0</v>
      </c>
      <c r="X159" s="33" t="s">
        <v>237</v>
      </c>
      <c r="Y159" s="34">
        <v>0</v>
      </c>
      <c r="Z159" s="34">
        <v>0</v>
      </c>
      <c r="AA159" s="34">
        <f t="shared" si="2"/>
        <v>1</v>
      </c>
      <c r="AB159" s="34">
        <v>0</v>
      </c>
      <c r="AC159" s="41"/>
    </row>
    <row r="160" spans="2:29" ht="32.25" customHeight="1">
      <c r="B160" s="148">
        <v>157</v>
      </c>
      <c r="C160" s="26">
        <f>VLOOKUP(D160,'[1]Codes &amp; Descr. SFICS25'!B:C,2,FALSE)</f>
        <v>28</v>
      </c>
      <c r="D160" s="26" t="s">
        <v>946</v>
      </c>
      <c r="E160" s="26">
        <f>+VLOOKUP(F160,'[1]Codes &amp; Descr. SFICS25'!D:E,2,FALSE)</f>
        <v>2809</v>
      </c>
      <c r="F160" s="27" t="s">
        <v>1157</v>
      </c>
      <c r="G160" s="27">
        <f>VLOOKUP(H160,'[1]Codes &amp; Descr. SFICS25'!F:H,2,FALSE)</f>
        <v>280901</v>
      </c>
      <c r="H160" s="26" t="s">
        <v>1158</v>
      </c>
      <c r="I160" s="26" t="s">
        <v>1159</v>
      </c>
      <c r="J160" s="26" t="s">
        <v>1160</v>
      </c>
      <c r="K160" s="27" t="s">
        <v>1161</v>
      </c>
      <c r="L160" s="28" t="s">
        <v>1161</v>
      </c>
      <c r="M160" s="39" t="s">
        <v>29</v>
      </c>
      <c r="N160" s="30" t="s">
        <v>40</v>
      </c>
      <c r="O160" s="30" t="s">
        <v>40</v>
      </c>
      <c r="P160" s="31" t="s">
        <v>1162</v>
      </c>
      <c r="Q160" s="31" t="s">
        <v>1163</v>
      </c>
      <c r="R160" s="30" t="s">
        <v>40</v>
      </c>
      <c r="S160" s="30" t="s">
        <v>40</v>
      </c>
      <c r="T160" s="32" t="s">
        <v>955</v>
      </c>
      <c r="U160" s="34">
        <v>0</v>
      </c>
      <c r="V160" s="34">
        <v>0</v>
      </c>
      <c r="W160" s="34">
        <v>0</v>
      </c>
      <c r="X160" s="34">
        <v>0</v>
      </c>
      <c r="Y160" s="33" t="s">
        <v>43</v>
      </c>
      <c r="Z160" s="34">
        <v>0</v>
      </c>
      <c r="AA160" s="34">
        <f t="shared" si="2"/>
        <v>1</v>
      </c>
      <c r="AB160" s="34">
        <v>0</v>
      </c>
      <c r="AC160" s="43"/>
    </row>
    <row r="161" spans="1:29" ht="32.25" customHeight="1">
      <c r="B161" s="148">
        <v>158</v>
      </c>
      <c r="C161" s="26">
        <f>VLOOKUP(D161,'[1]Codes &amp; Descr. SFICS25'!B:C,2,FALSE)</f>
        <v>28</v>
      </c>
      <c r="D161" s="27" t="s">
        <v>946</v>
      </c>
      <c r="E161" s="26">
        <f>+VLOOKUP(F161,'[1]Codes &amp; Descr. SFICS25'!D:E,2,FALSE)</f>
        <v>2809</v>
      </c>
      <c r="F161" s="27" t="s">
        <v>1157</v>
      </c>
      <c r="G161" s="27">
        <f>VLOOKUP(H161,'[1]Codes &amp; Descr. SFICS25'!F:H,2,FALSE)</f>
        <v>280902</v>
      </c>
      <c r="H161" s="26" t="s">
        <v>1164</v>
      </c>
      <c r="I161" s="26" t="s">
        <v>1165</v>
      </c>
      <c r="J161" s="26" t="s">
        <v>1166</v>
      </c>
      <c r="K161" s="27" t="s">
        <v>1167</v>
      </c>
      <c r="L161" s="28" t="s">
        <v>1168</v>
      </c>
      <c r="M161" s="39" t="s">
        <v>29</v>
      </c>
      <c r="N161" s="30" t="s">
        <v>40</v>
      </c>
      <c r="O161" s="30" t="s">
        <v>40</v>
      </c>
      <c r="P161" s="31" t="s">
        <v>1169</v>
      </c>
      <c r="Q161" s="31" t="s">
        <v>1170</v>
      </c>
      <c r="R161" s="30" t="s">
        <v>40</v>
      </c>
      <c r="S161" s="30" t="s">
        <v>40</v>
      </c>
      <c r="T161" s="32" t="s">
        <v>955</v>
      </c>
      <c r="U161" s="34">
        <v>0</v>
      </c>
      <c r="V161" s="34">
        <v>0</v>
      </c>
      <c r="W161" s="34">
        <v>0</v>
      </c>
      <c r="X161" s="34">
        <v>0</v>
      </c>
      <c r="Y161" s="33" t="s">
        <v>43</v>
      </c>
      <c r="Z161" s="34">
        <v>0</v>
      </c>
      <c r="AA161" s="34">
        <f t="shared" si="2"/>
        <v>1</v>
      </c>
      <c r="AB161" s="34">
        <v>0</v>
      </c>
      <c r="AC161" s="43"/>
    </row>
    <row r="162" spans="1:29" ht="32.25" customHeight="1">
      <c r="B162" s="148">
        <v>159</v>
      </c>
      <c r="C162" s="26">
        <f>VLOOKUP(D162,'[1]Codes &amp; Descr. SFICS25'!B:C,2,FALSE)</f>
        <v>28</v>
      </c>
      <c r="D162" s="26" t="s">
        <v>946</v>
      </c>
      <c r="E162" s="26">
        <f>+VLOOKUP(F162,'[1]Codes &amp; Descr. SFICS25'!D:E,2,FALSE)</f>
        <v>2804</v>
      </c>
      <c r="F162" s="27" t="s">
        <v>1171</v>
      </c>
      <c r="G162" s="27" t="str">
        <f>VLOOKUP(H162,'[1]Codes &amp; Descr. SFICS25'!F:H,2,FALSE)</f>
        <v>-</v>
      </c>
      <c r="H162" s="26" t="s">
        <v>507</v>
      </c>
      <c r="I162" s="26" t="s">
        <v>507</v>
      </c>
      <c r="J162" s="26" t="s">
        <v>1172</v>
      </c>
      <c r="K162" s="27" t="s">
        <v>1173</v>
      </c>
      <c r="L162" s="28" t="s">
        <v>1174</v>
      </c>
      <c r="M162" s="39" t="s">
        <v>29</v>
      </c>
      <c r="N162" s="30" t="s">
        <v>1175</v>
      </c>
      <c r="O162" s="30" t="s">
        <v>1176</v>
      </c>
      <c r="P162" s="31" t="s">
        <v>40</v>
      </c>
      <c r="Q162" s="31" t="s">
        <v>1177</v>
      </c>
      <c r="R162" s="30" t="s">
        <v>40</v>
      </c>
      <c r="S162" s="30" t="s">
        <v>40</v>
      </c>
      <c r="T162" s="32" t="s">
        <v>955</v>
      </c>
      <c r="U162" s="33" t="s">
        <v>185</v>
      </c>
      <c r="V162" s="33" t="s">
        <v>43</v>
      </c>
      <c r="W162" s="34">
        <v>0</v>
      </c>
      <c r="X162" s="34">
        <v>0</v>
      </c>
      <c r="Y162" s="34">
        <v>0</v>
      </c>
      <c r="Z162" s="34">
        <v>0</v>
      </c>
      <c r="AA162" s="34">
        <f t="shared" si="2"/>
        <v>0</v>
      </c>
      <c r="AB162" s="34">
        <v>0</v>
      </c>
      <c r="AC162" s="43"/>
    </row>
    <row r="163" spans="1:29" ht="32.25" customHeight="1">
      <c r="A163" s="35"/>
      <c r="B163" s="148">
        <v>160</v>
      </c>
      <c r="C163" s="26">
        <f>VLOOKUP(D163,'[1]Codes &amp; Descr. SFICS25'!B:C,2,FALSE)</f>
        <v>29</v>
      </c>
      <c r="D163" s="26" t="s">
        <v>1178</v>
      </c>
      <c r="E163" s="26">
        <f>+VLOOKUP(F163,'[1]Codes &amp; Descr. SFICS25'!D:E,2,FALSE)</f>
        <v>2901</v>
      </c>
      <c r="F163" s="27" t="s">
        <v>1179</v>
      </c>
      <c r="G163" s="27" t="str">
        <f>VLOOKUP(H163,'[1]Codes &amp; Descr. SFICS25'!F:H,2,FALSE)</f>
        <v>-</v>
      </c>
      <c r="H163" s="26" t="s">
        <v>507</v>
      </c>
      <c r="I163" s="26" t="s">
        <v>507</v>
      </c>
      <c r="J163" s="26" t="s">
        <v>1180</v>
      </c>
      <c r="K163" s="27" t="s">
        <v>1181</v>
      </c>
      <c r="L163" s="28" t="s">
        <v>1181</v>
      </c>
      <c r="M163" s="39" t="s">
        <v>29</v>
      </c>
      <c r="N163" s="30" t="s">
        <v>1182</v>
      </c>
      <c r="O163" s="30" t="s">
        <v>1183</v>
      </c>
      <c r="P163" s="193" t="s">
        <v>1184</v>
      </c>
      <c r="Q163" s="31" t="s">
        <v>1185</v>
      </c>
      <c r="R163" s="30" t="s">
        <v>40</v>
      </c>
      <c r="S163" s="30" t="s">
        <v>40</v>
      </c>
      <c r="T163" s="51" t="s">
        <v>507</v>
      </c>
      <c r="U163" s="34">
        <f>IFERROR(VLOOKUP($L163,[2]Adaptation!A:C,2,FALSE),0)</f>
        <v>0</v>
      </c>
      <c r="V163" s="34">
        <f>IFERROR(VLOOKUP($L163,[2]Adaptation!B:D,2,FALSE),0)</f>
        <v>0</v>
      </c>
      <c r="W163" s="34">
        <f>+IFERROR(VLOOKUP($L163,[2]Water!B:D,2,0),0)</f>
        <v>0</v>
      </c>
      <c r="X163" s="34">
        <f>IFERROR(VLOOKUP($L163,'[2]Circ. Economy'!B:D,2,FALSE),0)</f>
        <v>0</v>
      </c>
      <c r="Y163" s="34">
        <f>IFERROR(VLOOKUP($L163,[2]Pollution!B:D,2,FALSE),0)</f>
        <v>0</v>
      </c>
      <c r="Z163" s="50" t="s">
        <v>43</v>
      </c>
      <c r="AA163" s="34">
        <f t="shared" si="2"/>
        <v>1</v>
      </c>
      <c r="AB163" s="34">
        <v>0</v>
      </c>
      <c r="AC163" s="41"/>
    </row>
    <row r="164" spans="1:29" ht="32.25" customHeight="1">
      <c r="B164" s="148">
        <v>161</v>
      </c>
      <c r="C164" s="26">
        <f>VLOOKUP(D164,'[1]Codes &amp; Descr. SFICS25'!B:C,2,FALSE)</f>
        <v>30</v>
      </c>
      <c r="D164" s="26" t="s">
        <v>1186</v>
      </c>
      <c r="E164" s="26">
        <f>+VLOOKUP(F164,'[1]Codes &amp; Descr. SFICS25'!D:E,2,FALSE)</f>
        <v>3002</v>
      </c>
      <c r="F164" s="27" t="s">
        <v>1187</v>
      </c>
      <c r="G164" s="27">
        <f>VLOOKUP(H164,'[1]Codes &amp; Descr. SFICS25'!F:H,2,FALSE)</f>
        <v>300201</v>
      </c>
      <c r="H164" s="26" t="s">
        <v>1188</v>
      </c>
      <c r="I164" s="26" t="s">
        <v>1189</v>
      </c>
      <c r="J164" s="26" t="s">
        <v>1190</v>
      </c>
      <c r="K164" s="27" t="s">
        <v>1191</v>
      </c>
      <c r="L164" s="28" t="s">
        <v>1191</v>
      </c>
      <c r="M164" s="39" t="s">
        <v>29</v>
      </c>
      <c r="N164" s="30" t="s">
        <v>1192</v>
      </c>
      <c r="O164" s="30" t="s">
        <v>1193</v>
      </c>
      <c r="P164" s="31" t="s">
        <v>1194</v>
      </c>
      <c r="Q164" s="31" t="s">
        <v>1195</v>
      </c>
      <c r="R164" s="30" t="s">
        <v>40</v>
      </c>
      <c r="S164" s="30" t="s">
        <v>40</v>
      </c>
      <c r="T164" s="32" t="s">
        <v>1196</v>
      </c>
      <c r="U164" s="33" t="s">
        <v>185</v>
      </c>
      <c r="V164" s="34">
        <v>0</v>
      </c>
      <c r="W164" s="34">
        <v>0</v>
      </c>
      <c r="X164" s="34">
        <v>0</v>
      </c>
      <c r="Y164" s="34">
        <v>0</v>
      </c>
      <c r="Z164" s="34">
        <v>0</v>
      </c>
      <c r="AA164" s="34">
        <f t="shared" si="2"/>
        <v>1</v>
      </c>
      <c r="AB164" s="34">
        <v>0</v>
      </c>
      <c r="AC164" s="43"/>
    </row>
    <row r="165" spans="1:29" ht="32.25" customHeight="1">
      <c r="B165" s="148">
        <v>162</v>
      </c>
      <c r="C165" s="26">
        <f>VLOOKUP(D165,'[1]Codes &amp; Descr. SFICS25'!B:C,2,FALSE)</f>
        <v>30</v>
      </c>
      <c r="D165" s="26" t="s">
        <v>1186</v>
      </c>
      <c r="E165" s="26">
        <f>+VLOOKUP(F165,'[1]Codes &amp; Descr. SFICS25'!D:E,2,FALSE)</f>
        <v>3002</v>
      </c>
      <c r="F165" s="27" t="s">
        <v>1187</v>
      </c>
      <c r="G165" s="27">
        <f>VLOOKUP(H165,'[1]Codes &amp; Descr. SFICS25'!F:H,2,FALSE)</f>
        <v>300202</v>
      </c>
      <c r="H165" s="26" t="s">
        <v>1197</v>
      </c>
      <c r="I165" s="26" t="s">
        <v>1198</v>
      </c>
      <c r="J165" s="26" t="s">
        <v>1199</v>
      </c>
      <c r="K165" s="27" t="s">
        <v>1200</v>
      </c>
      <c r="L165" s="28" t="s">
        <v>1200</v>
      </c>
      <c r="M165" s="39" t="s">
        <v>29</v>
      </c>
      <c r="N165" s="30" t="s">
        <v>1201</v>
      </c>
      <c r="O165" s="30" t="s">
        <v>1202</v>
      </c>
      <c r="P165" s="31" t="s">
        <v>1203</v>
      </c>
      <c r="Q165" s="31" t="s">
        <v>1204</v>
      </c>
      <c r="R165" s="30" t="s">
        <v>40</v>
      </c>
      <c r="S165" s="30" t="s">
        <v>40</v>
      </c>
      <c r="T165" s="32" t="s">
        <v>1196</v>
      </c>
      <c r="U165" s="34">
        <v>0</v>
      </c>
      <c r="V165" s="33" t="s">
        <v>185</v>
      </c>
      <c r="W165" s="34">
        <v>0</v>
      </c>
      <c r="X165" s="34">
        <v>0</v>
      </c>
      <c r="Y165" s="34">
        <v>0</v>
      </c>
      <c r="Z165" s="34">
        <v>0</v>
      </c>
      <c r="AA165" s="34">
        <f t="shared" si="2"/>
        <v>1</v>
      </c>
      <c r="AB165" s="34">
        <v>0</v>
      </c>
      <c r="AC165" s="43"/>
    </row>
    <row r="166" spans="1:29" ht="32.25" customHeight="1">
      <c r="B166" s="148">
        <v>163</v>
      </c>
      <c r="C166" s="26">
        <f>VLOOKUP(D166,'[1]Codes &amp; Descr. SFICS25'!B:C,2,FALSE)</f>
        <v>30</v>
      </c>
      <c r="D166" s="26" t="s">
        <v>1186</v>
      </c>
      <c r="E166" s="26">
        <f>+VLOOKUP(F166,'[1]Codes &amp; Descr. SFICS25'!D:E,2,FALSE)</f>
        <v>3002</v>
      </c>
      <c r="F166" s="27" t="s">
        <v>1187</v>
      </c>
      <c r="G166" s="27">
        <f>VLOOKUP(H166,'[1]Codes &amp; Descr. SFICS25'!F:H,2,FALSE)</f>
        <v>300203</v>
      </c>
      <c r="H166" s="26" t="s">
        <v>1205</v>
      </c>
      <c r="I166" s="26" t="s">
        <v>1206</v>
      </c>
      <c r="J166" s="26" t="s">
        <v>1207</v>
      </c>
      <c r="K166" s="27" t="s">
        <v>1208</v>
      </c>
      <c r="L166" s="28" t="s">
        <v>1208</v>
      </c>
      <c r="M166" s="39" t="s">
        <v>29</v>
      </c>
      <c r="N166" s="30" t="s">
        <v>1209</v>
      </c>
      <c r="O166" s="30" t="s">
        <v>1210</v>
      </c>
      <c r="P166" s="31" t="s">
        <v>714</v>
      </c>
      <c r="Q166" s="31" t="s">
        <v>1211</v>
      </c>
      <c r="R166" s="30" t="s">
        <v>40</v>
      </c>
      <c r="S166" s="30" t="s">
        <v>40</v>
      </c>
      <c r="T166" s="32" t="s">
        <v>1196</v>
      </c>
      <c r="U166" s="34">
        <v>0</v>
      </c>
      <c r="V166" s="34">
        <v>0</v>
      </c>
      <c r="W166" s="33" t="s">
        <v>185</v>
      </c>
      <c r="X166" s="34">
        <v>0</v>
      </c>
      <c r="Y166" s="34">
        <v>0</v>
      </c>
      <c r="Z166" s="34">
        <v>0</v>
      </c>
      <c r="AA166" s="34">
        <f t="shared" si="2"/>
        <v>1</v>
      </c>
      <c r="AB166" s="34">
        <v>0</v>
      </c>
      <c r="AC166" s="43"/>
    </row>
    <row r="167" spans="1:29" ht="32.25" customHeight="1">
      <c r="B167" s="148">
        <v>164</v>
      </c>
      <c r="C167" s="26">
        <f>VLOOKUP(D167,'[1]Codes &amp; Descr. SFICS25'!B:C,2,FALSE)</f>
        <v>30</v>
      </c>
      <c r="D167" s="27" t="s">
        <v>1186</v>
      </c>
      <c r="E167" s="26">
        <f>+VLOOKUP(F167,'[1]Codes &amp; Descr. SFICS25'!D:E,2,FALSE)</f>
        <v>3002</v>
      </c>
      <c r="F167" s="27" t="s">
        <v>1187</v>
      </c>
      <c r="G167" s="27">
        <f>VLOOKUP(H167,'[1]Codes &amp; Descr. SFICS25'!F:H,2,FALSE)</f>
        <v>300204</v>
      </c>
      <c r="H167" s="26" t="s">
        <v>1212</v>
      </c>
      <c r="I167" s="26" t="s">
        <v>1213</v>
      </c>
      <c r="J167" s="26" t="s">
        <v>1214</v>
      </c>
      <c r="K167" s="27" t="s">
        <v>1215</v>
      </c>
      <c r="L167" s="28" t="s">
        <v>1215</v>
      </c>
      <c r="M167" s="39" t="s">
        <v>29</v>
      </c>
      <c r="N167" s="30" t="s">
        <v>1216</v>
      </c>
      <c r="O167" s="30" t="s">
        <v>1217</v>
      </c>
      <c r="P167" s="31" t="s">
        <v>1218</v>
      </c>
      <c r="Q167" s="31" t="s">
        <v>1219</v>
      </c>
      <c r="R167" s="30" t="s">
        <v>40</v>
      </c>
      <c r="S167" s="30" t="s">
        <v>40</v>
      </c>
      <c r="T167" s="32" t="s">
        <v>1196</v>
      </c>
      <c r="U167" s="34">
        <v>0</v>
      </c>
      <c r="V167" s="34">
        <v>0</v>
      </c>
      <c r="W167" s="34">
        <v>0</v>
      </c>
      <c r="X167" s="33" t="s">
        <v>185</v>
      </c>
      <c r="Y167" s="34">
        <v>0</v>
      </c>
      <c r="Z167" s="34">
        <v>0</v>
      </c>
      <c r="AA167" s="34">
        <f t="shared" si="2"/>
        <v>1</v>
      </c>
      <c r="AB167" s="34">
        <v>0</v>
      </c>
      <c r="AC167" s="43"/>
    </row>
    <row r="168" spans="1:29" ht="32.25" customHeight="1">
      <c r="B168" s="148">
        <v>165</v>
      </c>
      <c r="C168" s="26">
        <f>VLOOKUP(D168,'[1]Codes &amp; Descr. SFICS25'!B:C,2,FALSE)</f>
        <v>30</v>
      </c>
      <c r="D168" s="26" t="s">
        <v>1186</v>
      </c>
      <c r="E168" s="26">
        <f>+VLOOKUP(F168,'[1]Codes &amp; Descr. SFICS25'!D:E,2,FALSE)</f>
        <v>3001</v>
      </c>
      <c r="F168" s="27" t="s">
        <v>1220</v>
      </c>
      <c r="G168" s="27" t="str">
        <f>VLOOKUP(H168,'[1]Codes &amp; Descr. SFICS25'!F:H,2,FALSE)</f>
        <v>-</v>
      </c>
      <c r="H168" s="26" t="s">
        <v>507</v>
      </c>
      <c r="I168" s="26" t="s">
        <v>507</v>
      </c>
      <c r="J168" s="26" t="s">
        <v>1220</v>
      </c>
      <c r="K168" s="27" t="s">
        <v>1221</v>
      </c>
      <c r="L168" s="28" t="s">
        <v>1221</v>
      </c>
      <c r="M168" s="39" t="s">
        <v>29</v>
      </c>
      <c r="N168" s="30" t="s">
        <v>1222</v>
      </c>
      <c r="O168" s="52" t="s">
        <v>1223</v>
      </c>
      <c r="P168" s="31" t="s">
        <v>1224</v>
      </c>
      <c r="Q168" s="31" t="s">
        <v>1225</v>
      </c>
      <c r="R168" s="30" t="s">
        <v>40</v>
      </c>
      <c r="S168" s="30" t="s">
        <v>40</v>
      </c>
      <c r="T168" s="32" t="s">
        <v>1196</v>
      </c>
      <c r="U168" s="33" t="s">
        <v>237</v>
      </c>
      <c r="V168" s="33" t="s">
        <v>43</v>
      </c>
      <c r="W168" s="34">
        <v>0</v>
      </c>
      <c r="X168" s="34">
        <v>0</v>
      </c>
      <c r="Y168" s="34">
        <v>0</v>
      </c>
      <c r="Z168" s="34">
        <v>0</v>
      </c>
      <c r="AA168" s="34">
        <f t="shared" si="2"/>
        <v>1</v>
      </c>
      <c r="AB168" s="34">
        <v>0</v>
      </c>
      <c r="AC168" s="43"/>
    </row>
    <row r="169" spans="1:29" s="53" customFormat="1" ht="32.25" customHeight="1">
      <c r="A169" s="1"/>
      <c r="B169" s="148">
        <v>166</v>
      </c>
      <c r="C169" s="26">
        <f>VLOOKUP(D169,'[1]Codes &amp; Descr. SFICS25'!B:C,2,FALSE)</f>
        <v>30</v>
      </c>
      <c r="D169" s="26" t="s">
        <v>1186</v>
      </c>
      <c r="E169" s="26">
        <f>+VLOOKUP(F169,'[1]Codes &amp; Descr. SFICS25'!D:E,2,FALSE)</f>
        <v>3003</v>
      </c>
      <c r="F169" s="27" t="s">
        <v>1226</v>
      </c>
      <c r="G169" s="27" t="str">
        <f>VLOOKUP(H169,'[1]Codes &amp; Descr. SFICS25'!F:H,2,FALSE)</f>
        <v>-</v>
      </c>
      <c r="H169" s="26" t="s">
        <v>507</v>
      </c>
      <c r="I169" s="26" t="s">
        <v>507</v>
      </c>
      <c r="J169" s="26" t="s">
        <v>1227</v>
      </c>
      <c r="K169" s="27" t="s">
        <v>1228</v>
      </c>
      <c r="L169" s="28" t="s">
        <v>1229</v>
      </c>
      <c r="M169" s="39" t="s">
        <v>29</v>
      </c>
      <c r="N169" s="30" t="s">
        <v>1230</v>
      </c>
      <c r="O169" s="30" t="s">
        <v>1231</v>
      </c>
      <c r="P169" s="31" t="s">
        <v>1232</v>
      </c>
      <c r="Q169" s="31" t="s">
        <v>1233</v>
      </c>
      <c r="R169" s="30" t="s">
        <v>40</v>
      </c>
      <c r="S169" s="30" t="s">
        <v>40</v>
      </c>
      <c r="T169" s="32" t="s">
        <v>1196</v>
      </c>
      <c r="U169" s="33" t="s">
        <v>185</v>
      </c>
      <c r="V169" s="33" t="s">
        <v>185</v>
      </c>
      <c r="W169" s="34">
        <v>0</v>
      </c>
      <c r="X169" s="34">
        <v>0</v>
      </c>
      <c r="Y169" s="34">
        <v>0</v>
      </c>
      <c r="Z169" s="34">
        <v>0</v>
      </c>
      <c r="AA169" s="34">
        <f t="shared" si="2"/>
        <v>1</v>
      </c>
      <c r="AB169" s="34">
        <v>0</v>
      </c>
      <c r="AC169" s="43"/>
    </row>
    <row r="170" spans="1:29" ht="32.25" customHeight="1">
      <c r="B170" s="148">
        <v>167</v>
      </c>
      <c r="C170" s="26">
        <f>VLOOKUP(D170,'[1]Codes &amp; Descr. SFICS25'!B:C,2,FALSE)</f>
        <v>28</v>
      </c>
      <c r="D170" s="26" t="s">
        <v>946</v>
      </c>
      <c r="E170" s="26">
        <f>+VLOOKUP(F170,'[1]Codes &amp; Descr. SFICS25'!D:E,2,FALSE)</f>
        <v>2810</v>
      </c>
      <c r="F170" s="27" t="s">
        <v>1234</v>
      </c>
      <c r="G170" s="27">
        <f>VLOOKUP(H170,'[1]Codes &amp; Descr. SFICS25'!F:H,2,FALSE)</f>
        <v>281001</v>
      </c>
      <c r="H170" s="26" t="s">
        <v>1235</v>
      </c>
      <c r="I170" s="26" t="s">
        <v>1236</v>
      </c>
      <c r="J170" s="26" t="s">
        <v>1237</v>
      </c>
      <c r="K170" s="27" t="s">
        <v>1238</v>
      </c>
      <c r="L170" s="28" t="s">
        <v>1238</v>
      </c>
      <c r="M170" s="39" t="s">
        <v>29</v>
      </c>
      <c r="N170" s="30" t="s">
        <v>1239</v>
      </c>
      <c r="O170" s="30" t="s">
        <v>1240</v>
      </c>
      <c r="P170" s="31" t="s">
        <v>1241</v>
      </c>
      <c r="Q170" s="31" t="s">
        <v>1242</v>
      </c>
      <c r="R170" s="30" t="s">
        <v>40</v>
      </c>
      <c r="S170" s="30" t="s">
        <v>40</v>
      </c>
      <c r="T170" s="32" t="s">
        <v>955</v>
      </c>
      <c r="U170" s="33" t="s">
        <v>185</v>
      </c>
      <c r="V170" s="34">
        <v>0</v>
      </c>
      <c r="W170" s="34">
        <v>0</v>
      </c>
      <c r="X170" s="34">
        <v>0</v>
      </c>
      <c r="Y170" s="34">
        <v>0</v>
      </c>
      <c r="Z170" s="34">
        <v>0</v>
      </c>
      <c r="AA170" s="34">
        <f t="shared" si="2"/>
        <v>1</v>
      </c>
      <c r="AB170" s="34">
        <v>0</v>
      </c>
      <c r="AC170" s="43"/>
    </row>
    <row r="171" spans="1:29" ht="32.15" customHeight="1">
      <c r="B171" s="148">
        <v>168</v>
      </c>
      <c r="C171" s="26">
        <f>VLOOKUP(D171,'[1]Codes &amp; Descr. SFICS25'!B:C,2,FALSE)</f>
        <v>24</v>
      </c>
      <c r="D171" s="26" t="s">
        <v>1243</v>
      </c>
      <c r="E171" s="26">
        <f>+VLOOKUP(F171,'[1]Codes &amp; Descr. SFICS25'!D:E,2,FALSE)</f>
        <v>2401</v>
      </c>
      <c r="F171" s="26" t="s">
        <v>1244</v>
      </c>
      <c r="G171" s="27" t="str">
        <f>VLOOKUP(H171,'[1]Codes &amp; Descr. SFICS25'!F:H,2,FALSE)</f>
        <v>-</v>
      </c>
      <c r="H171" s="26" t="s">
        <v>507</v>
      </c>
      <c r="I171" s="26" t="s">
        <v>507</v>
      </c>
      <c r="J171" s="26" t="s">
        <v>1245</v>
      </c>
      <c r="K171" s="27" t="s">
        <v>1246</v>
      </c>
      <c r="L171" s="28" t="s">
        <v>1246</v>
      </c>
      <c r="M171" s="39" t="s">
        <v>1247</v>
      </c>
      <c r="N171" s="30" t="s">
        <v>1248</v>
      </c>
      <c r="O171" s="30" t="s">
        <v>1249</v>
      </c>
      <c r="P171" s="31" t="s">
        <v>40</v>
      </c>
      <c r="Q171" s="31" t="s">
        <v>1250</v>
      </c>
      <c r="R171" s="30" t="s">
        <v>40</v>
      </c>
      <c r="S171" s="30" t="s">
        <v>40</v>
      </c>
      <c r="T171" s="51" t="s">
        <v>507</v>
      </c>
      <c r="U171" s="50" t="s">
        <v>185</v>
      </c>
      <c r="V171" s="34">
        <v>0</v>
      </c>
      <c r="W171" s="34">
        <v>0</v>
      </c>
      <c r="X171" s="34">
        <v>0</v>
      </c>
      <c r="Y171" s="34">
        <v>0</v>
      </c>
      <c r="Z171" s="34">
        <v>0</v>
      </c>
      <c r="AA171" s="34">
        <f t="shared" si="2"/>
        <v>0</v>
      </c>
      <c r="AB171" s="34">
        <v>0</v>
      </c>
      <c r="AC171" s="43"/>
    </row>
    <row r="172" spans="1:29" ht="32.25" customHeight="1">
      <c r="B172" s="148">
        <v>169</v>
      </c>
      <c r="C172" s="26">
        <f>VLOOKUP(D172,'[1]Codes &amp; Descr. SFICS25'!B:C,2,FALSE)</f>
        <v>25</v>
      </c>
      <c r="D172" s="27" t="s">
        <v>1251</v>
      </c>
      <c r="E172" s="26">
        <f>+VLOOKUP(F172,'[1]Codes &amp; Descr. SFICS25'!D:E,2,FALSE)</f>
        <v>2501</v>
      </c>
      <c r="F172" s="26" t="s">
        <v>1252</v>
      </c>
      <c r="G172" s="27" t="str">
        <f>VLOOKUP(H172,'[1]Codes &amp; Descr. SFICS25'!F:H,2,FALSE)</f>
        <v>-</v>
      </c>
      <c r="H172" s="26" t="s">
        <v>507</v>
      </c>
      <c r="I172" s="26" t="s">
        <v>507</v>
      </c>
      <c r="J172" s="26" t="s">
        <v>1253</v>
      </c>
      <c r="K172" s="27" t="s">
        <v>1254</v>
      </c>
      <c r="L172" s="28" t="s">
        <v>1254</v>
      </c>
      <c r="M172" s="39" t="s">
        <v>1247</v>
      </c>
      <c r="N172" s="30" t="s">
        <v>1255</v>
      </c>
      <c r="O172" s="30" t="s">
        <v>1256</v>
      </c>
      <c r="P172" s="31" t="s">
        <v>1257</v>
      </c>
      <c r="Q172" s="31" t="s">
        <v>1258</v>
      </c>
      <c r="R172" s="30" t="s">
        <v>40</v>
      </c>
      <c r="S172" s="30" t="s">
        <v>40</v>
      </c>
      <c r="T172" s="51" t="s">
        <v>507</v>
      </c>
      <c r="U172" s="34">
        <v>0</v>
      </c>
      <c r="V172" s="34">
        <v>0</v>
      </c>
      <c r="W172" s="50" t="s">
        <v>43</v>
      </c>
      <c r="X172" s="34">
        <v>0</v>
      </c>
      <c r="Y172" s="34">
        <v>0</v>
      </c>
      <c r="Z172" s="34">
        <v>0</v>
      </c>
      <c r="AA172" s="34">
        <f t="shared" si="2"/>
        <v>1</v>
      </c>
      <c r="AB172" s="34">
        <v>0</v>
      </c>
      <c r="AC172" s="43"/>
    </row>
    <row r="173" spans="1:29" ht="32.25" customHeight="1">
      <c r="A173" s="35"/>
      <c r="B173" s="148">
        <v>170</v>
      </c>
      <c r="C173" s="26">
        <f>VLOOKUP(D173,'[1]Codes &amp; Descr. SFICS25'!B:C,2,FALSE)</f>
        <v>25</v>
      </c>
      <c r="D173" s="27" t="s">
        <v>1251</v>
      </c>
      <c r="E173" s="26">
        <f>+VLOOKUP(F173,'[1]Codes &amp; Descr. SFICS25'!D:E,2,FALSE)</f>
        <v>2502</v>
      </c>
      <c r="F173" s="27" t="s">
        <v>1259</v>
      </c>
      <c r="G173" s="27" t="str">
        <f>VLOOKUP(H173,'[1]Codes &amp; Descr. SFICS25'!F:H,2,FALSE)</f>
        <v>-</v>
      </c>
      <c r="H173" s="26" t="s">
        <v>507</v>
      </c>
      <c r="I173" s="26" t="s">
        <v>507</v>
      </c>
      <c r="J173" s="26" t="s">
        <v>1259</v>
      </c>
      <c r="K173" s="27" t="s">
        <v>1260</v>
      </c>
      <c r="L173" s="28" t="s">
        <v>1261</v>
      </c>
      <c r="M173" s="39" t="s">
        <v>29</v>
      </c>
      <c r="N173" s="30" t="s">
        <v>40</v>
      </c>
      <c r="O173" s="30" t="s">
        <v>1262</v>
      </c>
      <c r="P173" s="198" t="s">
        <v>1263</v>
      </c>
      <c r="Q173" s="31" t="s">
        <v>1264</v>
      </c>
      <c r="R173" s="30" t="s">
        <v>40</v>
      </c>
      <c r="S173" s="30" t="s">
        <v>40</v>
      </c>
      <c r="T173" s="51" t="s">
        <v>1265</v>
      </c>
      <c r="U173" s="34">
        <v>0</v>
      </c>
      <c r="V173" s="50" t="s">
        <v>185</v>
      </c>
      <c r="W173" s="34">
        <v>0</v>
      </c>
      <c r="X173" s="33">
        <v>0</v>
      </c>
      <c r="Y173" s="34">
        <v>0</v>
      </c>
      <c r="Z173" s="34">
        <v>0</v>
      </c>
      <c r="AA173" s="45">
        <f t="shared" si="2"/>
        <v>1</v>
      </c>
      <c r="AB173" s="34">
        <v>0</v>
      </c>
      <c r="AC173" s="43"/>
    </row>
    <row r="174" spans="1:29" ht="32.25" customHeight="1">
      <c r="B174" s="148">
        <v>171</v>
      </c>
      <c r="C174" s="26">
        <f>VLOOKUP(D174,'[1]Codes &amp; Descr. SFICS25'!B:C,2,FALSE)</f>
        <v>25</v>
      </c>
      <c r="D174" s="27" t="s">
        <v>1251</v>
      </c>
      <c r="E174" s="26">
        <f>+VLOOKUP(F174,'[1]Codes &amp; Descr. SFICS25'!D:E,2,FALSE)</f>
        <v>2503</v>
      </c>
      <c r="F174" s="27" t="s">
        <v>1266</v>
      </c>
      <c r="G174" s="27" t="str">
        <f>VLOOKUP(H174,'[1]Codes &amp; Descr. SFICS25'!F:H,2,FALSE)</f>
        <v>-</v>
      </c>
      <c r="H174" s="26" t="s">
        <v>507</v>
      </c>
      <c r="I174" s="26" t="s">
        <v>507</v>
      </c>
      <c r="J174" s="26" t="s">
        <v>1267</v>
      </c>
      <c r="K174" s="27" t="s">
        <v>1268</v>
      </c>
      <c r="L174" s="28" t="s">
        <v>1268</v>
      </c>
      <c r="M174" s="39" t="s">
        <v>29</v>
      </c>
      <c r="N174" s="30" t="s">
        <v>1268</v>
      </c>
      <c r="O174" s="52" t="s">
        <v>1269</v>
      </c>
      <c r="P174" s="31" t="s">
        <v>40</v>
      </c>
      <c r="Q174" s="31" t="s">
        <v>1264</v>
      </c>
      <c r="R174" s="30" t="s">
        <v>40</v>
      </c>
      <c r="S174" s="30" t="s">
        <v>40</v>
      </c>
      <c r="T174" s="51" t="s">
        <v>507</v>
      </c>
      <c r="U174" s="34">
        <v>0</v>
      </c>
      <c r="V174" s="50" t="s">
        <v>185</v>
      </c>
      <c r="W174" s="34">
        <v>0</v>
      </c>
      <c r="X174" s="33">
        <v>0</v>
      </c>
      <c r="Y174" s="34">
        <v>0</v>
      </c>
      <c r="Z174" s="34">
        <v>0</v>
      </c>
      <c r="AA174" s="34">
        <f t="shared" si="2"/>
        <v>0</v>
      </c>
      <c r="AB174" s="34">
        <v>0</v>
      </c>
      <c r="AC174" s="43"/>
    </row>
    <row r="175" spans="1:29" ht="32.25" customHeight="1">
      <c r="B175" s="148">
        <v>172</v>
      </c>
      <c r="C175" s="26">
        <f>VLOOKUP(D175,'[1]Codes &amp; Descr. SFICS25'!B:C,2,FALSE)</f>
        <v>31</v>
      </c>
      <c r="D175" s="26" t="s">
        <v>1270</v>
      </c>
      <c r="E175" s="26">
        <f>+VLOOKUP(F175,'[1]Codes &amp; Descr. SFICS25'!D:E,2,FALSE)</f>
        <v>3102</v>
      </c>
      <c r="F175" s="27" t="s">
        <v>1271</v>
      </c>
      <c r="G175" s="27" t="str">
        <f>VLOOKUP(H175,'[1]Codes &amp; Descr. SFICS25'!F:H,2,FALSE)</f>
        <v>-</v>
      </c>
      <c r="H175" s="26" t="s">
        <v>507</v>
      </c>
      <c r="I175" s="26" t="s">
        <v>507</v>
      </c>
      <c r="J175" s="26" t="s">
        <v>1271</v>
      </c>
      <c r="K175" s="27" t="s">
        <v>1272</v>
      </c>
      <c r="L175" s="28" t="s">
        <v>1273</v>
      </c>
      <c r="M175" s="39" t="s">
        <v>29</v>
      </c>
      <c r="N175" s="30" t="s">
        <v>40</v>
      </c>
      <c r="O175" s="30" t="s">
        <v>1274</v>
      </c>
      <c r="P175" s="31" t="s">
        <v>40</v>
      </c>
      <c r="Q175" s="31" t="s">
        <v>1275</v>
      </c>
      <c r="R175" s="30" t="s">
        <v>40</v>
      </c>
      <c r="S175" s="30" t="s">
        <v>40</v>
      </c>
      <c r="T175" s="54" t="s">
        <v>1276</v>
      </c>
      <c r="U175" s="34">
        <v>0</v>
      </c>
      <c r="V175" s="50" t="s">
        <v>185</v>
      </c>
      <c r="W175" s="34">
        <v>0</v>
      </c>
      <c r="X175" s="34">
        <v>0</v>
      </c>
      <c r="Y175" s="34">
        <v>0</v>
      </c>
      <c r="Z175" s="34">
        <v>0</v>
      </c>
      <c r="AA175" s="34">
        <f t="shared" si="2"/>
        <v>0</v>
      </c>
      <c r="AB175" s="34">
        <v>0</v>
      </c>
      <c r="AC175" s="41"/>
    </row>
    <row r="176" spans="1:29" ht="32.25" customHeight="1">
      <c r="B176" s="148">
        <v>173</v>
      </c>
      <c r="C176" s="26">
        <f>VLOOKUP(D176,'[1]Codes &amp; Descr. SFICS25'!B:C,2,FALSE)</f>
        <v>31</v>
      </c>
      <c r="D176" s="26" t="s">
        <v>1270</v>
      </c>
      <c r="E176" s="26">
        <f>+VLOOKUP(F176,'[1]Codes &amp; Descr. SFICS25'!D:E,2,FALSE)</f>
        <v>3103</v>
      </c>
      <c r="F176" s="27" t="s">
        <v>1277</v>
      </c>
      <c r="G176" s="27" t="str">
        <f>VLOOKUP(H176,'[1]Codes &amp; Descr. SFICS25'!F:H,2,FALSE)</f>
        <v>-</v>
      </c>
      <c r="H176" s="26" t="s">
        <v>507</v>
      </c>
      <c r="I176" s="26" t="s">
        <v>507</v>
      </c>
      <c r="J176" s="26" t="s">
        <v>1277</v>
      </c>
      <c r="K176" s="27" t="s">
        <v>1278</v>
      </c>
      <c r="L176" s="28" t="s">
        <v>1279</v>
      </c>
      <c r="M176" s="39" t="s">
        <v>29</v>
      </c>
      <c r="N176" s="30" t="s">
        <v>1280</v>
      </c>
      <c r="O176" s="30" t="s">
        <v>1281</v>
      </c>
      <c r="P176" s="31" t="s">
        <v>40</v>
      </c>
      <c r="Q176" s="31" t="s">
        <v>1282</v>
      </c>
      <c r="R176" s="30" t="s">
        <v>40</v>
      </c>
      <c r="S176" s="30" t="s">
        <v>40</v>
      </c>
      <c r="T176" s="54" t="s">
        <v>1276</v>
      </c>
      <c r="U176" s="34">
        <v>0</v>
      </c>
      <c r="V176" s="50" t="s">
        <v>185</v>
      </c>
      <c r="W176" s="34">
        <v>0</v>
      </c>
      <c r="X176" s="34">
        <v>0</v>
      </c>
      <c r="Y176" s="34">
        <v>0</v>
      </c>
      <c r="Z176" s="34">
        <v>0</v>
      </c>
      <c r="AA176" s="34">
        <f t="shared" si="2"/>
        <v>0</v>
      </c>
      <c r="AB176" s="34">
        <v>0</v>
      </c>
      <c r="AC176" s="41"/>
    </row>
    <row r="177" spans="1:29" ht="32.25" customHeight="1">
      <c r="B177" s="148">
        <v>174</v>
      </c>
      <c r="C177" s="55">
        <f>VLOOKUP(D177,'[1]Codes &amp; Descr. SFICS25'!B:C,2,FALSE)</f>
        <v>31</v>
      </c>
      <c r="D177" s="56" t="s">
        <v>1270</v>
      </c>
      <c r="E177" s="55">
        <f>+VLOOKUP(F177,'[1]Codes &amp; Descr. SFICS25'!D:E,2,FALSE)</f>
        <v>3101</v>
      </c>
      <c r="F177" s="56" t="s">
        <v>1283</v>
      </c>
      <c r="G177" s="27" t="str">
        <f>VLOOKUP(H177,'[1]Codes &amp; Descr. SFICS25'!F:H,2,FALSE)</f>
        <v>-</v>
      </c>
      <c r="H177" s="26" t="s">
        <v>507</v>
      </c>
      <c r="I177" s="26" t="s">
        <v>507</v>
      </c>
      <c r="J177" s="26" t="s">
        <v>1283</v>
      </c>
      <c r="K177" s="27" t="s">
        <v>1284</v>
      </c>
      <c r="L177" s="28" t="s">
        <v>281</v>
      </c>
      <c r="M177" s="39" t="s">
        <v>29</v>
      </c>
      <c r="N177" s="30" t="s">
        <v>1285</v>
      </c>
      <c r="O177" s="52" t="s">
        <v>1286</v>
      </c>
      <c r="P177" s="31" t="s">
        <v>1287</v>
      </c>
      <c r="Q177" s="31" t="s">
        <v>40</v>
      </c>
      <c r="R177" s="30" t="s">
        <v>40</v>
      </c>
      <c r="S177" s="30" t="s">
        <v>40</v>
      </c>
      <c r="T177" s="54" t="s">
        <v>1276</v>
      </c>
      <c r="U177" s="34">
        <v>0</v>
      </c>
      <c r="V177" s="34">
        <v>0</v>
      </c>
      <c r="W177" s="34">
        <v>0</v>
      </c>
      <c r="X177" s="34">
        <v>0</v>
      </c>
      <c r="Y177" s="34">
        <v>0</v>
      </c>
      <c r="Z177" s="34">
        <v>0</v>
      </c>
      <c r="AA177" s="34">
        <f t="shared" si="2"/>
        <v>1</v>
      </c>
      <c r="AB177" s="34">
        <v>0</v>
      </c>
      <c r="AC177" s="43"/>
    </row>
    <row r="178" spans="1:29" ht="32.25" customHeight="1">
      <c r="B178" s="148">
        <v>175</v>
      </c>
      <c r="C178" s="57">
        <f>VLOOKUP(D178,'[1]Codes &amp; Descr. SFICS25'!B:C,2,FALSE)</f>
        <v>31</v>
      </c>
      <c r="D178" s="58" t="s">
        <v>1270</v>
      </c>
      <c r="E178" s="59">
        <f>+VLOOKUP(F178,'[1]Codes &amp; Descr. SFICS25'!D:E,2,FALSE)</f>
        <v>3104</v>
      </c>
      <c r="F178" s="60" t="s">
        <v>1288</v>
      </c>
      <c r="G178" s="61" t="str">
        <f>VLOOKUP(H178,'[1]Codes &amp; Descr. SFICS25'!F:H,2,FALSE)</f>
        <v>-</v>
      </c>
      <c r="H178" s="26" t="s">
        <v>507</v>
      </c>
      <c r="I178" s="26" t="s">
        <v>507</v>
      </c>
      <c r="J178" s="26" t="s">
        <v>1288</v>
      </c>
      <c r="K178" s="27" t="s">
        <v>1289</v>
      </c>
      <c r="L178" s="28" t="s">
        <v>281</v>
      </c>
      <c r="M178" s="39" t="s">
        <v>29</v>
      </c>
      <c r="N178" s="30" t="s">
        <v>1290</v>
      </c>
      <c r="O178" s="30" t="s">
        <v>1291</v>
      </c>
      <c r="P178" s="31" t="s">
        <v>1292</v>
      </c>
      <c r="Q178" s="31" t="s">
        <v>1293</v>
      </c>
      <c r="R178" s="30" t="s">
        <v>40</v>
      </c>
      <c r="S178" s="30" t="s">
        <v>40</v>
      </c>
      <c r="T178" s="54" t="s">
        <v>1276</v>
      </c>
      <c r="U178" s="34">
        <v>0</v>
      </c>
      <c r="V178" s="50" t="s">
        <v>43</v>
      </c>
      <c r="W178" s="34">
        <v>0</v>
      </c>
      <c r="X178" s="34">
        <v>0</v>
      </c>
      <c r="Y178" s="34">
        <v>0</v>
      </c>
      <c r="Z178" s="34">
        <v>0</v>
      </c>
      <c r="AA178" s="34">
        <f>IF(P178="Not applicable",0,1)</f>
        <v>1</v>
      </c>
      <c r="AB178" s="34">
        <v>0</v>
      </c>
      <c r="AC178" s="43"/>
    </row>
    <row r="179" spans="1:29" ht="32.25" customHeight="1">
      <c r="A179" s="35"/>
      <c r="B179" s="148">
        <v>176</v>
      </c>
      <c r="C179" s="62">
        <v>31</v>
      </c>
      <c r="D179" s="63" t="s">
        <v>1270</v>
      </c>
      <c r="E179" s="64">
        <f>+VLOOKUP(F179,'[1]Codes &amp; Descr. SFICS25'!D:E,2,FALSE)</f>
        <v>3105</v>
      </c>
      <c r="F179" s="65" t="s">
        <v>1294</v>
      </c>
      <c r="G179" s="61" t="str">
        <f>VLOOKUP(H179,'[1]Codes &amp; Descr. SFICS25'!F:H,2,FALSE)</f>
        <v>-</v>
      </c>
      <c r="H179" s="26" t="s">
        <v>507</v>
      </c>
      <c r="I179" s="26" t="s">
        <v>507</v>
      </c>
      <c r="J179" s="66" t="s">
        <v>1294</v>
      </c>
      <c r="K179" s="27"/>
      <c r="L179" s="28"/>
      <c r="M179" s="39" t="s">
        <v>29</v>
      </c>
      <c r="N179" s="66" t="s">
        <v>1295</v>
      </c>
      <c r="O179" s="67" t="s">
        <v>1296</v>
      </c>
      <c r="P179" s="66" t="s">
        <v>1297</v>
      </c>
      <c r="Q179" s="66" t="s">
        <v>40</v>
      </c>
      <c r="R179" s="30" t="s">
        <v>40</v>
      </c>
      <c r="S179" s="30" t="s">
        <v>40</v>
      </c>
      <c r="T179" s="68" t="s">
        <v>1276</v>
      </c>
      <c r="U179" s="34">
        <v>0</v>
      </c>
      <c r="V179" s="34">
        <v>0</v>
      </c>
      <c r="W179" s="34">
        <v>0</v>
      </c>
      <c r="X179" s="34">
        <v>0</v>
      </c>
      <c r="Y179" s="34">
        <v>0</v>
      </c>
      <c r="Z179" s="34">
        <v>0</v>
      </c>
      <c r="AA179" s="69">
        <f>IF(P179="Not applicable",0,1)</f>
        <v>1</v>
      </c>
      <c r="AB179" s="34">
        <v>0</v>
      </c>
      <c r="AC179" s="43"/>
    </row>
    <row r="180" spans="1:29" s="70" customFormat="1" ht="32.25" customHeight="1">
      <c r="B180" s="148"/>
      <c r="C180" s="71"/>
      <c r="D180" s="72"/>
      <c r="E180" s="72"/>
      <c r="H180" s="73"/>
      <c r="I180" s="73"/>
      <c r="J180" s="73"/>
      <c r="P180" s="73"/>
      <c r="Q180" s="73"/>
      <c r="AC180" s="74"/>
    </row>
    <row r="181" spans="1:29" s="2" customFormat="1" ht="32.25" customHeight="1">
      <c r="A181" s="75"/>
      <c r="B181" s="175">
        <v>177</v>
      </c>
      <c r="C181" s="76" t="s">
        <v>1298</v>
      </c>
      <c r="D181" s="77" t="s">
        <v>1299</v>
      </c>
      <c r="E181" s="78">
        <f>+VLOOKUP(F181,'[1]Codes &amp; Descr. SFICS25'!D:E,2,FALSE)</f>
        <v>3501</v>
      </c>
      <c r="F181" s="79" t="s">
        <v>1300</v>
      </c>
      <c r="G181" s="80" t="s">
        <v>1301</v>
      </c>
      <c r="H181" s="81" t="s">
        <v>1301</v>
      </c>
      <c r="I181" s="81"/>
      <c r="J181" s="81"/>
      <c r="K181" s="79" t="s">
        <v>1301</v>
      </c>
      <c r="L181" s="79" t="s">
        <v>281</v>
      </c>
      <c r="M181" s="82" t="s">
        <v>30</v>
      </c>
      <c r="N181" s="30" t="s">
        <v>40</v>
      </c>
      <c r="O181" s="30"/>
      <c r="P181" s="30" t="s">
        <v>40</v>
      </c>
      <c r="Q181" s="30" t="s">
        <v>40</v>
      </c>
      <c r="R181" s="30" t="s">
        <v>1302</v>
      </c>
      <c r="S181" s="30" t="s">
        <v>1303</v>
      </c>
      <c r="T181" s="32" t="s">
        <v>1304</v>
      </c>
      <c r="U181" s="83">
        <f>IFERROR(VLOOKUP(L181,[2]Mitigation!B:D,2,FALSE),0)</f>
        <v>0</v>
      </c>
      <c r="V181" s="83">
        <f>IFERROR(VLOOKUP($L181,[2]Adaptation!B:D,2,FALSE),0)</f>
        <v>0</v>
      </c>
      <c r="W181" s="83">
        <f>+IFERROR(VLOOKUP($L181,[2]Water!B:D,2,0),0)</f>
        <v>0</v>
      </c>
      <c r="X181" s="83">
        <f>IFERROR(VLOOKUP($L181,'[2]Circ. Economy'!B:D,2,FALSE),0)</f>
        <v>0</v>
      </c>
      <c r="Y181" s="83">
        <f>IFERROR(VLOOKUP($L181,[2]Pollution!B:D,2,FALSE),0)</f>
        <v>0</v>
      </c>
      <c r="Z181" s="83">
        <f>IFERROR(VLOOKUP($L181,[2]Biodiversity!B:D,2,FALSE),0)</f>
        <v>0</v>
      </c>
      <c r="AA181" s="83">
        <f>IFERROR(VLOOKUP($L181,[2]Biodiversity!C:E,2,FALSE),0)</f>
        <v>0</v>
      </c>
      <c r="AB181" s="83">
        <v>1</v>
      </c>
      <c r="AC181" s="43"/>
    </row>
    <row r="182" spans="1:29" s="2" customFormat="1" ht="32.25" customHeight="1">
      <c r="A182" s="75"/>
      <c r="B182" s="175">
        <v>178</v>
      </c>
      <c r="C182" s="84" t="s">
        <v>1298</v>
      </c>
      <c r="D182" s="81" t="s">
        <v>1299</v>
      </c>
      <c r="E182" s="80">
        <f>+VLOOKUP(F182,'[1]Codes &amp; Descr. SFICS25'!D:E,2,FALSE)</f>
        <v>3502</v>
      </c>
      <c r="F182" s="79" t="s">
        <v>1305</v>
      </c>
      <c r="G182" s="80" t="s">
        <v>1301</v>
      </c>
      <c r="H182" s="81" t="s">
        <v>1301</v>
      </c>
      <c r="I182" s="81"/>
      <c r="J182" s="81"/>
      <c r="K182" s="79" t="s">
        <v>1301</v>
      </c>
      <c r="L182" s="79" t="s">
        <v>281</v>
      </c>
      <c r="M182" s="82" t="s">
        <v>30</v>
      </c>
      <c r="N182" s="30" t="s">
        <v>40</v>
      </c>
      <c r="O182" s="30"/>
      <c r="P182" s="30" t="s">
        <v>40</v>
      </c>
      <c r="Q182" s="30" t="s">
        <v>40</v>
      </c>
      <c r="R182" s="30" t="s">
        <v>1302</v>
      </c>
      <c r="S182" s="30" t="s">
        <v>1303</v>
      </c>
      <c r="T182" s="32" t="s">
        <v>1304</v>
      </c>
      <c r="U182" s="83">
        <f>IFERROR(VLOOKUP(L182,[2]Mitigation!B:D,2,FALSE),0)</f>
        <v>0</v>
      </c>
      <c r="V182" s="83">
        <f>IFERROR(VLOOKUP($L182,[2]Adaptation!B:D,2,FALSE),0)</f>
        <v>0</v>
      </c>
      <c r="W182" s="83">
        <f>+IFERROR(VLOOKUP($L182,[2]Water!B:D,2,0),0)</f>
        <v>0</v>
      </c>
      <c r="X182" s="83">
        <f>IFERROR(VLOOKUP($L182,'[2]Circ. Economy'!B:D,2,FALSE),0)</f>
        <v>0</v>
      </c>
      <c r="Y182" s="83">
        <f>IFERROR(VLOOKUP($L182,[2]Pollution!B:D,2,FALSE),0)</f>
        <v>0</v>
      </c>
      <c r="Z182" s="83">
        <f>IFERROR(VLOOKUP($L182,[2]Biodiversity!B:D,2,FALSE),0)</f>
        <v>0</v>
      </c>
      <c r="AA182" s="83">
        <f>IFERROR(VLOOKUP($L182,[2]Biodiversity!C:E,2,FALSE),0)</f>
        <v>0</v>
      </c>
      <c r="AB182" s="83">
        <v>2</v>
      </c>
      <c r="AC182" s="43"/>
    </row>
    <row r="183" spans="1:29" s="2" customFormat="1" ht="32.25" customHeight="1">
      <c r="A183" s="75"/>
      <c r="B183" s="175">
        <v>179</v>
      </c>
      <c r="C183" s="84" t="s">
        <v>1298</v>
      </c>
      <c r="D183" s="81" t="s">
        <v>1299</v>
      </c>
      <c r="E183" s="80">
        <f>+VLOOKUP(F183,'[1]Codes &amp; Descr. SFICS25'!D:E,2,FALSE)</f>
        <v>3503</v>
      </c>
      <c r="F183" s="79" t="s">
        <v>1306</v>
      </c>
      <c r="G183" s="80" t="s">
        <v>1301</v>
      </c>
      <c r="H183" s="81" t="s">
        <v>1301</v>
      </c>
      <c r="I183" s="81"/>
      <c r="J183" s="81"/>
      <c r="K183" s="79" t="s">
        <v>1301</v>
      </c>
      <c r="L183" s="79" t="s">
        <v>281</v>
      </c>
      <c r="M183" s="82" t="s">
        <v>30</v>
      </c>
      <c r="N183" s="30" t="s">
        <v>40</v>
      </c>
      <c r="O183" s="30"/>
      <c r="P183" s="30" t="s">
        <v>40</v>
      </c>
      <c r="Q183" s="30" t="s">
        <v>40</v>
      </c>
      <c r="R183" s="30" t="s">
        <v>1302</v>
      </c>
      <c r="S183" s="30" t="s">
        <v>1303</v>
      </c>
      <c r="T183" s="32" t="s">
        <v>1304</v>
      </c>
      <c r="U183" s="83">
        <f>IFERROR(VLOOKUP(L183,[2]Mitigation!B:D,2,FALSE),0)</f>
        <v>0</v>
      </c>
      <c r="V183" s="83">
        <f>IFERROR(VLOOKUP($L183,[2]Adaptation!B:D,2,FALSE),0)</f>
        <v>0</v>
      </c>
      <c r="W183" s="83">
        <f>+IFERROR(VLOOKUP($L183,[2]Water!B:D,2,0),0)</f>
        <v>0</v>
      </c>
      <c r="X183" s="83">
        <f>IFERROR(VLOOKUP($L183,'[2]Circ. Economy'!B:D,2,FALSE),0)</f>
        <v>0</v>
      </c>
      <c r="Y183" s="83">
        <f>IFERROR(VLOOKUP($L183,[2]Pollution!B:D,2,FALSE),0)</f>
        <v>0</v>
      </c>
      <c r="Z183" s="83">
        <f>IFERROR(VLOOKUP($L183,[2]Biodiversity!B:D,2,FALSE),0)</f>
        <v>0</v>
      </c>
      <c r="AA183" s="83">
        <f>IFERROR(VLOOKUP($L183,[2]Biodiversity!C:E,2,FALSE),0)</f>
        <v>0</v>
      </c>
      <c r="AB183" s="83">
        <v>3</v>
      </c>
      <c r="AC183" s="43"/>
    </row>
    <row r="184" spans="1:29" s="2" customFormat="1" ht="32.25" customHeight="1">
      <c r="A184" s="75"/>
      <c r="B184" s="175">
        <v>180</v>
      </c>
      <c r="C184" s="84" t="s">
        <v>1298</v>
      </c>
      <c r="D184" s="81" t="s">
        <v>1299</v>
      </c>
      <c r="E184" s="80">
        <f>+VLOOKUP(F184,'[1]Codes &amp; Descr. SFICS25'!D:E,2,FALSE)</f>
        <v>3504</v>
      </c>
      <c r="F184" s="79" t="s">
        <v>1307</v>
      </c>
      <c r="G184" s="80" t="s">
        <v>1301</v>
      </c>
      <c r="H184" s="81" t="s">
        <v>1301</v>
      </c>
      <c r="I184" s="81"/>
      <c r="J184" s="81"/>
      <c r="K184" s="79" t="s">
        <v>1301</v>
      </c>
      <c r="L184" s="79" t="s">
        <v>281</v>
      </c>
      <c r="M184" s="82" t="s">
        <v>30</v>
      </c>
      <c r="N184" s="30" t="s">
        <v>40</v>
      </c>
      <c r="O184" s="30"/>
      <c r="P184" s="30" t="s">
        <v>40</v>
      </c>
      <c r="Q184" s="30" t="s">
        <v>40</v>
      </c>
      <c r="R184" s="30" t="s">
        <v>1308</v>
      </c>
      <c r="S184" s="30" t="s">
        <v>1309</v>
      </c>
      <c r="T184" s="32" t="s">
        <v>1304</v>
      </c>
      <c r="U184" s="83">
        <f>IFERROR(VLOOKUP(L184,[2]Mitigation!B:D,2,FALSE),0)</f>
        <v>0</v>
      </c>
      <c r="V184" s="83">
        <f>IFERROR(VLOOKUP($L184,[2]Adaptation!B:D,2,FALSE),0)</f>
        <v>0</v>
      </c>
      <c r="W184" s="83">
        <f>+IFERROR(VLOOKUP($L184,[2]Water!B:D,2,0),0)</f>
        <v>0</v>
      </c>
      <c r="X184" s="83">
        <f>IFERROR(VLOOKUP($L184,'[2]Circ. Economy'!B:D,2,FALSE),0)</f>
        <v>0</v>
      </c>
      <c r="Y184" s="83">
        <f>IFERROR(VLOOKUP($L184,[2]Pollution!B:D,2,FALSE),0)</f>
        <v>0</v>
      </c>
      <c r="Z184" s="83">
        <f>IFERROR(VLOOKUP($L184,[2]Biodiversity!B:D,2,FALSE),0)</f>
        <v>0</v>
      </c>
      <c r="AA184" s="83">
        <f>IFERROR(VLOOKUP($L184,[2]Biodiversity!C:E,2,FALSE),0)</f>
        <v>0</v>
      </c>
      <c r="AB184" s="83">
        <v>4</v>
      </c>
      <c r="AC184" s="43"/>
    </row>
    <row r="185" spans="1:29" s="2" customFormat="1" ht="32.25" customHeight="1">
      <c r="A185" s="75"/>
      <c r="B185" s="175">
        <v>181</v>
      </c>
      <c r="C185" s="84" t="s">
        <v>1298</v>
      </c>
      <c r="D185" s="81" t="s">
        <v>1299</v>
      </c>
      <c r="E185" s="80">
        <f>+VLOOKUP(F185,'[1]Codes &amp; Descr. SFICS25'!D:E,2,FALSE)</f>
        <v>3505</v>
      </c>
      <c r="F185" s="79" t="s">
        <v>1310</v>
      </c>
      <c r="G185" s="80" t="s">
        <v>1301</v>
      </c>
      <c r="H185" s="81" t="s">
        <v>1301</v>
      </c>
      <c r="I185" s="81"/>
      <c r="J185" s="81"/>
      <c r="K185" s="79" t="s">
        <v>1301</v>
      </c>
      <c r="L185" s="79" t="s">
        <v>281</v>
      </c>
      <c r="M185" s="82" t="s">
        <v>30</v>
      </c>
      <c r="N185" s="30" t="s">
        <v>40</v>
      </c>
      <c r="O185" s="30"/>
      <c r="P185" s="30" t="s">
        <v>40</v>
      </c>
      <c r="Q185" s="30" t="s">
        <v>40</v>
      </c>
      <c r="R185" s="30" t="s">
        <v>1311</v>
      </c>
      <c r="S185" s="30" t="s">
        <v>1312</v>
      </c>
      <c r="T185" s="32" t="s">
        <v>1304</v>
      </c>
      <c r="U185" s="83">
        <f>IFERROR(VLOOKUP(L185,[2]Mitigation!B:D,2,FALSE),0)</f>
        <v>0</v>
      </c>
      <c r="V185" s="83">
        <f>IFERROR(VLOOKUP($L185,[2]Adaptation!B:D,2,FALSE),0)</f>
        <v>0</v>
      </c>
      <c r="W185" s="83">
        <f>+IFERROR(VLOOKUP($L185,[2]Water!B:D,2,0),0)</f>
        <v>0</v>
      </c>
      <c r="X185" s="83">
        <f>IFERROR(VLOOKUP($L185,'[2]Circ. Economy'!B:D,2,FALSE),0)</f>
        <v>0</v>
      </c>
      <c r="Y185" s="83">
        <f>IFERROR(VLOOKUP($L185,[2]Pollution!B:D,2,FALSE),0)</f>
        <v>0</v>
      </c>
      <c r="Z185" s="83">
        <f>IFERROR(VLOOKUP($L185,[2]Biodiversity!B:D,2,FALSE),0)</f>
        <v>0</v>
      </c>
      <c r="AA185" s="83">
        <f>IFERROR(VLOOKUP($L185,[2]Biodiversity!C:E,2,FALSE),0)</f>
        <v>0</v>
      </c>
      <c r="AB185" s="83">
        <v>5</v>
      </c>
      <c r="AC185" s="43"/>
    </row>
    <row r="186" spans="1:29" s="2" customFormat="1" ht="32.25" customHeight="1">
      <c r="A186" s="75"/>
      <c r="B186" s="175">
        <v>182</v>
      </c>
      <c r="C186" s="84" t="s">
        <v>1313</v>
      </c>
      <c r="D186" s="81" t="s">
        <v>1314</v>
      </c>
      <c r="E186" s="80">
        <f>+VLOOKUP(F186,'[1]Codes &amp; Descr. SFICS25'!D:E,2,FALSE)</f>
        <v>3601</v>
      </c>
      <c r="F186" s="81" t="s">
        <v>1315</v>
      </c>
      <c r="G186" s="80" t="s">
        <v>1301</v>
      </c>
      <c r="H186" s="81" t="s">
        <v>1301</v>
      </c>
      <c r="I186" s="81"/>
      <c r="J186" s="81"/>
      <c r="K186" s="79" t="s">
        <v>1301</v>
      </c>
      <c r="L186" s="79" t="s">
        <v>281</v>
      </c>
      <c r="M186" s="82" t="s">
        <v>30</v>
      </c>
      <c r="N186" s="30" t="s">
        <v>40</v>
      </c>
      <c r="O186" s="30"/>
      <c r="P186" s="30" t="s">
        <v>40</v>
      </c>
      <c r="Q186" s="30" t="s">
        <v>40</v>
      </c>
      <c r="R186" s="30" t="s">
        <v>1302</v>
      </c>
      <c r="S186" s="30" t="s">
        <v>1316</v>
      </c>
      <c r="T186" s="32" t="s">
        <v>1317</v>
      </c>
      <c r="U186" s="83">
        <f>IFERROR(VLOOKUP(L186,[2]Mitigation!B:D,2,FALSE),0)</f>
        <v>0</v>
      </c>
      <c r="V186" s="83">
        <f>IFERROR(VLOOKUP($L186,[2]Adaptation!B:D,2,FALSE),0)</f>
        <v>0</v>
      </c>
      <c r="W186" s="83">
        <f>+IFERROR(VLOOKUP($L186,[2]Water!B:D,2,0),0)</f>
        <v>0</v>
      </c>
      <c r="X186" s="83">
        <f>IFERROR(VLOOKUP($L186,'[2]Circ. Economy'!B:D,2,FALSE),0)</f>
        <v>0</v>
      </c>
      <c r="Y186" s="83">
        <f>IFERROR(VLOOKUP($L186,[2]Pollution!B:D,2,FALSE),0)</f>
        <v>0</v>
      </c>
      <c r="Z186" s="83">
        <f>IFERROR(VLOOKUP($L186,[2]Biodiversity!B:D,2,FALSE),0)</f>
        <v>0</v>
      </c>
      <c r="AA186" s="83">
        <f>IFERROR(VLOOKUP($L186,[2]Biodiversity!C:E,2,FALSE),0)</f>
        <v>0</v>
      </c>
      <c r="AB186" s="83">
        <v>6</v>
      </c>
      <c r="AC186" s="43"/>
    </row>
    <row r="187" spans="1:29" s="2" customFormat="1" ht="32.25" customHeight="1">
      <c r="A187" s="85"/>
      <c r="B187" s="175">
        <v>183</v>
      </c>
      <c r="C187" s="84" t="s">
        <v>1313</v>
      </c>
      <c r="D187" s="81" t="s">
        <v>1314</v>
      </c>
      <c r="E187" s="80">
        <v>3602</v>
      </c>
      <c r="F187" s="198" t="s">
        <v>1318</v>
      </c>
      <c r="G187" s="80" t="s">
        <v>1301</v>
      </c>
      <c r="H187" s="81" t="s">
        <v>1301</v>
      </c>
      <c r="I187" s="81"/>
      <c r="J187" s="81"/>
      <c r="K187" s="79" t="s">
        <v>1301</v>
      </c>
      <c r="L187" s="79" t="s">
        <v>281</v>
      </c>
      <c r="M187" s="82" t="s">
        <v>30</v>
      </c>
      <c r="N187" s="30" t="s">
        <v>40</v>
      </c>
      <c r="O187" s="30"/>
      <c r="P187" s="30" t="s">
        <v>40</v>
      </c>
      <c r="Q187" s="30" t="s">
        <v>40</v>
      </c>
      <c r="R187" s="30" t="s">
        <v>1302</v>
      </c>
      <c r="S187" s="30" t="s">
        <v>1319</v>
      </c>
      <c r="T187" s="32" t="s">
        <v>1317</v>
      </c>
      <c r="U187" s="83">
        <f>IFERROR(VLOOKUP(L187,[2]Mitigation!B:D,2,FALSE),0)</f>
        <v>0</v>
      </c>
      <c r="V187" s="83">
        <f>IFERROR(VLOOKUP($L187,[2]Adaptation!B:D,2,FALSE),0)</f>
        <v>0</v>
      </c>
      <c r="W187" s="83">
        <f>+IFERROR(VLOOKUP($L187,[2]Water!B:D,2,0),0)</f>
        <v>0</v>
      </c>
      <c r="X187" s="83">
        <f>IFERROR(VLOOKUP($L187,'[2]Circ. Economy'!B:D,2,FALSE),0)</f>
        <v>0</v>
      </c>
      <c r="Y187" s="83">
        <f>IFERROR(VLOOKUP($L187,[2]Pollution!B:D,2,FALSE),0)</f>
        <v>0</v>
      </c>
      <c r="Z187" s="83">
        <f>IFERROR(VLOOKUP($L187,[2]Biodiversity!B:D,2,FALSE),0)</f>
        <v>0</v>
      </c>
      <c r="AA187" s="83">
        <f>IFERROR(VLOOKUP($L187,[2]Biodiversity!C:E,2,FALSE),0)</f>
        <v>0</v>
      </c>
      <c r="AB187" s="83">
        <v>7</v>
      </c>
      <c r="AC187" s="43"/>
    </row>
    <row r="188" spans="1:29" s="2" customFormat="1" ht="32.25" customHeight="1">
      <c r="A188" s="75"/>
      <c r="B188" s="175">
        <v>184</v>
      </c>
      <c r="C188" s="84" t="s">
        <v>1313</v>
      </c>
      <c r="D188" s="81" t="s">
        <v>1314</v>
      </c>
      <c r="E188" s="80">
        <f>+VLOOKUP(F188,'[1]Codes &amp; Descr. SFICS25'!D:E,2,FALSE)</f>
        <v>3603</v>
      </c>
      <c r="F188" s="79" t="s">
        <v>1320</v>
      </c>
      <c r="G188" s="80" t="s">
        <v>1301</v>
      </c>
      <c r="H188" s="81" t="s">
        <v>1301</v>
      </c>
      <c r="I188" s="81"/>
      <c r="J188" s="81"/>
      <c r="K188" s="79" t="s">
        <v>1301</v>
      </c>
      <c r="L188" s="79" t="s">
        <v>281</v>
      </c>
      <c r="M188" s="82" t="s">
        <v>30</v>
      </c>
      <c r="N188" s="30" t="s">
        <v>40</v>
      </c>
      <c r="O188" s="30"/>
      <c r="P188" s="30" t="s">
        <v>40</v>
      </c>
      <c r="Q188" s="30" t="s">
        <v>40</v>
      </c>
      <c r="R188" s="30" t="s">
        <v>1302</v>
      </c>
      <c r="S188" s="30" t="s">
        <v>1319</v>
      </c>
      <c r="T188" s="32" t="s">
        <v>1317</v>
      </c>
      <c r="U188" s="83">
        <f>IFERROR(VLOOKUP(L188,[2]Mitigation!B:D,2,FALSE),0)</f>
        <v>0</v>
      </c>
      <c r="V188" s="83">
        <f>IFERROR(VLOOKUP($L188,[2]Adaptation!B:D,2,FALSE),0)</f>
        <v>0</v>
      </c>
      <c r="W188" s="83">
        <f>+IFERROR(VLOOKUP($L188,[2]Water!B:D,2,0),0)</f>
        <v>0</v>
      </c>
      <c r="X188" s="83">
        <f>IFERROR(VLOOKUP($L188,'[2]Circ. Economy'!B:D,2,FALSE),0)</f>
        <v>0</v>
      </c>
      <c r="Y188" s="83">
        <f>IFERROR(VLOOKUP($L188,[2]Pollution!B:D,2,FALSE),0)</f>
        <v>0</v>
      </c>
      <c r="Z188" s="83">
        <f>IFERROR(VLOOKUP($L188,[2]Biodiversity!B:D,2,FALSE),0)</f>
        <v>0</v>
      </c>
      <c r="AA188" s="83">
        <f>IFERROR(VLOOKUP($L188,[2]Biodiversity!C:E,2,FALSE),0)</f>
        <v>0</v>
      </c>
      <c r="AB188" s="83">
        <v>8</v>
      </c>
      <c r="AC188" s="43"/>
    </row>
    <row r="189" spans="1:29" s="2" customFormat="1" ht="32.25" customHeight="1">
      <c r="A189" s="75"/>
      <c r="B189" s="175">
        <v>185</v>
      </c>
      <c r="C189" s="84" t="s">
        <v>1321</v>
      </c>
      <c r="D189" s="81" t="s">
        <v>1322</v>
      </c>
      <c r="E189" s="80">
        <f>+VLOOKUP(F189,'[1]Codes &amp; Descr. SFICS25'!D:E,2,FALSE)</f>
        <v>3701</v>
      </c>
      <c r="F189" s="79" t="s">
        <v>1323</v>
      </c>
      <c r="G189" s="80" t="s">
        <v>1301</v>
      </c>
      <c r="H189" s="81" t="s">
        <v>1301</v>
      </c>
      <c r="I189" s="81"/>
      <c r="J189" s="81"/>
      <c r="K189" s="79" t="s">
        <v>1301</v>
      </c>
      <c r="L189" s="79" t="s">
        <v>281</v>
      </c>
      <c r="M189" s="82" t="s">
        <v>30</v>
      </c>
      <c r="N189" s="30" t="s">
        <v>40</v>
      </c>
      <c r="O189" s="30"/>
      <c r="P189" s="30" t="s">
        <v>40</v>
      </c>
      <c r="Q189" s="30" t="s">
        <v>40</v>
      </c>
      <c r="R189" s="30" t="s">
        <v>1324</v>
      </c>
      <c r="S189" s="30" t="s">
        <v>1325</v>
      </c>
      <c r="T189" s="32" t="s">
        <v>293</v>
      </c>
      <c r="U189" s="83">
        <f>IFERROR(VLOOKUP(L189,[2]Mitigation!B:D,2,FALSE),0)</f>
        <v>0</v>
      </c>
      <c r="V189" s="83">
        <f>IFERROR(VLOOKUP($L189,[2]Adaptation!B:D,2,FALSE),0)</f>
        <v>0</v>
      </c>
      <c r="W189" s="83">
        <f>+IFERROR(VLOOKUP($L189,[2]Water!B:D,2,0),0)</f>
        <v>0</v>
      </c>
      <c r="X189" s="83">
        <f>IFERROR(VLOOKUP($L189,'[2]Circ. Economy'!B:D,2,FALSE),0)</f>
        <v>0</v>
      </c>
      <c r="Y189" s="83">
        <f>IFERROR(VLOOKUP($L189,[2]Pollution!B:D,2,FALSE),0)</f>
        <v>0</v>
      </c>
      <c r="Z189" s="83">
        <f>IFERROR(VLOOKUP($L189,[2]Biodiversity!B:D,2,FALSE),0)</f>
        <v>0</v>
      </c>
      <c r="AA189" s="83">
        <f>IFERROR(VLOOKUP($L189,[2]Biodiversity!C:E,2,FALSE),0)</f>
        <v>0</v>
      </c>
      <c r="AB189" s="83">
        <v>9</v>
      </c>
      <c r="AC189" s="43"/>
    </row>
    <row r="190" spans="1:29" s="2" customFormat="1" ht="32.25" customHeight="1">
      <c r="A190" s="75"/>
      <c r="B190" s="175">
        <v>186</v>
      </c>
      <c r="C190" s="84" t="s">
        <v>1321</v>
      </c>
      <c r="D190" s="81" t="s">
        <v>1322</v>
      </c>
      <c r="E190" s="80">
        <f>+VLOOKUP(F190,'[1]Codes &amp; Descr. SFICS25'!D:E,2,FALSE)</f>
        <v>3702</v>
      </c>
      <c r="F190" s="79" t="s">
        <v>1326</v>
      </c>
      <c r="G190" s="80" t="s">
        <v>1301</v>
      </c>
      <c r="H190" s="81" t="s">
        <v>1301</v>
      </c>
      <c r="I190" s="81"/>
      <c r="J190" s="81"/>
      <c r="K190" s="79" t="s">
        <v>1301</v>
      </c>
      <c r="L190" s="79" t="s">
        <v>281</v>
      </c>
      <c r="M190" s="82" t="s">
        <v>30</v>
      </c>
      <c r="N190" s="30" t="s">
        <v>40</v>
      </c>
      <c r="O190" s="30"/>
      <c r="P190" s="30" t="s">
        <v>40</v>
      </c>
      <c r="Q190" s="30" t="s">
        <v>40</v>
      </c>
      <c r="R190" s="30" t="s">
        <v>1324</v>
      </c>
      <c r="S190" s="30" t="s">
        <v>1327</v>
      </c>
      <c r="T190" s="32" t="s">
        <v>293</v>
      </c>
      <c r="U190" s="83">
        <f>IFERROR(VLOOKUP(L190,[2]Mitigation!B:D,2,FALSE),0)</f>
        <v>0</v>
      </c>
      <c r="V190" s="83">
        <f>IFERROR(VLOOKUP($L190,[2]Adaptation!B:D,2,FALSE),0)</f>
        <v>0</v>
      </c>
      <c r="W190" s="83">
        <f>+IFERROR(VLOOKUP($L190,[2]Water!B:D,2,0),0)</f>
        <v>0</v>
      </c>
      <c r="X190" s="83">
        <f>IFERROR(VLOOKUP($L190,'[2]Circ. Economy'!B:D,2,FALSE),0)</f>
        <v>0</v>
      </c>
      <c r="Y190" s="83">
        <f>IFERROR(VLOOKUP($L190,[2]Pollution!B:D,2,FALSE),0)</f>
        <v>0</v>
      </c>
      <c r="Z190" s="83">
        <f>IFERROR(VLOOKUP($L190,[2]Biodiversity!B:D,2,FALSE),0)</f>
        <v>0</v>
      </c>
      <c r="AA190" s="83">
        <f>IFERROR(VLOOKUP($L190,[2]Biodiversity!C:E,2,FALSE),0)</f>
        <v>0</v>
      </c>
      <c r="AB190" s="83">
        <v>10</v>
      </c>
      <c r="AC190" s="43"/>
    </row>
    <row r="191" spans="1:29" s="2" customFormat="1" ht="32.25" customHeight="1">
      <c r="A191" s="75"/>
      <c r="B191" s="175">
        <v>187</v>
      </c>
      <c r="C191" s="84" t="s">
        <v>1321</v>
      </c>
      <c r="D191" s="81" t="s">
        <v>1322</v>
      </c>
      <c r="E191" s="80">
        <f>+VLOOKUP(F191,'[1]Codes &amp; Descr. SFICS25'!D:E,2,FALSE)</f>
        <v>3703</v>
      </c>
      <c r="F191" s="79" t="s">
        <v>1328</v>
      </c>
      <c r="G191" s="80" t="s">
        <v>1301</v>
      </c>
      <c r="H191" s="81" t="s">
        <v>1301</v>
      </c>
      <c r="I191" s="81"/>
      <c r="J191" s="81"/>
      <c r="K191" s="79" t="s">
        <v>1301</v>
      </c>
      <c r="L191" s="79" t="s">
        <v>281</v>
      </c>
      <c r="M191" s="82" t="s">
        <v>30</v>
      </c>
      <c r="N191" s="30" t="s">
        <v>40</v>
      </c>
      <c r="O191" s="30"/>
      <c r="P191" s="30" t="s">
        <v>40</v>
      </c>
      <c r="Q191" s="30" t="s">
        <v>40</v>
      </c>
      <c r="R191" s="30" t="s">
        <v>1302</v>
      </c>
      <c r="S191" s="30" t="s">
        <v>1316</v>
      </c>
      <c r="T191" s="32" t="s">
        <v>293</v>
      </c>
      <c r="U191" s="83">
        <f>IFERROR(VLOOKUP(L191,[2]Mitigation!B:D,2,FALSE),0)</f>
        <v>0</v>
      </c>
      <c r="V191" s="83">
        <f>IFERROR(VLOOKUP($L191,[2]Adaptation!B:D,2,FALSE),0)</f>
        <v>0</v>
      </c>
      <c r="W191" s="83">
        <f>+IFERROR(VLOOKUP($L191,[2]Water!B:D,2,0),0)</f>
        <v>0</v>
      </c>
      <c r="X191" s="83">
        <f>IFERROR(VLOOKUP($L191,'[2]Circ. Economy'!B:D,2,FALSE),0)</f>
        <v>0</v>
      </c>
      <c r="Y191" s="83">
        <f>IFERROR(VLOOKUP($L191,[2]Pollution!B:D,2,FALSE),0)</f>
        <v>0</v>
      </c>
      <c r="Z191" s="83">
        <f>IFERROR(VLOOKUP($L191,[2]Biodiversity!B:D,2,FALSE),0)</f>
        <v>0</v>
      </c>
      <c r="AA191" s="83">
        <f>IFERROR(VLOOKUP($L191,[2]Biodiversity!C:E,2,FALSE),0)</f>
        <v>0</v>
      </c>
      <c r="AB191" s="83">
        <v>10</v>
      </c>
      <c r="AC191" s="43"/>
    </row>
    <row r="192" spans="1:29" s="2" customFormat="1" ht="32.25" customHeight="1">
      <c r="A192" s="75"/>
      <c r="B192" s="175">
        <v>188</v>
      </c>
      <c r="C192" s="84" t="s">
        <v>1329</v>
      </c>
      <c r="D192" s="81" t="s">
        <v>1330</v>
      </c>
      <c r="E192" s="80">
        <f>+VLOOKUP(F192,'[1]Codes &amp; Descr. SFICS25'!D:E,2,FALSE)</f>
        <v>3801</v>
      </c>
      <c r="F192" s="79" t="s">
        <v>1331</v>
      </c>
      <c r="G192" s="80" t="s">
        <v>1301</v>
      </c>
      <c r="H192" s="81" t="s">
        <v>1301</v>
      </c>
      <c r="I192" s="81"/>
      <c r="J192" s="81"/>
      <c r="K192" s="79" t="s">
        <v>1301</v>
      </c>
      <c r="L192" s="79" t="s">
        <v>281</v>
      </c>
      <c r="M192" s="82" t="s">
        <v>30</v>
      </c>
      <c r="N192" s="30" t="s">
        <v>40</v>
      </c>
      <c r="O192" s="30"/>
      <c r="P192" s="30" t="s">
        <v>40</v>
      </c>
      <c r="Q192" s="30" t="s">
        <v>40</v>
      </c>
      <c r="R192" s="30" t="s">
        <v>1324</v>
      </c>
      <c r="S192" s="30" t="s">
        <v>1332</v>
      </c>
      <c r="T192" s="32" t="s">
        <v>1333</v>
      </c>
      <c r="U192" s="83">
        <f>IFERROR(VLOOKUP(L192,[2]Mitigation!B:D,2,FALSE),0)</f>
        <v>0</v>
      </c>
      <c r="V192" s="83">
        <f>IFERROR(VLOOKUP($L192,[2]Adaptation!B:D,2,FALSE),0)</f>
        <v>0</v>
      </c>
      <c r="W192" s="83">
        <f>+IFERROR(VLOOKUP($L192,[2]Water!B:D,2,0),0)</f>
        <v>0</v>
      </c>
      <c r="X192" s="83">
        <f>IFERROR(VLOOKUP($L192,'[2]Circ. Economy'!B:D,2,FALSE),0)</f>
        <v>0</v>
      </c>
      <c r="Y192" s="83">
        <f>IFERROR(VLOOKUP($L192,[2]Pollution!B:D,2,FALSE),0)</f>
        <v>0</v>
      </c>
      <c r="Z192" s="83">
        <f>IFERROR(VLOOKUP($L192,[2]Biodiversity!B:D,2,FALSE),0)</f>
        <v>0</v>
      </c>
      <c r="AA192" s="83">
        <f>IFERROR(VLOOKUP($L192,[2]Biodiversity!C:E,2,FALSE),0)</f>
        <v>0</v>
      </c>
      <c r="AB192" s="83">
        <v>1</v>
      </c>
      <c r="AC192" s="43"/>
    </row>
    <row r="193" spans="1:29" s="2" customFormat="1" ht="32.25" customHeight="1">
      <c r="A193" s="75"/>
      <c r="B193" s="175">
        <v>189</v>
      </c>
      <c r="C193" s="84" t="s">
        <v>1334</v>
      </c>
      <c r="D193" s="81" t="s">
        <v>1335</v>
      </c>
      <c r="E193" s="80">
        <f>+VLOOKUP(F193,'[1]Codes &amp; Descr. SFICS25'!D:E,2,FALSE)</f>
        <v>3901</v>
      </c>
      <c r="F193" s="79" t="s">
        <v>1336</v>
      </c>
      <c r="G193" s="80" t="s">
        <v>1301</v>
      </c>
      <c r="H193" s="81" t="s">
        <v>1301</v>
      </c>
      <c r="I193" s="81"/>
      <c r="J193" s="81"/>
      <c r="K193" s="79" t="s">
        <v>1301</v>
      </c>
      <c r="L193" s="79" t="s">
        <v>281</v>
      </c>
      <c r="M193" s="82" t="s">
        <v>30</v>
      </c>
      <c r="N193" s="30" t="s">
        <v>40</v>
      </c>
      <c r="O193" s="30"/>
      <c r="P193" s="30" t="s">
        <v>40</v>
      </c>
      <c r="Q193" s="30" t="s">
        <v>40</v>
      </c>
      <c r="R193" s="30" t="s">
        <v>1324</v>
      </c>
      <c r="S193" s="30" t="s">
        <v>1332</v>
      </c>
      <c r="T193" s="32" t="s">
        <v>1337</v>
      </c>
      <c r="U193" s="83">
        <f>IFERROR(VLOOKUP(L193,[2]Mitigation!B:D,2,FALSE),0)</f>
        <v>0</v>
      </c>
      <c r="V193" s="83">
        <f>IFERROR(VLOOKUP($L193,[2]Adaptation!B:D,2,FALSE),0)</f>
        <v>0</v>
      </c>
      <c r="W193" s="83">
        <f>+IFERROR(VLOOKUP($L193,[2]Water!B:D,2,0),0)</f>
        <v>0</v>
      </c>
      <c r="X193" s="83">
        <f>IFERROR(VLOOKUP($L193,'[2]Circ. Economy'!B:D,2,FALSE),0)</f>
        <v>0</v>
      </c>
      <c r="Y193" s="83">
        <f>IFERROR(VLOOKUP($L193,[2]Pollution!B:D,2,FALSE),0)</f>
        <v>0</v>
      </c>
      <c r="Z193" s="83">
        <f>IFERROR(VLOOKUP($L193,[2]Biodiversity!B:D,2,FALSE),0)</f>
        <v>0</v>
      </c>
      <c r="AA193" s="83">
        <f>IFERROR(VLOOKUP($L193,[2]Biodiversity!C:E,2,FALSE),0)</f>
        <v>0</v>
      </c>
      <c r="AB193" s="83">
        <v>1</v>
      </c>
      <c r="AC193" s="43"/>
    </row>
    <row r="194" spans="1:29" s="2" customFormat="1" ht="32.25" customHeight="1">
      <c r="A194" s="75"/>
      <c r="B194" s="175">
        <v>190</v>
      </c>
      <c r="C194" s="84" t="s">
        <v>1334</v>
      </c>
      <c r="D194" s="81" t="s">
        <v>1335</v>
      </c>
      <c r="E194" s="80">
        <f>+VLOOKUP(F194,'[1]Codes &amp; Descr. SFICS25'!D:E,2,FALSE)</f>
        <v>3902</v>
      </c>
      <c r="F194" s="79" t="s">
        <v>1338</v>
      </c>
      <c r="G194" s="80" t="s">
        <v>1301</v>
      </c>
      <c r="H194" s="81" t="s">
        <v>1301</v>
      </c>
      <c r="I194" s="81"/>
      <c r="J194" s="81"/>
      <c r="K194" s="79" t="s">
        <v>1301</v>
      </c>
      <c r="L194" s="79" t="s">
        <v>281</v>
      </c>
      <c r="M194" s="82" t="s">
        <v>30</v>
      </c>
      <c r="N194" s="30" t="s">
        <v>40</v>
      </c>
      <c r="O194" s="30"/>
      <c r="P194" s="30" t="s">
        <v>40</v>
      </c>
      <c r="Q194" s="30" t="s">
        <v>40</v>
      </c>
      <c r="R194" s="30" t="s">
        <v>1324</v>
      </c>
      <c r="S194" s="30" t="s">
        <v>1332</v>
      </c>
      <c r="T194" s="32" t="s">
        <v>1337</v>
      </c>
      <c r="U194" s="83">
        <f>IFERROR(VLOOKUP(L194,[2]Mitigation!B:D,2,FALSE),0)</f>
        <v>0</v>
      </c>
      <c r="V194" s="83">
        <f>IFERROR(VLOOKUP($L194,[2]Adaptation!B:D,2,FALSE),0)</f>
        <v>0</v>
      </c>
      <c r="W194" s="83">
        <f>+IFERROR(VLOOKUP($L194,[2]Water!B:D,2,0),0)</f>
        <v>0</v>
      </c>
      <c r="X194" s="83">
        <f>IFERROR(VLOOKUP($L194,'[2]Circ. Economy'!B:D,2,FALSE),0)</f>
        <v>0</v>
      </c>
      <c r="Y194" s="83">
        <f>IFERROR(VLOOKUP($L194,[2]Pollution!B:D,2,FALSE),0)</f>
        <v>0</v>
      </c>
      <c r="Z194" s="83">
        <f>IFERROR(VLOOKUP($L194,[2]Biodiversity!B:D,2,FALSE),0)</f>
        <v>0</v>
      </c>
      <c r="AA194" s="83">
        <f>IFERROR(VLOOKUP($L194,[2]Biodiversity!C:E,2,FALSE),0)</f>
        <v>0</v>
      </c>
      <c r="AB194" s="83">
        <v>2</v>
      </c>
      <c r="AC194" s="43"/>
    </row>
    <row r="195" spans="1:29" s="2" customFormat="1" ht="32.25" customHeight="1">
      <c r="A195" s="75"/>
      <c r="B195" s="175">
        <v>191</v>
      </c>
      <c r="C195" s="84" t="s">
        <v>1334</v>
      </c>
      <c r="D195" s="81" t="s">
        <v>1335</v>
      </c>
      <c r="E195" s="80">
        <f>+VLOOKUP(F195,'[1]Codes &amp; Descr. SFICS25'!D:E,2,FALSE)</f>
        <v>3903</v>
      </c>
      <c r="F195" s="79" t="s">
        <v>1339</v>
      </c>
      <c r="G195" s="80" t="s">
        <v>1301</v>
      </c>
      <c r="H195" s="81" t="s">
        <v>1301</v>
      </c>
      <c r="I195" s="81"/>
      <c r="J195" s="81"/>
      <c r="K195" s="79" t="s">
        <v>1301</v>
      </c>
      <c r="L195" s="79" t="s">
        <v>281</v>
      </c>
      <c r="M195" s="82" t="s">
        <v>30</v>
      </c>
      <c r="N195" s="30" t="s">
        <v>40</v>
      </c>
      <c r="O195" s="30"/>
      <c r="P195" s="30" t="s">
        <v>40</v>
      </c>
      <c r="Q195" s="30" t="s">
        <v>40</v>
      </c>
      <c r="R195" s="30" t="s">
        <v>1324</v>
      </c>
      <c r="S195" s="30" t="s">
        <v>1340</v>
      </c>
      <c r="T195" s="32" t="s">
        <v>1337</v>
      </c>
      <c r="U195" s="83">
        <f>IFERROR(VLOOKUP(L195,[2]Mitigation!B:D,2,FALSE),0)</f>
        <v>0</v>
      </c>
      <c r="V195" s="83">
        <f>IFERROR(VLOOKUP($L195,[2]Adaptation!B:D,2,FALSE),0)</f>
        <v>0</v>
      </c>
      <c r="W195" s="83">
        <f>+IFERROR(VLOOKUP($L195,[2]Water!B:D,2,0),0)</f>
        <v>0</v>
      </c>
      <c r="X195" s="83">
        <f>IFERROR(VLOOKUP($L195,'[2]Circ. Economy'!B:D,2,FALSE),0)</f>
        <v>0</v>
      </c>
      <c r="Y195" s="83">
        <f>IFERROR(VLOOKUP($L195,[2]Pollution!B:D,2,FALSE),0)</f>
        <v>0</v>
      </c>
      <c r="Z195" s="83">
        <f>IFERROR(VLOOKUP($L195,[2]Biodiversity!B:D,2,FALSE),0)</f>
        <v>0</v>
      </c>
      <c r="AA195" s="83">
        <f>IFERROR(VLOOKUP($L195,[2]Biodiversity!C:E,2,FALSE),0)</f>
        <v>0</v>
      </c>
      <c r="AB195" s="83">
        <v>3</v>
      </c>
      <c r="AC195" s="43"/>
    </row>
    <row r="196" spans="1:29" s="2" customFormat="1" ht="32.25" customHeight="1">
      <c r="A196" s="75"/>
      <c r="B196" s="175">
        <v>192</v>
      </c>
      <c r="C196" s="84" t="s">
        <v>1341</v>
      </c>
      <c r="D196" s="81" t="s">
        <v>1342</v>
      </c>
      <c r="E196" s="80">
        <f>+VLOOKUP(F196,'[1]Codes &amp; Descr. SFICS25'!D:E,2,FALSE)</f>
        <v>4001</v>
      </c>
      <c r="F196" s="79" t="s">
        <v>1343</v>
      </c>
      <c r="G196" s="80" t="s">
        <v>1301</v>
      </c>
      <c r="H196" s="81" t="s">
        <v>1301</v>
      </c>
      <c r="I196" s="81"/>
      <c r="J196" s="81"/>
      <c r="K196" s="79"/>
      <c r="L196" s="79" t="s">
        <v>281</v>
      </c>
      <c r="M196" s="82" t="s">
        <v>30</v>
      </c>
      <c r="N196" s="30" t="s">
        <v>40</v>
      </c>
      <c r="O196" s="30"/>
      <c r="P196" s="30" t="s">
        <v>40</v>
      </c>
      <c r="Q196" s="30" t="s">
        <v>40</v>
      </c>
      <c r="R196" s="30" t="s">
        <v>1344</v>
      </c>
      <c r="S196" s="30" t="s">
        <v>1345</v>
      </c>
      <c r="T196" s="32" t="s">
        <v>1346</v>
      </c>
      <c r="U196" s="83">
        <f>IFERROR(VLOOKUP(L196,[2]Mitigation!B:D,2,FALSE),0)</f>
        <v>0</v>
      </c>
      <c r="V196" s="83">
        <f>IFERROR(VLOOKUP($L196,[2]Adaptation!B:D,2,FALSE),0)</f>
        <v>0</v>
      </c>
      <c r="W196" s="83">
        <f>+IFERROR(VLOOKUP($L196,[2]Water!B:D,2,0),0)</f>
        <v>0</v>
      </c>
      <c r="X196" s="83">
        <f>IFERROR(VLOOKUP($L196,'[2]Circ. Economy'!B:D,2,FALSE),0)</f>
        <v>0</v>
      </c>
      <c r="Y196" s="83">
        <f>IFERROR(VLOOKUP($L196,[2]Pollution!B:D,2,FALSE),0)</f>
        <v>0</v>
      </c>
      <c r="Z196" s="83">
        <f>IFERROR(VLOOKUP($L196,[2]Biodiversity!B:D,2,FALSE),0)</f>
        <v>0</v>
      </c>
      <c r="AA196" s="83">
        <f>IFERROR(VLOOKUP($L196,[2]Biodiversity!C:E,2,FALSE),0)</f>
        <v>0</v>
      </c>
      <c r="AB196" s="83">
        <v>4</v>
      </c>
      <c r="AC196" s="43"/>
    </row>
    <row r="197" spans="1:29" s="2" customFormat="1" ht="32.25" customHeight="1">
      <c r="A197" s="75"/>
      <c r="B197" s="175">
        <v>193</v>
      </c>
      <c r="C197" s="84" t="s">
        <v>1341</v>
      </c>
      <c r="D197" s="81" t="s">
        <v>1342</v>
      </c>
      <c r="E197" s="80">
        <f>+VLOOKUP(F197,'[1]Codes &amp; Descr. SFICS25'!D:E,2,FALSE)</f>
        <v>4002</v>
      </c>
      <c r="F197" s="79" t="s">
        <v>1347</v>
      </c>
      <c r="G197" s="80" t="s">
        <v>1301</v>
      </c>
      <c r="H197" s="81" t="s">
        <v>1301</v>
      </c>
      <c r="I197" s="81"/>
      <c r="J197" s="81"/>
      <c r="K197" s="79" t="s">
        <v>1301</v>
      </c>
      <c r="L197" s="79" t="s">
        <v>281</v>
      </c>
      <c r="M197" s="82" t="s">
        <v>30</v>
      </c>
      <c r="N197" s="30" t="s">
        <v>40</v>
      </c>
      <c r="O197" s="30"/>
      <c r="P197" s="30" t="s">
        <v>40</v>
      </c>
      <c r="Q197" s="30" t="s">
        <v>40</v>
      </c>
      <c r="R197" s="30" t="s">
        <v>1348</v>
      </c>
      <c r="S197" s="30" t="s">
        <v>1349</v>
      </c>
      <c r="T197" s="32" t="s">
        <v>1346</v>
      </c>
      <c r="U197" s="83">
        <f>IFERROR(VLOOKUP(L197,[2]Mitigation!B:D,2,FALSE),0)</f>
        <v>0</v>
      </c>
      <c r="V197" s="83">
        <f>IFERROR(VLOOKUP($L197,[2]Adaptation!B:D,2,FALSE),0)</f>
        <v>0</v>
      </c>
      <c r="W197" s="83">
        <f>+IFERROR(VLOOKUP($L197,[2]Water!B:D,2,0),0)</f>
        <v>0</v>
      </c>
      <c r="X197" s="83">
        <f>IFERROR(VLOOKUP($L197,'[2]Circ. Economy'!B:D,2,FALSE),0)</f>
        <v>0</v>
      </c>
      <c r="Y197" s="83">
        <f>IFERROR(VLOOKUP($L197,[2]Pollution!B:D,2,FALSE),0)</f>
        <v>0</v>
      </c>
      <c r="Z197" s="83">
        <f>IFERROR(VLOOKUP($L197,[2]Biodiversity!B:D,2,FALSE),0)</f>
        <v>0</v>
      </c>
      <c r="AA197" s="83">
        <f>IFERROR(VLOOKUP($L197,[2]Biodiversity!C:E,2,FALSE),0)</f>
        <v>0</v>
      </c>
      <c r="AB197" s="83">
        <v>5</v>
      </c>
      <c r="AC197" s="43"/>
    </row>
    <row r="198" spans="1:29" s="2" customFormat="1" ht="32.25" customHeight="1">
      <c r="A198" s="85"/>
      <c r="B198" s="175">
        <v>194</v>
      </c>
      <c r="C198" s="84" t="s">
        <v>1350</v>
      </c>
      <c r="D198" s="81" t="s">
        <v>1351</v>
      </c>
      <c r="E198" s="80">
        <v>4101</v>
      </c>
      <c r="F198" s="198" t="s">
        <v>1352</v>
      </c>
      <c r="G198" s="80" t="s">
        <v>1301</v>
      </c>
      <c r="H198" s="81" t="s">
        <v>1301</v>
      </c>
      <c r="I198" s="81"/>
      <c r="J198" s="81"/>
      <c r="K198" s="79" t="s">
        <v>1301</v>
      </c>
      <c r="L198" s="79" t="s">
        <v>281</v>
      </c>
      <c r="M198" s="82" t="s">
        <v>30</v>
      </c>
      <c r="N198" s="30" t="s">
        <v>40</v>
      </c>
      <c r="O198" s="30"/>
      <c r="P198" s="30" t="s">
        <v>40</v>
      </c>
      <c r="Q198" s="30" t="s">
        <v>40</v>
      </c>
      <c r="R198" s="32" t="s">
        <v>1353</v>
      </c>
      <c r="S198" s="30" t="s">
        <v>1354</v>
      </c>
      <c r="T198" s="32" t="s">
        <v>1355</v>
      </c>
      <c r="U198" s="83">
        <f>IFERROR(VLOOKUP(L198,[2]Mitigation!B:D,2,FALSE),0)</f>
        <v>0</v>
      </c>
      <c r="V198" s="83">
        <f>IFERROR(VLOOKUP($L198,[2]Adaptation!B:D,2,FALSE),0)</f>
        <v>0</v>
      </c>
      <c r="W198" s="83">
        <f>+IFERROR(VLOOKUP($L198,[2]Water!B:D,2,0),0)</f>
        <v>0</v>
      </c>
      <c r="X198" s="83">
        <f>IFERROR(VLOOKUP($L198,'[2]Circ. Economy'!B:D,2,FALSE),0)</f>
        <v>0</v>
      </c>
      <c r="Y198" s="83">
        <f>IFERROR(VLOOKUP($L198,[2]Pollution!B:D,2,FALSE),0)</f>
        <v>0</v>
      </c>
      <c r="Z198" s="83">
        <f>IFERROR(VLOOKUP($L198,[2]Biodiversity!B:D,2,FALSE),0)</f>
        <v>0</v>
      </c>
      <c r="AA198" s="83">
        <f>IFERROR(VLOOKUP($L198,[2]Biodiversity!C:E,2,FALSE),0)</f>
        <v>0</v>
      </c>
      <c r="AB198" s="83">
        <v>1</v>
      </c>
      <c r="AC198" s="43"/>
    </row>
    <row r="199" spans="1:29" s="2" customFormat="1" ht="32.25" customHeight="1">
      <c r="A199" s="75"/>
      <c r="B199" s="175">
        <v>195</v>
      </c>
      <c r="C199" s="84" t="s">
        <v>1350</v>
      </c>
      <c r="D199" s="81" t="s">
        <v>1351</v>
      </c>
      <c r="E199" s="80">
        <f>+VLOOKUP(F199,'[1]Codes &amp; Descr. SFICS25'!D:E,2,FALSE)</f>
        <v>4102</v>
      </c>
      <c r="F199" s="79" t="s">
        <v>1356</v>
      </c>
      <c r="G199" s="80" t="s">
        <v>1301</v>
      </c>
      <c r="H199" s="81" t="s">
        <v>1301</v>
      </c>
      <c r="I199" s="81"/>
      <c r="J199" s="81"/>
      <c r="K199" s="79" t="s">
        <v>1301</v>
      </c>
      <c r="L199" s="79" t="s">
        <v>281</v>
      </c>
      <c r="M199" s="82" t="s">
        <v>30</v>
      </c>
      <c r="N199" s="30" t="s">
        <v>40</v>
      </c>
      <c r="O199" s="30"/>
      <c r="P199" s="30" t="s">
        <v>40</v>
      </c>
      <c r="Q199" s="30" t="s">
        <v>40</v>
      </c>
      <c r="R199" s="30" t="s">
        <v>1357</v>
      </c>
      <c r="S199" s="30" t="s">
        <v>1354</v>
      </c>
      <c r="T199" s="32" t="s">
        <v>1355</v>
      </c>
      <c r="U199" s="83">
        <f>IFERROR(VLOOKUP(L199,[2]Mitigation!B:D,2,FALSE),0)</f>
        <v>0</v>
      </c>
      <c r="V199" s="83">
        <f>IFERROR(VLOOKUP($L199,[2]Adaptation!B:D,2,FALSE),0)</f>
        <v>0</v>
      </c>
      <c r="W199" s="83">
        <f>+IFERROR(VLOOKUP($L199,[2]Water!B:D,2,0),0)</f>
        <v>0</v>
      </c>
      <c r="X199" s="83">
        <f>IFERROR(VLOOKUP($L199,'[2]Circ. Economy'!B:D,2,FALSE),0)</f>
        <v>0</v>
      </c>
      <c r="Y199" s="83">
        <f>IFERROR(VLOOKUP($L199,[2]Pollution!B:D,2,FALSE),0)</f>
        <v>0</v>
      </c>
      <c r="Z199" s="83">
        <f>IFERROR(VLOOKUP($L199,[2]Biodiversity!B:D,2,FALSE),0)</f>
        <v>0</v>
      </c>
      <c r="AA199" s="83">
        <f>IFERROR(VLOOKUP($L199,[2]Biodiversity!C:E,2,FALSE),0)</f>
        <v>0</v>
      </c>
      <c r="AB199" s="83">
        <v>2</v>
      </c>
      <c r="AC199" s="43"/>
    </row>
    <row r="200" spans="1:29" s="2" customFormat="1" ht="32.25" customHeight="1">
      <c r="A200" s="75"/>
      <c r="B200" s="175">
        <v>196</v>
      </c>
      <c r="C200" s="84" t="s">
        <v>1358</v>
      </c>
      <c r="D200" s="81" t="s">
        <v>1359</v>
      </c>
      <c r="E200" s="80">
        <f>+VLOOKUP(F200,'[1]Codes &amp; Descr. SFICS25'!D:E,2,FALSE)</f>
        <v>4201</v>
      </c>
      <c r="F200" s="79" t="s">
        <v>1360</v>
      </c>
      <c r="G200" s="80" t="s">
        <v>1301</v>
      </c>
      <c r="H200" s="81" t="s">
        <v>1301</v>
      </c>
      <c r="I200" s="81"/>
      <c r="J200" s="81"/>
      <c r="K200" s="79" t="s">
        <v>1301</v>
      </c>
      <c r="L200" s="79" t="s">
        <v>281</v>
      </c>
      <c r="M200" s="82" t="s">
        <v>30</v>
      </c>
      <c r="N200" s="30" t="s">
        <v>40</v>
      </c>
      <c r="O200" s="30"/>
      <c r="P200" s="30" t="s">
        <v>40</v>
      </c>
      <c r="Q200" s="30" t="s">
        <v>40</v>
      </c>
      <c r="R200" s="30" t="s">
        <v>1361</v>
      </c>
      <c r="S200" s="30" t="s">
        <v>1362</v>
      </c>
      <c r="T200" s="32" t="s">
        <v>1363</v>
      </c>
      <c r="U200" s="83">
        <f>IFERROR(VLOOKUP(L200,[2]Mitigation!B:D,2,FALSE),0)</f>
        <v>0</v>
      </c>
      <c r="V200" s="83">
        <f>IFERROR(VLOOKUP($L200,[2]Adaptation!B:D,2,FALSE),0)</f>
        <v>0</v>
      </c>
      <c r="W200" s="83">
        <f>+IFERROR(VLOOKUP($L200,[2]Water!B:D,2,0),0)</f>
        <v>0</v>
      </c>
      <c r="X200" s="83">
        <f>IFERROR(VLOOKUP($L200,'[2]Circ. Economy'!B:D,2,FALSE),0)</f>
        <v>0</v>
      </c>
      <c r="Y200" s="83">
        <f>IFERROR(VLOOKUP($L200,[2]Pollution!B:D,2,FALSE),0)</f>
        <v>0</v>
      </c>
      <c r="Z200" s="83">
        <f>IFERROR(VLOOKUP($L200,[2]Biodiversity!B:D,2,FALSE),0)</f>
        <v>0</v>
      </c>
      <c r="AA200" s="83">
        <f>IFERROR(VLOOKUP($L200,[2]Biodiversity!C:E,2,FALSE),0)</f>
        <v>0</v>
      </c>
      <c r="AB200" s="83">
        <v>1</v>
      </c>
      <c r="AC200" s="43"/>
    </row>
    <row r="201" spans="1:29" s="2" customFormat="1" ht="32.25" customHeight="1">
      <c r="A201" s="75"/>
      <c r="B201" s="175">
        <v>197</v>
      </c>
      <c r="C201" s="84" t="s">
        <v>1364</v>
      </c>
      <c r="D201" s="81" t="s">
        <v>1365</v>
      </c>
      <c r="E201" s="80">
        <f>+VLOOKUP(F201,'[1]Codes &amp; Descr. SFICS25'!D:E,2,FALSE)</f>
        <v>4301</v>
      </c>
      <c r="F201" s="79" t="s">
        <v>1366</v>
      </c>
      <c r="G201" s="80" t="s">
        <v>1301</v>
      </c>
      <c r="H201" s="81" t="s">
        <v>1301</v>
      </c>
      <c r="I201" s="81"/>
      <c r="J201" s="81"/>
      <c r="K201" s="79" t="s">
        <v>1301</v>
      </c>
      <c r="L201" s="79" t="s">
        <v>281</v>
      </c>
      <c r="M201" s="82" t="s">
        <v>30</v>
      </c>
      <c r="N201" s="30" t="s">
        <v>40</v>
      </c>
      <c r="O201" s="30"/>
      <c r="P201" s="30" t="s">
        <v>40</v>
      </c>
      <c r="Q201" s="30" t="s">
        <v>40</v>
      </c>
      <c r="R201" s="30" t="s">
        <v>1367</v>
      </c>
      <c r="S201" s="30" t="s">
        <v>1368</v>
      </c>
      <c r="T201" s="32" t="s">
        <v>1369</v>
      </c>
      <c r="U201" s="83">
        <f>IFERROR(VLOOKUP(L201,[2]Mitigation!B:D,2,FALSE),0)</f>
        <v>0</v>
      </c>
      <c r="V201" s="83">
        <f>IFERROR(VLOOKUP($L201,[2]Adaptation!B:D,2,FALSE),0)</f>
        <v>0</v>
      </c>
      <c r="W201" s="83">
        <f>+IFERROR(VLOOKUP($L201,[2]Water!B:D,2,0),0)</f>
        <v>0</v>
      </c>
      <c r="X201" s="83">
        <f>IFERROR(VLOOKUP($L201,'[2]Circ. Economy'!B:D,2,FALSE),0)</f>
        <v>0</v>
      </c>
      <c r="Y201" s="83">
        <f>IFERROR(VLOOKUP($L201,[2]Pollution!B:D,2,FALSE),0)</f>
        <v>0</v>
      </c>
      <c r="Z201" s="83">
        <f>IFERROR(VLOOKUP($L201,[2]Biodiversity!B:D,2,FALSE),0)</f>
        <v>0</v>
      </c>
      <c r="AA201" s="83">
        <f>IFERROR(VLOOKUP($L201,[2]Biodiversity!C:E,2,FALSE),0)</f>
        <v>0</v>
      </c>
      <c r="AB201" s="83">
        <v>1</v>
      </c>
      <c r="AC201" s="43"/>
    </row>
    <row r="202" spans="1:29" s="2" customFormat="1" ht="32.25" customHeight="1">
      <c r="A202" s="75"/>
      <c r="B202" s="175">
        <v>198</v>
      </c>
      <c r="C202" s="84" t="s">
        <v>1370</v>
      </c>
      <c r="D202" s="81" t="s">
        <v>1371</v>
      </c>
      <c r="E202" s="80">
        <f>+VLOOKUP(F202,'[1]Codes &amp; Descr. SFICS25'!D:E,2,FALSE)</f>
        <v>4401</v>
      </c>
      <c r="F202" s="79" t="s">
        <v>1372</v>
      </c>
      <c r="G202" s="80" t="s">
        <v>1301</v>
      </c>
      <c r="H202" s="81" t="s">
        <v>1301</v>
      </c>
      <c r="I202" s="81"/>
      <c r="J202" s="81"/>
      <c r="K202" s="79"/>
      <c r="L202" s="79"/>
      <c r="M202" s="82" t="s">
        <v>30</v>
      </c>
      <c r="N202" s="30" t="s">
        <v>40</v>
      </c>
      <c r="O202" s="30"/>
      <c r="P202" s="30" t="s">
        <v>40</v>
      </c>
      <c r="Q202" s="30" t="s">
        <v>40</v>
      </c>
      <c r="R202" s="30" t="s">
        <v>1371</v>
      </c>
      <c r="S202" s="30" t="s">
        <v>1373</v>
      </c>
      <c r="T202" s="32" t="s">
        <v>1374</v>
      </c>
      <c r="U202" s="83">
        <f>IFERROR(VLOOKUP(L202,[2]Mitigation!B:D,2,FALSE),0)</f>
        <v>0</v>
      </c>
      <c r="V202" s="83">
        <f>IFERROR(VLOOKUP($L202,[2]Adaptation!B:D,2,FALSE),0)</f>
        <v>0</v>
      </c>
      <c r="W202" s="83">
        <f>+IFERROR(VLOOKUP($L202,[2]Water!B:D,2,0),0)</f>
        <v>0</v>
      </c>
      <c r="X202" s="83">
        <f>IFERROR(VLOOKUP($L202,'[2]Circ. Economy'!B:D,2,FALSE),0)</f>
        <v>0</v>
      </c>
      <c r="Y202" s="83">
        <f>IFERROR(VLOOKUP($L202,[2]Pollution!B:D,2,FALSE),0)</f>
        <v>0</v>
      </c>
      <c r="Z202" s="83">
        <f>IFERROR(VLOOKUP($L202,[2]Biodiversity!B:D,2,FALSE),0)</f>
        <v>0</v>
      </c>
      <c r="AA202" s="83">
        <f>IFERROR(VLOOKUP($L202,[2]Biodiversity!C:E,2,FALSE),0)</f>
        <v>0</v>
      </c>
      <c r="AB202" s="83">
        <v>1</v>
      </c>
      <c r="AC202" s="43"/>
    </row>
    <row r="203" spans="1:29" s="2" customFormat="1" ht="32.25" customHeight="1">
      <c r="A203" s="85"/>
      <c r="B203" s="175">
        <v>199</v>
      </c>
      <c r="C203" s="86" t="s">
        <v>1375</v>
      </c>
      <c r="D203" s="66" t="s">
        <v>1376</v>
      </c>
      <c r="E203" s="66">
        <v>4501</v>
      </c>
      <c r="F203" s="87" t="s">
        <v>1377</v>
      </c>
      <c r="G203" s="80" t="s">
        <v>1301</v>
      </c>
      <c r="H203" s="81" t="s">
        <v>1301</v>
      </c>
      <c r="I203" s="81"/>
      <c r="J203" s="81"/>
      <c r="K203" s="79"/>
      <c r="L203" s="79"/>
      <c r="M203" s="82" t="s">
        <v>30</v>
      </c>
      <c r="N203" s="30" t="s">
        <v>40</v>
      </c>
      <c r="O203" s="30"/>
      <c r="P203" s="30" t="s">
        <v>40</v>
      </c>
      <c r="Q203" s="30" t="s">
        <v>40</v>
      </c>
      <c r="R203" s="66" t="s">
        <v>1378</v>
      </c>
      <c r="S203" s="66" t="s">
        <v>1379</v>
      </c>
      <c r="T203" s="88" t="s">
        <v>1380</v>
      </c>
      <c r="U203" s="83">
        <f>IFERROR(VLOOKUP(L203,[2]Mitigation!B:D,2,FALSE),0)</f>
        <v>0</v>
      </c>
      <c r="V203" s="83">
        <f>IFERROR(VLOOKUP($L203,[2]Adaptation!B:D,2,FALSE),0)</f>
        <v>0</v>
      </c>
      <c r="W203" s="83">
        <f>+IFERROR(VLOOKUP($L203,[2]Water!B:D,2,0),0)</f>
        <v>0</v>
      </c>
      <c r="X203" s="83">
        <f>IFERROR(VLOOKUP($L203,'[2]Circ. Economy'!B:D,2,FALSE),0)</f>
        <v>0</v>
      </c>
      <c r="Y203" s="83">
        <f>IFERROR(VLOOKUP($L203,[2]Pollution!B:D,2,FALSE),0)</f>
        <v>0</v>
      </c>
      <c r="Z203" s="83">
        <f>IFERROR(VLOOKUP($L203,[2]Biodiversity!B:D,2,FALSE),0)</f>
        <v>0</v>
      </c>
      <c r="AA203" s="83">
        <f>IFERROR(VLOOKUP($L203,[2]Biodiversity!C:E,2,FALSE),0)</f>
        <v>0</v>
      </c>
      <c r="AB203" s="83">
        <v>1</v>
      </c>
      <c r="AC203" s="43"/>
    </row>
    <row r="204" spans="1:29" ht="32.25" customHeight="1">
      <c r="B204" s="180"/>
      <c r="AC204" s="43"/>
    </row>
    <row r="205" spans="1:29" ht="32.25" customHeight="1">
      <c r="B205" s="120"/>
      <c r="AC205" s="43"/>
    </row>
    <row r="206" spans="1:29" ht="32.25" customHeight="1">
      <c r="B206" s="120"/>
      <c r="E206" s="1"/>
      <c r="AC206" s="43"/>
    </row>
    <row r="207" spans="1:29" ht="32.25" customHeight="1">
      <c r="B207" s="120"/>
      <c r="AC207" s="43"/>
    </row>
    <row r="208" spans="1:29" ht="32.25" customHeight="1">
      <c r="B208" s="120"/>
      <c r="AC208" s="43"/>
    </row>
    <row r="209" spans="2:29" ht="32.25" customHeight="1">
      <c r="B209" s="120"/>
      <c r="AC209" s="43"/>
    </row>
    <row r="210" spans="2:29" ht="32.25" customHeight="1">
      <c r="B210" s="120"/>
      <c r="AC210" s="43"/>
    </row>
    <row r="211" spans="2:29" ht="32.25" customHeight="1">
      <c r="B211" s="120"/>
      <c r="AC211" s="43"/>
    </row>
    <row r="212" spans="2:29" ht="32.25" customHeight="1">
      <c r="B212" s="120"/>
      <c r="AC212" s="43"/>
    </row>
    <row r="213" spans="2:29" ht="32.25" customHeight="1">
      <c r="B213" s="120"/>
      <c r="AC213" s="43"/>
    </row>
    <row r="214" spans="2:29" ht="32.25" customHeight="1">
      <c r="B214" s="120"/>
      <c r="AC214" s="43"/>
    </row>
    <row r="215" spans="2:29" ht="32.25" customHeight="1">
      <c r="B215" s="120"/>
      <c r="AC215" s="43"/>
    </row>
    <row r="216" spans="2:29">
      <c r="B216" s="120"/>
    </row>
    <row r="217" spans="2:29">
      <c r="B217" s="120"/>
    </row>
    <row r="218" spans="2:29">
      <c r="B218" s="120"/>
    </row>
    <row r="219" spans="2:29">
      <c r="B219" s="120"/>
    </row>
    <row r="220" spans="2:29">
      <c r="B220" s="120"/>
    </row>
    <row r="221" spans="2:29">
      <c r="B221" s="120"/>
    </row>
    <row r="222" spans="2:29">
      <c r="B222" s="120"/>
    </row>
    <row r="223" spans="2:29">
      <c r="B223" s="120"/>
    </row>
    <row r="224" spans="2:29">
      <c r="B224" s="120"/>
    </row>
    <row r="225" spans="2:2">
      <c r="B225" s="120"/>
    </row>
    <row r="226" spans="2:2">
      <c r="B226" s="120"/>
    </row>
    <row r="227" spans="2:2">
      <c r="B227" s="120"/>
    </row>
    <row r="228" spans="2:2">
      <c r="B228" s="120"/>
    </row>
    <row r="229" spans="2:2">
      <c r="B229" s="120"/>
    </row>
    <row r="230" spans="2:2">
      <c r="B230" s="120"/>
    </row>
    <row r="231" spans="2:2">
      <c r="B231" s="120"/>
    </row>
    <row r="232" spans="2:2">
      <c r="B232" s="120"/>
    </row>
    <row r="233" spans="2:2">
      <c r="B233" s="120"/>
    </row>
    <row r="234" spans="2:2">
      <c r="B234" s="120"/>
    </row>
    <row r="235" spans="2:2">
      <c r="B235" s="120"/>
    </row>
    <row r="236" spans="2:2">
      <c r="B236" s="120"/>
    </row>
    <row r="237" spans="2:2">
      <c r="B237" s="120"/>
    </row>
    <row r="238" spans="2:2">
      <c r="B238" s="120"/>
    </row>
    <row r="239" spans="2:2">
      <c r="B239" s="120"/>
    </row>
    <row r="240" spans="2:2">
      <c r="B240" s="120"/>
    </row>
    <row r="241" spans="2:2">
      <c r="B241" s="120"/>
    </row>
    <row r="242" spans="2:2">
      <c r="B242" s="120"/>
    </row>
    <row r="243" spans="2:2">
      <c r="B243" s="120"/>
    </row>
    <row r="244" spans="2:2">
      <c r="B244" s="120"/>
    </row>
    <row r="245" spans="2:2">
      <c r="B245" s="120"/>
    </row>
    <row r="246" spans="2:2">
      <c r="B246" s="120"/>
    </row>
    <row r="247" spans="2:2">
      <c r="B247" s="120"/>
    </row>
    <row r="248" spans="2:2">
      <c r="B248" s="120"/>
    </row>
    <row r="249" spans="2:2">
      <c r="B249" s="120"/>
    </row>
    <row r="250" spans="2:2">
      <c r="B250" s="120"/>
    </row>
    <row r="251" spans="2:2">
      <c r="B251" s="120"/>
    </row>
    <row r="252" spans="2:2">
      <c r="B252" s="120"/>
    </row>
    <row r="253" spans="2:2">
      <c r="B253" s="120"/>
    </row>
    <row r="254" spans="2:2">
      <c r="B254" s="120"/>
    </row>
    <row r="255" spans="2:2">
      <c r="B255" s="120"/>
    </row>
    <row r="256" spans="2:2">
      <c r="B256" s="120"/>
    </row>
    <row r="257" spans="2:2">
      <c r="B257" s="120"/>
    </row>
    <row r="258" spans="2:2">
      <c r="B258" s="120"/>
    </row>
    <row r="259" spans="2:2">
      <c r="B259" s="120"/>
    </row>
    <row r="260" spans="2:2">
      <c r="B260" s="120"/>
    </row>
    <row r="261" spans="2:2">
      <c r="B261" s="120"/>
    </row>
    <row r="262" spans="2:2">
      <c r="B262" s="120"/>
    </row>
    <row r="263" spans="2:2">
      <c r="B263" s="120"/>
    </row>
    <row r="264" spans="2:2">
      <c r="B264" s="120"/>
    </row>
    <row r="265" spans="2:2">
      <c r="B265" s="120"/>
    </row>
    <row r="266" spans="2:2">
      <c r="B266" s="120"/>
    </row>
    <row r="267" spans="2:2">
      <c r="B267" s="120"/>
    </row>
    <row r="268" spans="2:2">
      <c r="B268" s="120"/>
    </row>
    <row r="269" spans="2:2">
      <c r="B269" s="120"/>
    </row>
    <row r="270" spans="2:2">
      <c r="B270" s="120"/>
    </row>
    <row r="271" spans="2:2">
      <c r="B271" s="120"/>
    </row>
    <row r="272" spans="2:2">
      <c r="B272" s="120"/>
    </row>
    <row r="273" spans="2:2">
      <c r="B273" s="120"/>
    </row>
    <row r="274" spans="2:2">
      <c r="B274" s="120"/>
    </row>
    <row r="275" spans="2:2">
      <c r="B275" s="120"/>
    </row>
    <row r="276" spans="2:2">
      <c r="B276" s="120"/>
    </row>
    <row r="277" spans="2:2">
      <c r="B277" s="120"/>
    </row>
    <row r="278" spans="2:2">
      <c r="B278" s="120"/>
    </row>
    <row r="279" spans="2:2">
      <c r="B279" s="120"/>
    </row>
    <row r="280" spans="2:2">
      <c r="B280" s="120"/>
    </row>
    <row r="281" spans="2:2">
      <c r="B281" s="120"/>
    </row>
    <row r="282" spans="2:2">
      <c r="B282" s="120"/>
    </row>
    <row r="283" spans="2:2">
      <c r="B283" s="120"/>
    </row>
    <row r="284" spans="2:2">
      <c r="B284" s="120"/>
    </row>
    <row r="285" spans="2:2">
      <c r="B285" s="120"/>
    </row>
    <row r="286" spans="2:2">
      <c r="B286" s="120"/>
    </row>
    <row r="287" spans="2:2">
      <c r="B287" s="120"/>
    </row>
    <row r="288" spans="2:2">
      <c r="B288" s="120"/>
    </row>
    <row r="289" spans="2:2">
      <c r="B289" s="120"/>
    </row>
    <row r="290" spans="2:2">
      <c r="B290" s="120"/>
    </row>
    <row r="291" spans="2:2">
      <c r="B291" s="120"/>
    </row>
    <row r="292" spans="2:2">
      <c r="B292" s="120"/>
    </row>
    <row r="293" spans="2:2">
      <c r="B293" s="120"/>
    </row>
    <row r="294" spans="2:2">
      <c r="B294" s="120"/>
    </row>
    <row r="295" spans="2:2">
      <c r="B295" s="120"/>
    </row>
    <row r="296" spans="2:2">
      <c r="B296" s="120"/>
    </row>
    <row r="297" spans="2:2">
      <c r="B297" s="120"/>
    </row>
    <row r="298" spans="2:2">
      <c r="B298" s="120"/>
    </row>
    <row r="299" spans="2:2">
      <c r="B299" s="120"/>
    </row>
    <row r="300" spans="2:2">
      <c r="B300" s="120"/>
    </row>
    <row r="301" spans="2:2">
      <c r="B301" s="120"/>
    </row>
    <row r="302" spans="2:2">
      <c r="B302" s="120"/>
    </row>
    <row r="303" spans="2:2">
      <c r="B303" s="120"/>
    </row>
    <row r="304" spans="2:2">
      <c r="B304" s="120"/>
    </row>
    <row r="305" spans="2:2">
      <c r="B305" s="120"/>
    </row>
    <row r="306" spans="2:2">
      <c r="B306" s="120"/>
    </row>
    <row r="307" spans="2:2">
      <c r="B307" s="120"/>
    </row>
    <row r="308" spans="2:2">
      <c r="B308" s="120"/>
    </row>
    <row r="309" spans="2:2">
      <c r="B309" s="120"/>
    </row>
    <row r="310" spans="2:2">
      <c r="B310" s="120"/>
    </row>
    <row r="311" spans="2:2">
      <c r="B311" s="120"/>
    </row>
    <row r="312" spans="2:2">
      <c r="B312" s="120"/>
    </row>
    <row r="313" spans="2:2">
      <c r="B313" s="120"/>
    </row>
    <row r="314" spans="2:2">
      <c r="B314" s="120"/>
    </row>
    <row r="315" spans="2:2">
      <c r="B315" s="120"/>
    </row>
    <row r="316" spans="2:2">
      <c r="B316" s="120"/>
    </row>
    <row r="317" spans="2:2">
      <c r="B317" s="120"/>
    </row>
    <row r="318" spans="2:2">
      <c r="B318" s="120"/>
    </row>
    <row r="319" spans="2:2">
      <c r="B319" s="120"/>
    </row>
    <row r="320" spans="2:2">
      <c r="B320" s="120"/>
    </row>
    <row r="321" spans="2:2">
      <c r="B321" s="120"/>
    </row>
    <row r="322" spans="2:2">
      <c r="B322" s="120"/>
    </row>
    <row r="323" spans="2:2">
      <c r="B323" s="120"/>
    </row>
    <row r="324" spans="2:2">
      <c r="B324" s="120"/>
    </row>
    <row r="325" spans="2:2">
      <c r="B325" s="120"/>
    </row>
    <row r="326" spans="2:2">
      <c r="B326" s="120"/>
    </row>
    <row r="327" spans="2:2">
      <c r="B327" s="120"/>
    </row>
    <row r="328" spans="2:2">
      <c r="B328" s="120"/>
    </row>
    <row r="329" spans="2:2">
      <c r="B329" s="120"/>
    </row>
    <row r="330" spans="2:2">
      <c r="B330" s="120"/>
    </row>
    <row r="331" spans="2:2">
      <c r="B331" s="120"/>
    </row>
    <row r="332" spans="2:2">
      <c r="B332" s="120"/>
    </row>
    <row r="333" spans="2:2">
      <c r="B333" s="120"/>
    </row>
    <row r="334" spans="2:2">
      <c r="B334" s="120"/>
    </row>
    <row r="335" spans="2:2">
      <c r="B335" s="120"/>
    </row>
    <row r="336" spans="2:2">
      <c r="B336" s="120"/>
    </row>
    <row r="337" spans="2:2">
      <c r="B337" s="120"/>
    </row>
    <row r="338" spans="2:2">
      <c r="B338" s="120"/>
    </row>
    <row r="339" spans="2:2">
      <c r="B339" s="120"/>
    </row>
    <row r="340" spans="2:2">
      <c r="B340" s="120"/>
    </row>
    <row r="341" spans="2:2">
      <c r="B341" s="120"/>
    </row>
    <row r="342" spans="2:2">
      <c r="B342" s="120"/>
    </row>
    <row r="343" spans="2:2">
      <c r="B343" s="120"/>
    </row>
    <row r="344" spans="2:2">
      <c r="B344" s="120"/>
    </row>
    <row r="345" spans="2:2">
      <c r="B345" s="120"/>
    </row>
    <row r="346" spans="2:2">
      <c r="B346" s="120"/>
    </row>
    <row r="347" spans="2:2">
      <c r="B347" s="120"/>
    </row>
    <row r="348" spans="2:2">
      <c r="B348" s="120"/>
    </row>
    <row r="349" spans="2:2">
      <c r="B349" s="120"/>
    </row>
    <row r="350" spans="2:2">
      <c r="B350" s="120"/>
    </row>
    <row r="351" spans="2:2">
      <c r="B351" s="120"/>
    </row>
    <row r="352" spans="2:2">
      <c r="B352" s="120"/>
    </row>
    <row r="353" spans="2:2">
      <c r="B353" s="120"/>
    </row>
    <row r="354" spans="2:2">
      <c r="B354" s="120"/>
    </row>
    <row r="355" spans="2:2">
      <c r="B355" s="120"/>
    </row>
    <row r="356" spans="2:2">
      <c r="B356" s="120"/>
    </row>
    <row r="357" spans="2:2">
      <c r="B357" s="120"/>
    </row>
    <row r="358" spans="2:2">
      <c r="B358" s="120"/>
    </row>
    <row r="359" spans="2:2">
      <c r="B359" s="120"/>
    </row>
    <row r="360" spans="2:2">
      <c r="B360" s="120"/>
    </row>
    <row r="361" spans="2:2">
      <c r="B361" s="120"/>
    </row>
    <row r="362" spans="2:2">
      <c r="B362" s="120"/>
    </row>
    <row r="363" spans="2:2">
      <c r="B363" s="120"/>
    </row>
    <row r="364" spans="2:2">
      <c r="B364" s="120"/>
    </row>
    <row r="365" spans="2:2">
      <c r="B365" s="120"/>
    </row>
    <row r="366" spans="2:2">
      <c r="B366" s="120"/>
    </row>
    <row r="367" spans="2:2">
      <c r="B367" s="120"/>
    </row>
    <row r="368" spans="2:2">
      <c r="B368" s="120"/>
    </row>
    <row r="369" spans="2:2">
      <c r="B369" s="120"/>
    </row>
    <row r="370" spans="2:2">
      <c r="B370" s="120"/>
    </row>
    <row r="371" spans="2:2">
      <c r="B371" s="120"/>
    </row>
    <row r="372" spans="2:2">
      <c r="B372" s="120"/>
    </row>
    <row r="373" spans="2:2">
      <c r="B373" s="120"/>
    </row>
    <row r="374" spans="2:2">
      <c r="B374" s="120"/>
    </row>
    <row r="375" spans="2:2">
      <c r="B375" s="120"/>
    </row>
    <row r="376" spans="2:2">
      <c r="B376" s="120"/>
    </row>
    <row r="377" spans="2:2">
      <c r="B377" s="120"/>
    </row>
    <row r="378" spans="2:2">
      <c r="B378" s="120"/>
    </row>
    <row r="379" spans="2:2">
      <c r="B379" s="120"/>
    </row>
    <row r="380" spans="2:2">
      <c r="B380" s="120"/>
    </row>
    <row r="381" spans="2:2">
      <c r="B381" s="120"/>
    </row>
    <row r="382" spans="2:2">
      <c r="B382" s="120"/>
    </row>
    <row r="383" spans="2:2">
      <c r="B383" s="120"/>
    </row>
    <row r="384" spans="2:2">
      <c r="B384" s="120"/>
    </row>
    <row r="385" spans="2:2">
      <c r="B385" s="120"/>
    </row>
    <row r="386" spans="2:2">
      <c r="B386" s="120"/>
    </row>
    <row r="387" spans="2:2">
      <c r="B387" s="120"/>
    </row>
    <row r="388" spans="2:2">
      <c r="B388" s="120"/>
    </row>
    <row r="389" spans="2:2">
      <c r="B389" s="120"/>
    </row>
    <row r="390" spans="2:2">
      <c r="B390" s="120"/>
    </row>
    <row r="391" spans="2:2">
      <c r="B391" s="120"/>
    </row>
    <row r="392" spans="2:2">
      <c r="B392" s="120"/>
    </row>
    <row r="393" spans="2:2">
      <c r="B393" s="120"/>
    </row>
    <row r="394" spans="2:2">
      <c r="B394" s="120"/>
    </row>
    <row r="395" spans="2:2">
      <c r="B395" s="120"/>
    </row>
    <row r="396" spans="2:2">
      <c r="B396" s="120"/>
    </row>
    <row r="397" spans="2:2">
      <c r="B397" s="120"/>
    </row>
    <row r="398" spans="2:2">
      <c r="B398" s="120"/>
    </row>
    <row r="399" spans="2:2">
      <c r="B399" s="120"/>
    </row>
    <row r="400" spans="2:2">
      <c r="B400" s="120"/>
    </row>
    <row r="401" spans="2:2">
      <c r="B401" s="120"/>
    </row>
    <row r="402" spans="2:2">
      <c r="B402" s="120"/>
    </row>
    <row r="403" spans="2:2">
      <c r="B403" s="120"/>
    </row>
    <row r="404" spans="2:2">
      <c r="B404" s="120"/>
    </row>
    <row r="405" spans="2:2">
      <c r="B405" s="120"/>
    </row>
    <row r="406" spans="2:2">
      <c r="B406" s="120"/>
    </row>
    <row r="407" spans="2:2">
      <c r="B407" s="120"/>
    </row>
    <row r="408" spans="2:2">
      <c r="B408" s="120"/>
    </row>
    <row r="409" spans="2:2">
      <c r="B409" s="120"/>
    </row>
    <row r="410" spans="2:2">
      <c r="B410" s="120"/>
    </row>
    <row r="411" spans="2:2">
      <c r="B411" s="120"/>
    </row>
    <row r="412" spans="2:2">
      <c r="B412" s="120"/>
    </row>
    <row r="413" spans="2:2">
      <c r="B413" s="120"/>
    </row>
    <row r="414" spans="2:2">
      <c r="B414" s="120"/>
    </row>
    <row r="415" spans="2:2">
      <c r="B415" s="120"/>
    </row>
    <row r="416" spans="2:2">
      <c r="B416" s="120"/>
    </row>
    <row r="417" spans="2:2">
      <c r="B417" s="120"/>
    </row>
    <row r="418" spans="2:2">
      <c r="B418" s="120"/>
    </row>
    <row r="419" spans="2:2">
      <c r="B419" s="120"/>
    </row>
    <row r="420" spans="2:2">
      <c r="B420" s="120"/>
    </row>
    <row r="421" spans="2:2">
      <c r="B421" s="120"/>
    </row>
    <row r="422" spans="2:2">
      <c r="B422" s="120"/>
    </row>
    <row r="423" spans="2:2">
      <c r="B423" s="120"/>
    </row>
    <row r="424" spans="2:2">
      <c r="B424" s="120"/>
    </row>
    <row r="425" spans="2:2">
      <c r="B425" s="120"/>
    </row>
    <row r="426" spans="2:2">
      <c r="B426" s="120"/>
    </row>
    <row r="427" spans="2:2">
      <c r="B427" s="120"/>
    </row>
    <row r="428" spans="2:2">
      <c r="B428" s="120"/>
    </row>
    <row r="429" spans="2:2">
      <c r="B429" s="120"/>
    </row>
    <row r="430" spans="2:2">
      <c r="B430" s="120"/>
    </row>
    <row r="431" spans="2:2">
      <c r="B431" s="120"/>
    </row>
    <row r="432" spans="2:2">
      <c r="B432" s="120"/>
    </row>
    <row r="433" spans="2:2">
      <c r="B433" s="120"/>
    </row>
    <row r="434" spans="2:2">
      <c r="B434" s="120"/>
    </row>
    <row r="435" spans="2:2">
      <c r="B435" s="120"/>
    </row>
    <row r="436" spans="2:2">
      <c r="B436" s="120"/>
    </row>
    <row r="437" spans="2:2">
      <c r="B437" s="120"/>
    </row>
    <row r="438" spans="2:2">
      <c r="B438" s="120"/>
    </row>
    <row r="439" spans="2:2">
      <c r="B439" s="120"/>
    </row>
    <row r="440" spans="2:2">
      <c r="B440" s="120"/>
    </row>
    <row r="441" spans="2:2">
      <c r="B441" s="120"/>
    </row>
    <row r="442" spans="2:2">
      <c r="B442" s="120"/>
    </row>
    <row r="443" spans="2:2">
      <c r="B443" s="120"/>
    </row>
    <row r="444" spans="2:2">
      <c r="B444" s="120"/>
    </row>
    <row r="445" spans="2:2">
      <c r="B445" s="120"/>
    </row>
    <row r="446" spans="2:2">
      <c r="B446" s="120"/>
    </row>
    <row r="447" spans="2:2">
      <c r="B447" s="120"/>
    </row>
    <row r="448" spans="2:2">
      <c r="B448" s="120"/>
    </row>
    <row r="449" spans="2:2">
      <c r="B449" s="120"/>
    </row>
    <row r="450" spans="2:2">
      <c r="B450" s="120"/>
    </row>
    <row r="451" spans="2:2">
      <c r="B451" s="120"/>
    </row>
    <row r="452" spans="2:2">
      <c r="B452" s="120"/>
    </row>
    <row r="453" spans="2:2">
      <c r="B453" s="120"/>
    </row>
    <row r="454" spans="2:2">
      <c r="B454" s="120"/>
    </row>
    <row r="455" spans="2:2">
      <c r="B455" s="120"/>
    </row>
    <row r="456" spans="2:2">
      <c r="B456" s="120"/>
    </row>
    <row r="457" spans="2:2">
      <c r="B457" s="120"/>
    </row>
    <row r="458" spans="2:2">
      <c r="B458" s="120"/>
    </row>
    <row r="459" spans="2:2">
      <c r="B459" s="120"/>
    </row>
    <row r="460" spans="2:2">
      <c r="B460" s="120"/>
    </row>
    <row r="461" spans="2:2">
      <c r="B461" s="120"/>
    </row>
    <row r="462" spans="2:2">
      <c r="B462" s="120"/>
    </row>
    <row r="463" spans="2:2">
      <c r="B463" s="120"/>
    </row>
    <row r="464" spans="2:2">
      <c r="B464" s="120"/>
    </row>
    <row r="465" spans="2:2">
      <c r="B465" s="120"/>
    </row>
    <row r="466" spans="2:2">
      <c r="B466" s="120"/>
    </row>
    <row r="467" spans="2:2">
      <c r="B467" s="120"/>
    </row>
    <row r="468" spans="2:2">
      <c r="B468" s="120"/>
    </row>
    <row r="469" spans="2:2">
      <c r="B469" s="120"/>
    </row>
    <row r="470" spans="2:2">
      <c r="B470" s="120"/>
    </row>
    <row r="471" spans="2:2">
      <c r="B471" s="120"/>
    </row>
    <row r="472" spans="2:2">
      <c r="B472" s="120"/>
    </row>
    <row r="473" spans="2:2">
      <c r="B473" s="120"/>
    </row>
    <row r="474" spans="2:2">
      <c r="B474" s="120"/>
    </row>
    <row r="475" spans="2:2">
      <c r="B475" s="120"/>
    </row>
    <row r="476" spans="2:2">
      <c r="B476" s="120"/>
    </row>
    <row r="477" spans="2:2">
      <c r="B477" s="120"/>
    </row>
    <row r="478" spans="2:2">
      <c r="B478" s="120"/>
    </row>
    <row r="479" spans="2:2">
      <c r="B479" s="120"/>
    </row>
    <row r="480" spans="2:2">
      <c r="B480" s="120"/>
    </row>
    <row r="481" spans="2:2">
      <c r="B481" s="120"/>
    </row>
    <row r="482" spans="2:2">
      <c r="B482" s="120"/>
    </row>
    <row r="483" spans="2:2">
      <c r="B483" s="120"/>
    </row>
    <row r="484" spans="2:2">
      <c r="B484" s="120"/>
    </row>
    <row r="485" spans="2:2">
      <c r="B485" s="120"/>
    </row>
    <row r="486" spans="2:2">
      <c r="B486" s="120"/>
    </row>
    <row r="487" spans="2:2">
      <c r="B487" s="120"/>
    </row>
    <row r="488" spans="2:2">
      <c r="B488" s="120"/>
    </row>
    <row r="489" spans="2:2">
      <c r="B489" s="120"/>
    </row>
    <row r="490" spans="2:2">
      <c r="B490" s="120"/>
    </row>
    <row r="491" spans="2:2">
      <c r="B491" s="120"/>
    </row>
    <row r="492" spans="2:2">
      <c r="B492" s="120"/>
    </row>
    <row r="493" spans="2:2">
      <c r="B493" s="120"/>
    </row>
    <row r="494" spans="2:2">
      <c r="B494" s="120"/>
    </row>
    <row r="495" spans="2:2">
      <c r="B495" s="120"/>
    </row>
    <row r="496" spans="2:2">
      <c r="B496" s="120"/>
    </row>
    <row r="497" spans="2:2">
      <c r="B497" s="120"/>
    </row>
    <row r="498" spans="2:2">
      <c r="B498" s="120"/>
    </row>
    <row r="499" spans="2:2">
      <c r="B499" s="120"/>
    </row>
    <row r="500" spans="2:2">
      <c r="B500" s="120"/>
    </row>
    <row r="501" spans="2:2">
      <c r="B501" s="120"/>
    </row>
    <row r="502" spans="2:2">
      <c r="B502" s="120"/>
    </row>
    <row r="503" spans="2:2">
      <c r="B503" s="120"/>
    </row>
    <row r="504" spans="2:2">
      <c r="B504" s="120"/>
    </row>
    <row r="505" spans="2:2">
      <c r="B505" s="120"/>
    </row>
    <row r="506" spans="2:2">
      <c r="B506" s="120"/>
    </row>
    <row r="507" spans="2:2">
      <c r="B507" s="120"/>
    </row>
    <row r="508" spans="2:2">
      <c r="B508" s="120"/>
    </row>
    <row r="509" spans="2:2">
      <c r="B509" s="120"/>
    </row>
    <row r="510" spans="2:2">
      <c r="B510" s="120"/>
    </row>
    <row r="511" spans="2:2">
      <c r="B511" s="120"/>
    </row>
    <row r="512" spans="2:2">
      <c r="B512" s="120"/>
    </row>
    <row r="513" spans="2:2">
      <c r="B513" s="120"/>
    </row>
    <row r="514" spans="2:2">
      <c r="B514" s="120"/>
    </row>
    <row r="515" spans="2:2">
      <c r="B515" s="120"/>
    </row>
    <row r="516" spans="2:2">
      <c r="B516" s="120"/>
    </row>
    <row r="517" spans="2:2">
      <c r="B517" s="120"/>
    </row>
    <row r="518" spans="2:2">
      <c r="B518" s="120"/>
    </row>
    <row r="519" spans="2:2">
      <c r="B519" s="120"/>
    </row>
    <row r="520" spans="2:2">
      <c r="B520" s="120"/>
    </row>
    <row r="521" spans="2:2">
      <c r="B521" s="120"/>
    </row>
    <row r="522" spans="2:2">
      <c r="B522" s="120"/>
    </row>
    <row r="523" spans="2:2">
      <c r="B523" s="120"/>
    </row>
    <row r="524" spans="2:2">
      <c r="B524" s="120"/>
    </row>
    <row r="525" spans="2:2">
      <c r="B525" s="120"/>
    </row>
    <row r="526" spans="2:2">
      <c r="B526" s="120"/>
    </row>
    <row r="527" spans="2:2">
      <c r="B527" s="120"/>
    </row>
    <row r="528" spans="2:2">
      <c r="B528" s="120"/>
    </row>
    <row r="529" spans="2:2">
      <c r="B529" s="120"/>
    </row>
    <row r="530" spans="2:2">
      <c r="B530" s="120"/>
    </row>
    <row r="531" spans="2:2">
      <c r="B531" s="120"/>
    </row>
    <row r="532" spans="2:2">
      <c r="B532" s="120"/>
    </row>
    <row r="533" spans="2:2">
      <c r="B533" s="120"/>
    </row>
    <row r="534" spans="2:2">
      <c r="B534" s="120"/>
    </row>
    <row r="535" spans="2:2">
      <c r="B535" s="120"/>
    </row>
    <row r="536" spans="2:2">
      <c r="B536" s="120"/>
    </row>
    <row r="537" spans="2:2">
      <c r="B537" s="120"/>
    </row>
    <row r="538" spans="2:2">
      <c r="B538" s="120"/>
    </row>
    <row r="539" spans="2:2">
      <c r="B539" s="120"/>
    </row>
    <row r="540" spans="2:2">
      <c r="B540" s="120"/>
    </row>
    <row r="541" spans="2:2">
      <c r="B541" s="120"/>
    </row>
    <row r="542" spans="2:2">
      <c r="B542" s="120"/>
    </row>
    <row r="543" spans="2:2">
      <c r="B543" s="120"/>
    </row>
    <row r="544" spans="2:2">
      <c r="B544" s="120"/>
    </row>
    <row r="545" spans="2:2">
      <c r="B545" s="120"/>
    </row>
    <row r="546" spans="2:2">
      <c r="B546" s="120"/>
    </row>
    <row r="547" spans="2:2">
      <c r="B547" s="120"/>
    </row>
    <row r="548" spans="2:2">
      <c r="B548" s="120"/>
    </row>
    <row r="549" spans="2:2">
      <c r="B549" s="120"/>
    </row>
    <row r="550" spans="2:2">
      <c r="B550" s="120"/>
    </row>
    <row r="551" spans="2:2">
      <c r="B551" s="120"/>
    </row>
    <row r="552" spans="2:2">
      <c r="B552" s="120"/>
    </row>
    <row r="553" spans="2:2">
      <c r="B553" s="120"/>
    </row>
    <row r="554" spans="2:2">
      <c r="B554" s="120"/>
    </row>
    <row r="555" spans="2:2">
      <c r="B555" s="120"/>
    </row>
    <row r="556" spans="2:2">
      <c r="B556" s="120"/>
    </row>
    <row r="557" spans="2:2">
      <c r="B557" s="120"/>
    </row>
    <row r="558" spans="2:2">
      <c r="B558" s="120"/>
    </row>
    <row r="559" spans="2:2">
      <c r="B559" s="120"/>
    </row>
    <row r="560" spans="2:2">
      <c r="B560" s="120"/>
    </row>
    <row r="561" spans="2:2">
      <c r="B561" s="120"/>
    </row>
    <row r="562" spans="2:2">
      <c r="B562" s="120"/>
    </row>
    <row r="563" spans="2:2">
      <c r="B563" s="120"/>
    </row>
    <row r="564" spans="2:2">
      <c r="B564" s="120"/>
    </row>
    <row r="565" spans="2:2">
      <c r="B565" s="120"/>
    </row>
    <row r="566" spans="2:2">
      <c r="B566" s="120"/>
    </row>
    <row r="567" spans="2:2">
      <c r="B567" s="120"/>
    </row>
    <row r="568" spans="2:2">
      <c r="B568" s="120"/>
    </row>
    <row r="569" spans="2:2">
      <c r="B569" s="120"/>
    </row>
    <row r="570" spans="2:2">
      <c r="B570" s="120"/>
    </row>
    <row r="571" spans="2:2">
      <c r="B571" s="120"/>
    </row>
    <row r="572" spans="2:2">
      <c r="B572" s="120"/>
    </row>
    <row r="573" spans="2:2">
      <c r="B573" s="120"/>
    </row>
    <row r="574" spans="2:2">
      <c r="B574" s="120"/>
    </row>
    <row r="575" spans="2:2">
      <c r="B575" s="120"/>
    </row>
    <row r="576" spans="2:2">
      <c r="B576" s="120"/>
    </row>
    <row r="577" spans="2:2">
      <c r="B577" s="120"/>
    </row>
    <row r="578" spans="2:2">
      <c r="B578" s="120"/>
    </row>
    <row r="579" spans="2:2">
      <c r="B579" s="120"/>
    </row>
    <row r="580" spans="2:2">
      <c r="B580" s="120"/>
    </row>
    <row r="581" spans="2:2">
      <c r="B581" s="120"/>
    </row>
    <row r="582" spans="2:2">
      <c r="B582" s="120"/>
    </row>
    <row r="583" spans="2:2">
      <c r="B583" s="120"/>
    </row>
    <row r="584" spans="2:2">
      <c r="B584" s="120"/>
    </row>
    <row r="585" spans="2:2">
      <c r="B585" s="120"/>
    </row>
    <row r="586" spans="2:2">
      <c r="B586" s="120"/>
    </row>
    <row r="587" spans="2:2">
      <c r="B587" s="120"/>
    </row>
    <row r="588" spans="2:2">
      <c r="B588" s="120"/>
    </row>
    <row r="589" spans="2:2">
      <c r="B589" s="120"/>
    </row>
    <row r="590" spans="2:2">
      <c r="B590" s="120"/>
    </row>
    <row r="591" spans="2:2">
      <c r="B591" s="120"/>
    </row>
    <row r="592" spans="2:2">
      <c r="B592" s="120"/>
    </row>
    <row r="593" spans="2:2">
      <c r="B593" s="120"/>
    </row>
    <row r="594" spans="2:2">
      <c r="B594" s="120"/>
    </row>
    <row r="595" spans="2:2">
      <c r="B595" s="120"/>
    </row>
    <row r="596" spans="2:2">
      <c r="B596" s="120"/>
    </row>
    <row r="597" spans="2:2">
      <c r="B597" s="120"/>
    </row>
    <row r="598" spans="2:2">
      <c r="B598" s="120"/>
    </row>
    <row r="599" spans="2:2">
      <c r="B599" s="120"/>
    </row>
    <row r="600" spans="2:2">
      <c r="B600" s="120"/>
    </row>
    <row r="601" spans="2:2">
      <c r="B601" s="120"/>
    </row>
    <row r="602" spans="2:2">
      <c r="B602" s="120"/>
    </row>
    <row r="603" spans="2:2">
      <c r="B603" s="120"/>
    </row>
    <row r="604" spans="2:2">
      <c r="B604" s="120"/>
    </row>
    <row r="605" spans="2:2">
      <c r="B605" s="120"/>
    </row>
    <row r="606" spans="2:2">
      <c r="B606" s="120"/>
    </row>
    <row r="607" spans="2:2">
      <c r="B607" s="120"/>
    </row>
    <row r="608" spans="2:2">
      <c r="B608" s="120"/>
    </row>
    <row r="609" spans="2:2">
      <c r="B609" s="120"/>
    </row>
    <row r="610" spans="2:2">
      <c r="B610" s="120"/>
    </row>
    <row r="611" spans="2:2">
      <c r="B611" s="120"/>
    </row>
    <row r="612" spans="2:2">
      <c r="B612" s="120"/>
    </row>
    <row r="613" spans="2:2">
      <c r="B613" s="120"/>
    </row>
    <row r="614" spans="2:2">
      <c r="B614" s="120"/>
    </row>
    <row r="615" spans="2:2">
      <c r="B615" s="120"/>
    </row>
    <row r="616" spans="2:2">
      <c r="B616" s="120"/>
    </row>
    <row r="617" spans="2:2">
      <c r="B617" s="120"/>
    </row>
    <row r="618" spans="2:2">
      <c r="B618" s="120"/>
    </row>
    <row r="619" spans="2:2">
      <c r="B619" s="120"/>
    </row>
    <row r="620" spans="2:2">
      <c r="B620" s="120"/>
    </row>
    <row r="621" spans="2:2">
      <c r="B621" s="120"/>
    </row>
    <row r="622" spans="2:2">
      <c r="B622" s="120"/>
    </row>
    <row r="623" spans="2:2">
      <c r="B623" s="120"/>
    </row>
    <row r="624" spans="2:2">
      <c r="B624" s="120"/>
    </row>
    <row r="625" spans="2:2">
      <c r="B625" s="120"/>
    </row>
    <row r="626" spans="2:2">
      <c r="B626" s="120"/>
    </row>
    <row r="627" spans="2:2">
      <c r="B627" s="120"/>
    </row>
    <row r="628" spans="2:2">
      <c r="B628" s="120"/>
    </row>
    <row r="629" spans="2:2">
      <c r="B629" s="120"/>
    </row>
    <row r="630" spans="2:2">
      <c r="B630" s="120"/>
    </row>
    <row r="631" spans="2:2">
      <c r="B631" s="120"/>
    </row>
    <row r="632" spans="2:2">
      <c r="B632" s="120"/>
    </row>
    <row r="633" spans="2:2">
      <c r="B633" s="120"/>
    </row>
    <row r="634" spans="2:2">
      <c r="B634" s="120"/>
    </row>
    <row r="635" spans="2:2">
      <c r="B635" s="120"/>
    </row>
    <row r="636" spans="2:2">
      <c r="B636" s="120"/>
    </row>
    <row r="637" spans="2:2">
      <c r="B637" s="120"/>
    </row>
    <row r="638" spans="2:2">
      <c r="B638" s="120"/>
    </row>
    <row r="639" spans="2:2">
      <c r="B639" s="120"/>
    </row>
    <row r="640" spans="2:2">
      <c r="B640" s="120"/>
    </row>
    <row r="641" spans="2:2">
      <c r="B641" s="120"/>
    </row>
    <row r="642" spans="2:2">
      <c r="B642" s="120"/>
    </row>
    <row r="643" spans="2:2">
      <c r="B643" s="120"/>
    </row>
    <row r="644" spans="2:2">
      <c r="B644" s="120"/>
    </row>
    <row r="645" spans="2:2">
      <c r="B645" s="120"/>
    </row>
    <row r="646" spans="2:2">
      <c r="B646" s="120"/>
    </row>
    <row r="647" spans="2:2">
      <c r="B647" s="120"/>
    </row>
    <row r="648" spans="2:2">
      <c r="B648" s="120"/>
    </row>
    <row r="649" spans="2:2">
      <c r="B649" s="120"/>
    </row>
    <row r="650" spans="2:2">
      <c r="B650" s="120"/>
    </row>
    <row r="651" spans="2:2">
      <c r="B651" s="120"/>
    </row>
    <row r="652" spans="2:2">
      <c r="B652" s="120"/>
    </row>
    <row r="653" spans="2:2">
      <c r="B653" s="120"/>
    </row>
    <row r="654" spans="2:2">
      <c r="B654" s="120"/>
    </row>
    <row r="655" spans="2:2">
      <c r="B655" s="120"/>
    </row>
    <row r="656" spans="2:2">
      <c r="B656" s="120"/>
    </row>
    <row r="657" spans="2:2">
      <c r="B657" s="120"/>
    </row>
    <row r="658" spans="2:2">
      <c r="B658" s="120"/>
    </row>
    <row r="659" spans="2:2">
      <c r="B659" s="120"/>
    </row>
    <row r="660" spans="2:2">
      <c r="B660" s="120"/>
    </row>
    <row r="661" spans="2:2">
      <c r="B661" s="120"/>
    </row>
    <row r="662" spans="2:2">
      <c r="B662" s="120"/>
    </row>
    <row r="663" spans="2:2">
      <c r="B663" s="120"/>
    </row>
    <row r="664" spans="2:2">
      <c r="B664" s="120"/>
    </row>
    <row r="665" spans="2:2">
      <c r="B665" s="120"/>
    </row>
    <row r="666" spans="2:2">
      <c r="B666" s="120"/>
    </row>
    <row r="667" spans="2:2">
      <c r="B667" s="120"/>
    </row>
    <row r="668" spans="2:2">
      <c r="B668" s="120"/>
    </row>
    <row r="669" spans="2:2">
      <c r="B669" s="120"/>
    </row>
    <row r="670" spans="2:2">
      <c r="B670" s="120"/>
    </row>
    <row r="671" spans="2:2">
      <c r="B671" s="120"/>
    </row>
    <row r="672" spans="2:2">
      <c r="B672" s="120"/>
    </row>
    <row r="673" spans="2:2">
      <c r="B673" s="120"/>
    </row>
    <row r="674" spans="2:2">
      <c r="B674" s="120"/>
    </row>
    <row r="675" spans="2:2">
      <c r="B675" s="120"/>
    </row>
    <row r="676" spans="2:2">
      <c r="B676" s="120"/>
    </row>
    <row r="677" spans="2:2">
      <c r="B677" s="120"/>
    </row>
    <row r="678" spans="2:2">
      <c r="B678" s="120"/>
    </row>
    <row r="679" spans="2:2">
      <c r="B679" s="120"/>
    </row>
    <row r="680" spans="2:2">
      <c r="B680" s="120"/>
    </row>
    <row r="681" spans="2:2">
      <c r="B681" s="120"/>
    </row>
    <row r="682" spans="2:2">
      <c r="B682" s="120"/>
    </row>
    <row r="683" spans="2:2">
      <c r="B683" s="120"/>
    </row>
    <row r="684" spans="2:2">
      <c r="B684" s="120"/>
    </row>
    <row r="685" spans="2:2">
      <c r="B685" s="120"/>
    </row>
    <row r="686" spans="2:2">
      <c r="B686" s="120"/>
    </row>
    <row r="687" spans="2:2">
      <c r="B687" s="120"/>
    </row>
    <row r="688" spans="2:2">
      <c r="B688" s="120"/>
    </row>
    <row r="689" spans="2:2">
      <c r="B689" s="120"/>
    </row>
    <row r="690" spans="2:2">
      <c r="B690" s="120"/>
    </row>
    <row r="691" spans="2:2">
      <c r="B691" s="120"/>
    </row>
    <row r="692" spans="2:2">
      <c r="B692" s="120"/>
    </row>
    <row r="693" spans="2:2">
      <c r="B693" s="120"/>
    </row>
    <row r="694" spans="2:2">
      <c r="B694" s="120"/>
    </row>
    <row r="695" spans="2:2">
      <c r="B695" s="120"/>
    </row>
    <row r="696" spans="2:2">
      <c r="B696" s="120"/>
    </row>
    <row r="697" spans="2:2">
      <c r="B697" s="120"/>
    </row>
    <row r="698" spans="2:2">
      <c r="B698" s="120"/>
    </row>
    <row r="699" spans="2:2">
      <c r="B699" s="120"/>
    </row>
    <row r="700" spans="2:2">
      <c r="B700" s="120"/>
    </row>
    <row r="701" spans="2:2">
      <c r="B701" s="120"/>
    </row>
    <row r="702" spans="2:2">
      <c r="B702" s="120"/>
    </row>
    <row r="703" spans="2:2">
      <c r="B703" s="120"/>
    </row>
    <row r="704" spans="2:2">
      <c r="B704" s="120"/>
    </row>
    <row r="705" spans="2:2">
      <c r="B705" s="120"/>
    </row>
    <row r="706" spans="2:2">
      <c r="B706" s="120"/>
    </row>
    <row r="707" spans="2:2">
      <c r="B707" s="120"/>
    </row>
    <row r="708" spans="2:2">
      <c r="B708" s="120"/>
    </row>
    <row r="709" spans="2:2">
      <c r="B709" s="120"/>
    </row>
    <row r="710" spans="2:2">
      <c r="B710" s="120"/>
    </row>
    <row r="711" spans="2:2">
      <c r="B711" s="120"/>
    </row>
    <row r="712" spans="2:2">
      <c r="B712" s="120"/>
    </row>
    <row r="713" spans="2:2">
      <c r="B713" s="120"/>
    </row>
    <row r="714" spans="2:2">
      <c r="B714" s="120"/>
    </row>
    <row r="715" spans="2:2">
      <c r="B715" s="120"/>
    </row>
    <row r="716" spans="2:2">
      <c r="B716" s="120"/>
    </row>
    <row r="717" spans="2:2">
      <c r="B717" s="120"/>
    </row>
    <row r="718" spans="2:2">
      <c r="B718" s="120"/>
    </row>
    <row r="719" spans="2:2">
      <c r="B719" s="120"/>
    </row>
    <row r="720" spans="2:2">
      <c r="B720" s="120"/>
    </row>
    <row r="721" spans="2:2">
      <c r="B721" s="120"/>
    </row>
    <row r="722" spans="2:2">
      <c r="B722" s="120"/>
    </row>
    <row r="723" spans="2:2">
      <c r="B723" s="120"/>
    </row>
    <row r="724" spans="2:2">
      <c r="B724" s="120"/>
    </row>
    <row r="725" spans="2:2">
      <c r="B725" s="120"/>
    </row>
    <row r="726" spans="2:2">
      <c r="B726" s="120"/>
    </row>
    <row r="727" spans="2:2">
      <c r="B727" s="120"/>
    </row>
    <row r="728" spans="2:2">
      <c r="B728" s="120"/>
    </row>
    <row r="729" spans="2:2">
      <c r="B729" s="120"/>
    </row>
    <row r="730" spans="2:2">
      <c r="B730" s="120"/>
    </row>
    <row r="731" spans="2:2">
      <c r="B731" s="120"/>
    </row>
    <row r="732" spans="2:2">
      <c r="B732" s="120"/>
    </row>
    <row r="733" spans="2:2">
      <c r="B733" s="120"/>
    </row>
    <row r="734" spans="2:2">
      <c r="B734" s="120"/>
    </row>
    <row r="735" spans="2:2">
      <c r="B735" s="120"/>
    </row>
    <row r="736" spans="2:2">
      <c r="B736" s="120"/>
    </row>
    <row r="737" spans="2:2">
      <c r="B737" s="120"/>
    </row>
    <row r="738" spans="2:2">
      <c r="B738" s="120"/>
    </row>
    <row r="739" spans="2:2">
      <c r="B739" s="120"/>
    </row>
    <row r="740" spans="2:2">
      <c r="B740" s="120"/>
    </row>
    <row r="741" spans="2:2">
      <c r="B741" s="120"/>
    </row>
    <row r="742" spans="2:2">
      <c r="B742" s="120"/>
    </row>
    <row r="743" spans="2:2">
      <c r="B743" s="120"/>
    </row>
    <row r="744" spans="2:2">
      <c r="B744" s="120"/>
    </row>
    <row r="745" spans="2:2">
      <c r="B745" s="120"/>
    </row>
    <row r="746" spans="2:2">
      <c r="B746" s="120"/>
    </row>
    <row r="747" spans="2:2">
      <c r="B747" s="120"/>
    </row>
    <row r="748" spans="2:2">
      <c r="B748" s="120"/>
    </row>
    <row r="749" spans="2:2">
      <c r="B749" s="120"/>
    </row>
    <row r="750" spans="2:2">
      <c r="B750" s="120"/>
    </row>
    <row r="751" spans="2:2">
      <c r="B751" s="120"/>
    </row>
    <row r="752" spans="2:2">
      <c r="B752" s="120"/>
    </row>
    <row r="753" spans="2:2">
      <c r="B753" s="120"/>
    </row>
    <row r="754" spans="2:2">
      <c r="B754" s="120"/>
    </row>
    <row r="755" spans="2:2">
      <c r="B755" s="120"/>
    </row>
    <row r="756" spans="2:2">
      <c r="B756" s="120"/>
    </row>
    <row r="757" spans="2:2">
      <c r="B757" s="120"/>
    </row>
    <row r="758" spans="2:2">
      <c r="B758" s="120"/>
    </row>
    <row r="759" spans="2:2">
      <c r="B759" s="120"/>
    </row>
    <row r="760" spans="2:2">
      <c r="B760" s="120"/>
    </row>
    <row r="761" spans="2:2">
      <c r="B761" s="120"/>
    </row>
    <row r="762" spans="2:2">
      <c r="B762" s="120"/>
    </row>
    <row r="763" spans="2:2">
      <c r="B763" s="120"/>
    </row>
    <row r="764" spans="2:2">
      <c r="B764" s="120"/>
    </row>
    <row r="765" spans="2:2">
      <c r="B765" s="120"/>
    </row>
    <row r="766" spans="2:2">
      <c r="B766" s="120"/>
    </row>
    <row r="767" spans="2:2">
      <c r="B767" s="120"/>
    </row>
    <row r="768" spans="2:2">
      <c r="B768" s="120"/>
    </row>
    <row r="769" spans="2:2">
      <c r="B769" s="120"/>
    </row>
    <row r="770" spans="2:2">
      <c r="B770" s="120"/>
    </row>
    <row r="771" spans="2:2">
      <c r="B771" s="120"/>
    </row>
    <row r="772" spans="2:2">
      <c r="B772" s="120"/>
    </row>
    <row r="773" spans="2:2">
      <c r="B773" s="120"/>
    </row>
    <row r="774" spans="2:2">
      <c r="B774" s="120"/>
    </row>
    <row r="775" spans="2:2">
      <c r="B775" s="120"/>
    </row>
    <row r="776" spans="2:2">
      <c r="B776" s="120"/>
    </row>
    <row r="777" spans="2:2">
      <c r="B777" s="120"/>
    </row>
    <row r="778" spans="2:2">
      <c r="B778" s="120"/>
    </row>
    <row r="779" spans="2:2">
      <c r="B779" s="120"/>
    </row>
    <row r="780" spans="2:2">
      <c r="B780" s="120"/>
    </row>
    <row r="781" spans="2:2">
      <c r="B781" s="120"/>
    </row>
    <row r="782" spans="2:2">
      <c r="B782" s="120"/>
    </row>
    <row r="783" spans="2:2">
      <c r="B783" s="120"/>
    </row>
    <row r="784" spans="2:2">
      <c r="B784" s="120"/>
    </row>
    <row r="785" spans="2:2">
      <c r="B785" s="120"/>
    </row>
    <row r="786" spans="2:2">
      <c r="B786" s="120"/>
    </row>
    <row r="787" spans="2:2">
      <c r="B787" s="120"/>
    </row>
    <row r="788" spans="2:2">
      <c r="B788" s="120"/>
    </row>
    <row r="789" spans="2:2">
      <c r="B789" s="120"/>
    </row>
    <row r="790" spans="2:2">
      <c r="B790" s="120"/>
    </row>
    <row r="791" spans="2:2">
      <c r="B791" s="120"/>
    </row>
    <row r="792" spans="2:2">
      <c r="B792" s="120"/>
    </row>
    <row r="793" spans="2:2">
      <c r="B793" s="120"/>
    </row>
    <row r="794" spans="2:2">
      <c r="B794" s="120"/>
    </row>
    <row r="795" spans="2:2">
      <c r="B795" s="120"/>
    </row>
    <row r="796" spans="2:2">
      <c r="B796" s="120"/>
    </row>
    <row r="797" spans="2:2">
      <c r="B797" s="120"/>
    </row>
    <row r="798" spans="2:2">
      <c r="B798" s="120"/>
    </row>
    <row r="799" spans="2:2">
      <c r="B799" s="120"/>
    </row>
    <row r="800" spans="2:2">
      <c r="B800" s="120"/>
    </row>
    <row r="801" spans="2:2">
      <c r="B801" s="120"/>
    </row>
    <row r="802" spans="2:2">
      <c r="B802" s="120"/>
    </row>
    <row r="803" spans="2:2">
      <c r="B803" s="120"/>
    </row>
    <row r="804" spans="2:2">
      <c r="B804" s="120"/>
    </row>
    <row r="805" spans="2:2">
      <c r="B805" s="120"/>
    </row>
    <row r="806" spans="2:2">
      <c r="B806" s="120"/>
    </row>
    <row r="807" spans="2:2">
      <c r="B807" s="120"/>
    </row>
    <row r="808" spans="2:2">
      <c r="B808" s="120"/>
    </row>
    <row r="809" spans="2:2">
      <c r="B809" s="120"/>
    </row>
    <row r="810" spans="2:2">
      <c r="B810" s="120"/>
    </row>
    <row r="811" spans="2:2">
      <c r="B811" s="120"/>
    </row>
    <row r="812" spans="2:2">
      <c r="B812" s="120"/>
    </row>
    <row r="813" spans="2:2">
      <c r="B813" s="120"/>
    </row>
    <row r="814" spans="2:2">
      <c r="B814" s="120"/>
    </row>
    <row r="815" spans="2:2">
      <c r="B815" s="120"/>
    </row>
    <row r="816" spans="2:2">
      <c r="B816" s="120"/>
    </row>
    <row r="817" spans="2:2">
      <c r="B817" s="120"/>
    </row>
    <row r="818" spans="2:2">
      <c r="B818" s="120"/>
    </row>
    <row r="819" spans="2:2">
      <c r="B819" s="120"/>
    </row>
    <row r="820" spans="2:2">
      <c r="B820" s="120"/>
    </row>
    <row r="821" spans="2:2">
      <c r="B821" s="120"/>
    </row>
    <row r="822" spans="2:2">
      <c r="B822" s="120"/>
    </row>
    <row r="823" spans="2:2">
      <c r="B823" s="120"/>
    </row>
    <row r="824" spans="2:2">
      <c r="B824" s="120"/>
    </row>
    <row r="825" spans="2:2">
      <c r="B825" s="120"/>
    </row>
    <row r="826" spans="2:2">
      <c r="B826" s="120"/>
    </row>
    <row r="827" spans="2:2">
      <c r="B827" s="120"/>
    </row>
    <row r="828" spans="2:2">
      <c r="B828" s="120"/>
    </row>
    <row r="829" spans="2:2">
      <c r="B829" s="120"/>
    </row>
    <row r="830" spans="2:2">
      <c r="B830" s="120"/>
    </row>
    <row r="831" spans="2:2">
      <c r="B831" s="120"/>
    </row>
    <row r="832" spans="2:2">
      <c r="B832" s="120"/>
    </row>
    <row r="833" spans="2:2">
      <c r="B833" s="120"/>
    </row>
    <row r="834" spans="2:2">
      <c r="B834" s="120"/>
    </row>
    <row r="835" spans="2:2">
      <c r="B835" s="120"/>
    </row>
    <row r="836" spans="2:2">
      <c r="B836" s="120"/>
    </row>
    <row r="837" spans="2:2">
      <c r="B837" s="120"/>
    </row>
    <row r="838" spans="2:2">
      <c r="B838" s="120"/>
    </row>
    <row r="839" spans="2:2">
      <c r="B839" s="120"/>
    </row>
    <row r="840" spans="2:2">
      <c r="B840" s="120"/>
    </row>
    <row r="841" spans="2:2">
      <c r="B841" s="120"/>
    </row>
    <row r="842" spans="2:2">
      <c r="B842" s="120"/>
    </row>
    <row r="843" spans="2:2">
      <c r="B843" s="120"/>
    </row>
    <row r="844" spans="2:2">
      <c r="B844" s="120"/>
    </row>
    <row r="845" spans="2:2">
      <c r="B845" s="120"/>
    </row>
    <row r="846" spans="2:2">
      <c r="B846" s="120"/>
    </row>
    <row r="847" spans="2:2">
      <c r="B847" s="120"/>
    </row>
    <row r="848" spans="2:2">
      <c r="B848" s="120"/>
    </row>
    <row r="849" spans="2:2">
      <c r="B849" s="120"/>
    </row>
    <row r="850" spans="2:2">
      <c r="B850" s="120"/>
    </row>
    <row r="851" spans="2:2">
      <c r="B851" s="120"/>
    </row>
    <row r="852" spans="2:2">
      <c r="B852" s="120"/>
    </row>
    <row r="853" spans="2:2">
      <c r="B853" s="120"/>
    </row>
    <row r="854" spans="2:2">
      <c r="B854" s="120"/>
    </row>
    <row r="855" spans="2:2">
      <c r="B855" s="120"/>
    </row>
    <row r="856" spans="2:2">
      <c r="B856" s="120"/>
    </row>
    <row r="857" spans="2:2">
      <c r="B857" s="120"/>
    </row>
    <row r="858" spans="2:2">
      <c r="B858" s="120"/>
    </row>
    <row r="859" spans="2:2">
      <c r="B859" s="120"/>
    </row>
    <row r="860" spans="2:2">
      <c r="B860" s="120"/>
    </row>
    <row r="861" spans="2:2">
      <c r="B861" s="120"/>
    </row>
    <row r="862" spans="2:2">
      <c r="B862" s="120"/>
    </row>
    <row r="863" spans="2:2">
      <c r="B863" s="120"/>
    </row>
    <row r="864" spans="2:2">
      <c r="B864" s="120"/>
    </row>
    <row r="865" spans="2:2">
      <c r="B865" s="120"/>
    </row>
    <row r="866" spans="2:2">
      <c r="B866" s="120"/>
    </row>
    <row r="867" spans="2:2">
      <c r="B867" s="120"/>
    </row>
    <row r="868" spans="2:2">
      <c r="B868" s="120"/>
    </row>
    <row r="869" spans="2:2">
      <c r="B869" s="120"/>
    </row>
    <row r="870" spans="2:2">
      <c r="B870" s="120"/>
    </row>
    <row r="871" spans="2:2">
      <c r="B871" s="120"/>
    </row>
    <row r="872" spans="2:2">
      <c r="B872" s="120"/>
    </row>
    <row r="873" spans="2:2">
      <c r="B873" s="120"/>
    </row>
    <row r="874" spans="2:2">
      <c r="B874" s="120"/>
    </row>
    <row r="875" spans="2:2">
      <c r="B875" s="120"/>
    </row>
    <row r="876" spans="2:2">
      <c r="B876" s="120"/>
    </row>
    <row r="877" spans="2:2">
      <c r="B877" s="120"/>
    </row>
    <row r="878" spans="2:2">
      <c r="B878" s="120"/>
    </row>
    <row r="879" spans="2:2">
      <c r="B879" s="120"/>
    </row>
    <row r="880" spans="2:2">
      <c r="B880" s="120"/>
    </row>
    <row r="881" spans="2:2">
      <c r="B881" s="120"/>
    </row>
    <row r="882" spans="2:2">
      <c r="B882" s="120"/>
    </row>
    <row r="883" spans="2:2">
      <c r="B883" s="120"/>
    </row>
    <row r="884" spans="2:2">
      <c r="B884" s="120"/>
    </row>
    <row r="885" spans="2:2">
      <c r="B885" s="120"/>
    </row>
    <row r="886" spans="2:2">
      <c r="B886" s="120"/>
    </row>
    <row r="887" spans="2:2">
      <c r="B887" s="120"/>
    </row>
    <row r="888" spans="2:2">
      <c r="B888" s="120"/>
    </row>
    <row r="889" spans="2:2">
      <c r="B889" s="120"/>
    </row>
    <row r="890" spans="2:2">
      <c r="B890" s="120"/>
    </row>
    <row r="891" spans="2:2">
      <c r="B891" s="120"/>
    </row>
    <row r="892" spans="2:2">
      <c r="B892" s="120"/>
    </row>
    <row r="893" spans="2:2">
      <c r="B893" s="120"/>
    </row>
    <row r="894" spans="2:2">
      <c r="B894" s="120"/>
    </row>
    <row r="895" spans="2:2">
      <c r="B895" s="120"/>
    </row>
    <row r="896" spans="2:2">
      <c r="B896" s="120"/>
    </row>
    <row r="897" spans="2:2">
      <c r="B897" s="120"/>
    </row>
    <row r="898" spans="2:2">
      <c r="B898" s="120"/>
    </row>
    <row r="899" spans="2:2">
      <c r="B899" s="120"/>
    </row>
    <row r="900" spans="2:2">
      <c r="B900" s="120"/>
    </row>
    <row r="901" spans="2:2">
      <c r="B901" s="120"/>
    </row>
    <row r="902" spans="2:2">
      <c r="B902" s="120"/>
    </row>
    <row r="903" spans="2:2">
      <c r="B903" s="120"/>
    </row>
    <row r="904" spans="2:2">
      <c r="B904" s="120"/>
    </row>
    <row r="905" spans="2:2">
      <c r="B905" s="120"/>
    </row>
    <row r="906" spans="2:2">
      <c r="B906" s="120"/>
    </row>
    <row r="907" spans="2:2">
      <c r="B907" s="120"/>
    </row>
    <row r="908" spans="2:2">
      <c r="B908" s="120"/>
    </row>
    <row r="909" spans="2:2">
      <c r="B909" s="120"/>
    </row>
    <row r="910" spans="2:2">
      <c r="B910" s="120"/>
    </row>
    <row r="911" spans="2:2">
      <c r="B911" s="120"/>
    </row>
    <row r="912" spans="2:2">
      <c r="B912" s="120"/>
    </row>
    <row r="913" spans="2:2">
      <c r="B913" s="120"/>
    </row>
    <row r="914" spans="2:2">
      <c r="B914" s="120"/>
    </row>
    <row r="915" spans="2:2">
      <c r="B915" s="120"/>
    </row>
    <row r="916" spans="2:2">
      <c r="B916" s="120"/>
    </row>
    <row r="917" spans="2:2">
      <c r="B917" s="120"/>
    </row>
    <row r="918" spans="2:2">
      <c r="B918" s="120"/>
    </row>
    <row r="919" spans="2:2">
      <c r="B919" s="120"/>
    </row>
    <row r="920" spans="2:2">
      <c r="B920" s="120"/>
    </row>
    <row r="921" spans="2:2">
      <c r="B921" s="120"/>
    </row>
    <row r="922" spans="2:2">
      <c r="B922" s="120"/>
    </row>
    <row r="923" spans="2:2">
      <c r="B923" s="120"/>
    </row>
    <row r="924" spans="2:2">
      <c r="B924" s="120"/>
    </row>
    <row r="925" spans="2:2">
      <c r="B925" s="120"/>
    </row>
    <row r="926" spans="2:2">
      <c r="B926" s="120"/>
    </row>
    <row r="927" spans="2:2">
      <c r="B927" s="120"/>
    </row>
    <row r="928" spans="2:2">
      <c r="B928" s="120"/>
    </row>
    <row r="929" spans="2:2">
      <c r="B929" s="120"/>
    </row>
    <row r="930" spans="2:2">
      <c r="B930" s="120"/>
    </row>
    <row r="931" spans="2:2">
      <c r="B931" s="120"/>
    </row>
    <row r="932" spans="2:2">
      <c r="B932" s="120"/>
    </row>
    <row r="933" spans="2:2">
      <c r="B933" s="120"/>
    </row>
    <row r="934" spans="2:2">
      <c r="B934" s="120"/>
    </row>
    <row r="935" spans="2:2">
      <c r="B935" s="120"/>
    </row>
    <row r="936" spans="2:2">
      <c r="B936" s="120"/>
    </row>
    <row r="937" spans="2:2">
      <c r="B937" s="120"/>
    </row>
    <row r="938" spans="2:2">
      <c r="B938" s="120"/>
    </row>
    <row r="939" spans="2:2">
      <c r="B939" s="120"/>
    </row>
    <row r="940" spans="2:2">
      <c r="B940" s="120"/>
    </row>
    <row r="941" spans="2:2">
      <c r="B941" s="120"/>
    </row>
    <row r="942" spans="2:2">
      <c r="B942" s="120"/>
    </row>
    <row r="943" spans="2:2">
      <c r="B943" s="120"/>
    </row>
    <row r="944" spans="2:2">
      <c r="B944" s="120"/>
    </row>
    <row r="945" spans="2:2">
      <c r="B945" s="120"/>
    </row>
    <row r="946" spans="2:2">
      <c r="B946" s="120"/>
    </row>
    <row r="947" spans="2:2">
      <c r="B947" s="120"/>
    </row>
    <row r="948" spans="2:2">
      <c r="B948" s="120"/>
    </row>
    <row r="949" spans="2:2">
      <c r="B949" s="120"/>
    </row>
    <row r="950" spans="2:2">
      <c r="B950" s="120"/>
    </row>
    <row r="951" spans="2:2">
      <c r="B951" s="120"/>
    </row>
    <row r="952" spans="2:2">
      <c r="B952" s="120"/>
    </row>
    <row r="953" spans="2:2">
      <c r="B953" s="120"/>
    </row>
    <row r="954" spans="2:2">
      <c r="B954" s="120"/>
    </row>
    <row r="955" spans="2:2">
      <c r="B955" s="120"/>
    </row>
    <row r="956" spans="2:2">
      <c r="B956" s="120"/>
    </row>
    <row r="957" spans="2:2">
      <c r="B957" s="120"/>
    </row>
    <row r="958" spans="2:2">
      <c r="B958" s="120"/>
    </row>
    <row r="959" spans="2:2">
      <c r="B959" s="120"/>
    </row>
    <row r="960" spans="2:2">
      <c r="B960" s="120"/>
    </row>
    <row r="961" spans="2:2">
      <c r="B961" s="120"/>
    </row>
    <row r="962" spans="2:2">
      <c r="B962" s="120"/>
    </row>
    <row r="963" spans="2:2">
      <c r="B963" s="120"/>
    </row>
    <row r="964" spans="2:2">
      <c r="B964" s="120"/>
    </row>
    <row r="965" spans="2:2">
      <c r="B965" s="120"/>
    </row>
    <row r="966" spans="2:2">
      <c r="B966" s="120"/>
    </row>
    <row r="967" spans="2:2">
      <c r="B967" s="120"/>
    </row>
    <row r="968" spans="2:2">
      <c r="B968" s="120"/>
    </row>
    <row r="969" spans="2:2">
      <c r="B969" s="120"/>
    </row>
    <row r="970" spans="2:2">
      <c r="B970" s="120"/>
    </row>
    <row r="971" spans="2:2">
      <c r="B971" s="120"/>
    </row>
    <row r="972" spans="2:2">
      <c r="B972" s="120"/>
    </row>
    <row r="973" spans="2:2">
      <c r="B973" s="120"/>
    </row>
    <row r="974" spans="2:2">
      <c r="B974" s="120"/>
    </row>
    <row r="975" spans="2:2">
      <c r="B975" s="120"/>
    </row>
    <row r="976" spans="2:2">
      <c r="B976" s="120"/>
    </row>
    <row r="977" spans="2:2">
      <c r="B977" s="120"/>
    </row>
    <row r="978" spans="2:2">
      <c r="B978" s="120"/>
    </row>
    <row r="979" spans="2:2">
      <c r="B979" s="120"/>
    </row>
    <row r="980" spans="2:2">
      <c r="B980" s="120"/>
    </row>
    <row r="981" spans="2:2">
      <c r="B981" s="120"/>
    </row>
    <row r="982" spans="2:2">
      <c r="B982" s="120"/>
    </row>
    <row r="983" spans="2:2">
      <c r="B983" s="120"/>
    </row>
    <row r="984" spans="2:2">
      <c r="B984" s="120"/>
    </row>
    <row r="985" spans="2:2">
      <c r="B985" s="120"/>
    </row>
    <row r="986" spans="2:2">
      <c r="B986" s="120"/>
    </row>
    <row r="987" spans="2:2">
      <c r="B987" s="120"/>
    </row>
    <row r="988" spans="2:2">
      <c r="B988" s="120"/>
    </row>
    <row r="989" spans="2:2">
      <c r="B989" s="120"/>
    </row>
    <row r="990" spans="2:2">
      <c r="B990" s="120"/>
    </row>
    <row r="991" spans="2:2">
      <c r="B991" s="120"/>
    </row>
    <row r="992" spans="2:2">
      <c r="B992" s="120"/>
    </row>
    <row r="993" spans="2:2">
      <c r="B993" s="120"/>
    </row>
    <row r="994" spans="2:2">
      <c r="B994" s="120"/>
    </row>
    <row r="995" spans="2:2">
      <c r="B995" s="120"/>
    </row>
    <row r="996" spans="2:2">
      <c r="B996" s="120"/>
    </row>
    <row r="997" spans="2:2">
      <c r="B997" s="120"/>
    </row>
    <row r="998" spans="2:2">
      <c r="B998" s="120"/>
    </row>
    <row r="999" spans="2:2">
      <c r="B999" s="120"/>
    </row>
    <row r="1000" spans="2:2">
      <c r="B1000" s="120"/>
    </row>
    <row r="1001" spans="2:2">
      <c r="B1001" s="120"/>
    </row>
  </sheetData>
  <autoFilter ref="A2:AC179" xr:uid="{AEF0B771-9C67-42CE-A600-5818A2879F5E}">
    <filterColumn colId="2" showButton="0"/>
    <filterColumn colId="3" showButton="0"/>
    <filterColumn colId="4" showButton="0"/>
    <filterColumn colId="5" showButton="0"/>
    <filterColumn colId="6" showButton="0"/>
    <filterColumn colId="7" showButton="0"/>
    <filterColumn colId="8" showButton="0"/>
    <filterColumn colId="9" showButton="0"/>
    <filterColumn colId="15" showButton="0"/>
    <filterColumn colId="17" showButton="0"/>
    <filterColumn colId="20" showButton="0"/>
    <filterColumn colId="21" showButton="0"/>
    <filterColumn colId="22" showButton="0"/>
    <filterColumn colId="23" showButton="0"/>
    <filterColumn colId="24" showButton="0"/>
    <filterColumn colId="26" showButton="0"/>
  </autoFilter>
  <mergeCells count="6">
    <mergeCell ref="C2:K2"/>
    <mergeCell ref="L2:L3"/>
    <mergeCell ref="P2:Q2"/>
    <mergeCell ref="R2:S2"/>
    <mergeCell ref="U2:Z2"/>
    <mergeCell ref="AA2:AB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8" id="{2224DBF3-17CA-4B55-BA06-023AFB792A9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U129</xm:sqref>
        </x14:conditionalFormatting>
        <x14:conditionalFormatting xmlns:xm="http://schemas.microsoft.com/office/excel/2006/main">
          <x14:cfRule type="iconSet" priority="19" id="{BD8646F4-1EFE-45D3-B7EF-3C334E3C629B}">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U130</xm:sqref>
        </x14:conditionalFormatting>
        <x14:conditionalFormatting xmlns:xm="http://schemas.microsoft.com/office/excel/2006/main">
          <x14:cfRule type="iconSet" priority="8" id="{E5137AA2-6FD3-4021-A689-6BD2048C930D}">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U163</xm:sqref>
        </x14:conditionalFormatting>
        <x14:conditionalFormatting xmlns:xm="http://schemas.microsoft.com/office/excel/2006/main">
          <x14:cfRule type="iconSet" priority="27" id="{2F796F62-2029-44AF-A2C4-817036CDC5B7}">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U173 W173:Z173 U171:Z172 V173:V176</xm:sqref>
        </x14:conditionalFormatting>
        <x14:conditionalFormatting xmlns:xm="http://schemas.microsoft.com/office/excel/2006/main">
          <x14:cfRule type="iconSet" priority="26" id="{848C6474-5E8E-497F-9BD5-400F447A6B94}">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U174 W174:Z174</xm:sqref>
        </x14:conditionalFormatting>
        <x14:conditionalFormatting xmlns:xm="http://schemas.microsoft.com/office/excel/2006/main">
          <x14:cfRule type="iconSet" priority="12" id="{81190DC6-514D-4E90-9B0E-075E7760A01A}">
            <x14:iconSet iconSet="3Symbols" showValue="0" custom="1">
              <x14:cfvo type="percent">
                <xm:f>0</xm:f>
              </x14:cfvo>
              <x14:cfvo type="num">
                <xm:f>0</xm:f>
              </x14:cfvo>
              <x14:cfvo type="num">
                <xm:f>1</xm:f>
              </x14:cfvo>
              <x14:cfIcon iconSet="3Symbols" iconId="0"/>
              <x14:cfIcon iconSet="3Symbols" iconId="0"/>
              <x14:cfIcon iconSet="3Symbols" iconId="2"/>
            </x14:iconSet>
          </x14:cfRule>
          <xm:sqref>U35:V35</xm:sqref>
        </x14:conditionalFormatting>
        <x14:conditionalFormatting xmlns:xm="http://schemas.microsoft.com/office/excel/2006/main">
          <x14:cfRule type="iconSet" priority="15" id="{27CF0FEF-B2FC-4506-B797-982DEBE182F4}">
            <x14:iconSet iconSet="3Symbols" showValue="0" custom="1">
              <x14:cfvo type="percent">
                <xm:f>0</xm:f>
              </x14:cfvo>
              <x14:cfvo type="num">
                <xm:f>0</xm:f>
              </x14:cfvo>
              <x14:cfvo type="num">
                <xm:f>1</xm:f>
              </x14:cfvo>
              <x14:cfIcon iconSet="3Symbols" iconId="0"/>
              <x14:cfIcon iconSet="3Symbols" iconId="0"/>
              <x14:cfIcon iconSet="3Symbols" iconId="2"/>
            </x14:iconSet>
          </x14:cfRule>
          <xm:sqref>U78:V81</xm:sqref>
        </x14:conditionalFormatting>
        <x14:conditionalFormatting xmlns:xm="http://schemas.microsoft.com/office/excel/2006/main">
          <x14:cfRule type="iconSet" priority="61" id="{9FCC317B-58B2-4F8D-889B-F613C5E632C4}">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U13:Z13 U4:Z11 V12:Z12</xm:sqref>
        </x14:conditionalFormatting>
        <x14:conditionalFormatting xmlns:xm="http://schemas.microsoft.com/office/excel/2006/main">
          <x14:cfRule type="iconSet" priority="60" id="{0530983B-719D-4B7B-88EB-5A2053DF937D}">
            <x14:iconSet iconSet="3Symbols" showValue="0" custom="1">
              <x14:cfvo type="percent">
                <xm:f>0</xm:f>
              </x14:cfvo>
              <x14:cfvo type="num">
                <xm:f>0</xm:f>
              </x14:cfvo>
              <x14:cfvo type="num">
                <xm:f>1</xm:f>
              </x14:cfvo>
              <x14:cfIcon iconSet="3Symbols" iconId="0"/>
              <x14:cfIcon iconSet="3Symbols" iconId="0"/>
              <x14:cfIcon iconSet="3Symbols" iconId="2"/>
            </x14:iconSet>
          </x14:cfRule>
          <xm:sqref>U14:Z21</xm:sqref>
        </x14:conditionalFormatting>
        <x14:conditionalFormatting xmlns:xm="http://schemas.microsoft.com/office/excel/2006/main">
          <x14:cfRule type="iconSet" priority="59" id="{63F6AB1F-A61D-4575-954E-5C98AA23FD3C}">
            <x14:iconSet iconSet="3Symbols" showValue="0" custom="1">
              <x14:cfvo type="percent">
                <xm:f>0</xm:f>
              </x14:cfvo>
              <x14:cfvo type="num">
                <xm:f>0</xm:f>
              </x14:cfvo>
              <x14:cfvo type="num">
                <xm:f>1</xm:f>
              </x14:cfvo>
              <x14:cfIcon iconSet="3Symbols" iconId="0"/>
              <x14:cfIcon iconSet="3Symbols" iconId="0"/>
              <x14:cfIcon iconSet="3Symbols" iconId="2"/>
            </x14:iconSet>
          </x14:cfRule>
          <xm:sqref>U22:Z24</xm:sqref>
        </x14:conditionalFormatting>
        <x14:conditionalFormatting xmlns:xm="http://schemas.microsoft.com/office/excel/2006/main">
          <x14:cfRule type="iconSet" priority="58" id="{6A925DF7-9B98-44FA-862F-C469FFCF4CAB}">
            <x14:iconSet iconSet="3Symbols" showValue="0" custom="1">
              <x14:cfvo type="percent">
                <xm:f>0</xm:f>
              </x14:cfvo>
              <x14:cfvo type="num">
                <xm:f>0</xm:f>
              </x14:cfvo>
              <x14:cfvo type="num">
                <xm:f>1</xm:f>
              </x14:cfvo>
              <x14:cfIcon iconSet="3Symbols" iconId="0"/>
              <x14:cfIcon iconSet="3Symbols" iconId="0"/>
              <x14:cfIcon iconSet="3Symbols" iconId="2"/>
            </x14:iconSet>
          </x14:cfRule>
          <xm:sqref>U25:Z28</xm:sqref>
        </x14:conditionalFormatting>
        <x14:conditionalFormatting xmlns:xm="http://schemas.microsoft.com/office/excel/2006/main">
          <x14:cfRule type="iconSet" priority="57" id="{C1842AA9-0FDF-4CC2-A9A6-CF62869D9255}">
            <x14:iconSet iconSet="3Symbols" showValue="0" custom="1">
              <x14:cfvo type="percent">
                <xm:f>0</xm:f>
              </x14:cfvo>
              <x14:cfvo type="num">
                <xm:f>0</xm:f>
              </x14:cfvo>
              <x14:cfvo type="num">
                <xm:f>1</xm:f>
              </x14:cfvo>
              <x14:cfIcon iconSet="3Symbols" iconId="0"/>
              <x14:cfIcon iconSet="3Symbols" iconId="0"/>
              <x14:cfIcon iconSet="3Symbols" iconId="2"/>
            </x14:iconSet>
          </x14:cfRule>
          <xm:sqref>U29:Z34</xm:sqref>
        </x14:conditionalFormatting>
        <x14:conditionalFormatting xmlns:xm="http://schemas.microsoft.com/office/excel/2006/main">
          <x14:cfRule type="iconSet" priority="55" id="{F2DDE607-7026-4E72-9BB3-661C028AB7F4}">
            <x14:iconSet iconSet="3Symbols" showValue="0" custom="1">
              <x14:cfvo type="percent">
                <xm:f>0</xm:f>
              </x14:cfvo>
              <x14:cfvo type="num">
                <xm:f>0</xm:f>
              </x14:cfvo>
              <x14:cfvo type="num">
                <xm:f>1</xm:f>
              </x14:cfvo>
              <x14:cfIcon iconSet="3Symbols" iconId="0"/>
              <x14:cfIcon iconSet="3Symbols" iconId="0"/>
              <x14:cfIcon iconSet="3Symbols" iconId="2"/>
            </x14:iconSet>
          </x14:cfRule>
          <xm:sqref>U36:Z41</xm:sqref>
        </x14:conditionalFormatting>
        <x14:conditionalFormatting xmlns:xm="http://schemas.microsoft.com/office/excel/2006/main">
          <x14:cfRule type="iconSet" priority="54" id="{DCF1601E-2FC3-4C6A-8914-DC078760415D}">
            <x14:iconSet iconSet="3Symbols" showValue="0" custom="1">
              <x14:cfvo type="percent">
                <xm:f>0</xm:f>
              </x14:cfvo>
              <x14:cfvo type="num">
                <xm:f>0</xm:f>
              </x14:cfvo>
              <x14:cfvo type="num">
                <xm:f>1</xm:f>
              </x14:cfvo>
              <x14:cfIcon iconSet="3Symbols" iconId="0"/>
              <x14:cfIcon iconSet="3Symbols" iconId="0"/>
              <x14:cfIcon iconSet="3Symbols" iconId="2"/>
            </x14:iconSet>
          </x14:cfRule>
          <xm:sqref>U42:Z47</xm:sqref>
        </x14:conditionalFormatting>
        <x14:conditionalFormatting xmlns:xm="http://schemas.microsoft.com/office/excel/2006/main">
          <x14:cfRule type="iconSet" priority="53" id="{66D11D8A-9503-49B3-A4E3-07E013821A24}">
            <x14:iconSet iconSet="3Symbols" showValue="0" custom="1">
              <x14:cfvo type="percent">
                <xm:f>0</xm:f>
              </x14:cfvo>
              <x14:cfvo type="num">
                <xm:f>0</xm:f>
              </x14:cfvo>
              <x14:cfvo type="num">
                <xm:f>1</xm:f>
              </x14:cfvo>
              <x14:cfIcon iconSet="3Symbols" iconId="0"/>
              <x14:cfIcon iconSet="3Symbols" iconId="0"/>
              <x14:cfIcon iconSet="3Symbols" iconId="2"/>
            </x14:iconSet>
          </x14:cfRule>
          <xm:sqref>U48:Z50</xm:sqref>
        </x14:conditionalFormatting>
        <x14:conditionalFormatting xmlns:xm="http://schemas.microsoft.com/office/excel/2006/main">
          <x14:cfRule type="iconSet" priority="52" id="{987450A3-A89A-447C-8699-36D11D0D30C0}">
            <x14:iconSet iconSet="3Symbols" showValue="0" custom="1">
              <x14:cfvo type="percent">
                <xm:f>0</xm:f>
              </x14:cfvo>
              <x14:cfvo type="num">
                <xm:f>0</xm:f>
              </x14:cfvo>
              <x14:cfvo type="num">
                <xm:f>1</xm:f>
              </x14:cfvo>
              <x14:cfIcon iconSet="3Symbols" iconId="0"/>
              <x14:cfIcon iconSet="3Symbols" iconId="0"/>
              <x14:cfIcon iconSet="3Symbols" iconId="2"/>
            </x14:iconSet>
          </x14:cfRule>
          <xm:sqref>U51:Z51 U53:Z55 U52 W52:Z52</xm:sqref>
        </x14:conditionalFormatting>
        <x14:conditionalFormatting xmlns:xm="http://schemas.microsoft.com/office/excel/2006/main">
          <x14:cfRule type="iconSet" priority="51" id="{CE0E2C84-77F8-4D2D-8FA5-A1042CF02434}">
            <x14:iconSet iconSet="3Symbols" showValue="0" custom="1">
              <x14:cfvo type="percent">
                <xm:f>0</xm:f>
              </x14:cfvo>
              <x14:cfvo type="num">
                <xm:f>0</xm:f>
              </x14:cfvo>
              <x14:cfvo type="num">
                <xm:f>1</xm:f>
              </x14:cfvo>
              <x14:cfIcon iconSet="3Symbols" iconId="0"/>
              <x14:cfIcon iconSet="3Symbols" iconId="0"/>
              <x14:cfIcon iconSet="3Symbols" iconId="2"/>
            </x14:iconSet>
          </x14:cfRule>
          <xm:sqref>U56:Z56</xm:sqref>
        </x14:conditionalFormatting>
        <x14:conditionalFormatting xmlns:xm="http://schemas.microsoft.com/office/excel/2006/main">
          <x14:cfRule type="iconSet" priority="64" id="{C798BECB-332F-42A2-BBA1-EBCEDD1500BB}">
            <x14:iconSet iconSet="3Symbols" showValue="0" custom="1">
              <x14:cfvo type="percent">
                <xm:f>0</xm:f>
              </x14:cfvo>
              <x14:cfvo type="num">
                <xm:f>0</xm:f>
              </x14:cfvo>
              <x14:cfvo type="num">
                <xm:f>1</xm:f>
              </x14:cfvo>
              <x14:cfIcon iconSet="3Symbols" iconId="0"/>
              <x14:cfIcon iconSet="3Symbols" iconId="0"/>
              <x14:cfIcon iconSet="3Symbols" iconId="2"/>
            </x14:iconSet>
          </x14:cfRule>
          <xm:sqref>U58:Z65</xm:sqref>
        </x14:conditionalFormatting>
        <x14:conditionalFormatting xmlns:xm="http://schemas.microsoft.com/office/excel/2006/main">
          <x14:cfRule type="iconSet" priority="50" id="{C4E85756-8BCA-496C-A787-96C5791157A1}">
            <x14:iconSet iconSet="3Symbols" showValue="0" custom="1">
              <x14:cfvo type="percent">
                <xm:f>0</xm:f>
              </x14:cfvo>
              <x14:cfvo type="num">
                <xm:f>0</xm:f>
              </x14:cfvo>
              <x14:cfvo type="num">
                <xm:f>1</xm:f>
              </x14:cfvo>
              <x14:cfIcon iconSet="3Symbols" iconId="0"/>
              <x14:cfIcon iconSet="3Symbols" iconId="0"/>
              <x14:cfIcon iconSet="3Symbols" iconId="2"/>
            </x14:iconSet>
          </x14:cfRule>
          <xm:sqref>U66:Z66</xm:sqref>
        </x14:conditionalFormatting>
        <x14:conditionalFormatting xmlns:xm="http://schemas.microsoft.com/office/excel/2006/main">
          <x14:cfRule type="iconSet" priority="65" id="{555DEFF7-B0A0-4FB1-9C23-D674CE409907}">
            <x14:iconSet iconSet="3Symbols" showValue="0" custom="1">
              <x14:cfvo type="percent">
                <xm:f>0</xm:f>
              </x14:cfvo>
              <x14:cfvo type="num">
                <xm:f>0</xm:f>
              </x14:cfvo>
              <x14:cfvo type="num">
                <xm:f>1</xm:f>
              </x14:cfvo>
              <x14:cfIcon iconSet="3Symbols" iconId="0"/>
              <x14:cfIcon iconSet="3Symbols" iconId="0"/>
              <x14:cfIcon iconSet="3Symbols" iconId="2"/>
            </x14:iconSet>
          </x14:cfRule>
          <xm:sqref>U67:Z75</xm:sqref>
        </x14:conditionalFormatting>
        <x14:conditionalFormatting xmlns:xm="http://schemas.microsoft.com/office/excel/2006/main">
          <x14:cfRule type="iconSet" priority="49" id="{EAB629AB-88FC-4EF6-9843-B951F8045B2D}">
            <x14:iconSet iconSet="3Symbols" showValue="0" custom="1">
              <x14:cfvo type="percent">
                <xm:f>0</xm:f>
              </x14:cfvo>
              <x14:cfvo type="num">
                <xm:f>0</xm:f>
              </x14:cfvo>
              <x14:cfvo type="num">
                <xm:f>1</xm:f>
              </x14:cfvo>
              <x14:cfIcon iconSet="3Symbols" iconId="0"/>
              <x14:cfIcon iconSet="3Symbols" iconId="0"/>
              <x14:cfIcon iconSet="3Symbols" iconId="2"/>
            </x14:iconSet>
          </x14:cfRule>
          <xm:sqref>U76:Z77</xm:sqref>
        </x14:conditionalFormatting>
        <x14:conditionalFormatting xmlns:xm="http://schemas.microsoft.com/office/excel/2006/main">
          <x14:cfRule type="iconSet" priority="48" id="{073C30BD-4B6D-4461-A556-7B3532341037}">
            <x14:iconSet iconSet="3Symbols" showValue="0" custom="1">
              <x14:cfvo type="percent">
                <xm:f>0</xm:f>
              </x14:cfvo>
              <x14:cfvo type="num">
                <xm:f>0</xm:f>
              </x14:cfvo>
              <x14:cfvo type="num">
                <xm:f>1</xm:f>
              </x14:cfvo>
              <x14:cfIcon iconSet="3Symbols" iconId="0"/>
              <x14:cfIcon iconSet="3Symbols" iconId="0"/>
              <x14:cfIcon iconSet="3Symbols" iconId="2"/>
            </x14:iconSet>
          </x14:cfRule>
          <xm:sqref>U83:Z86 W78:Z81 U82:W82 Y82:Z82</xm:sqref>
        </x14:conditionalFormatting>
        <x14:conditionalFormatting xmlns:xm="http://schemas.microsoft.com/office/excel/2006/main">
          <x14:cfRule type="iconSet" priority="47" id="{015B0B4D-6C12-442C-A473-826A28679077}">
            <x14:iconSet iconSet="3Symbols" showValue="0" custom="1">
              <x14:cfvo type="percent">
                <xm:f>0</xm:f>
              </x14:cfvo>
              <x14:cfvo type="num">
                <xm:f>0</xm:f>
              </x14:cfvo>
              <x14:cfvo type="num">
                <xm:f>1</xm:f>
              </x14:cfvo>
              <x14:cfIcon iconSet="3Symbols" iconId="0"/>
              <x14:cfIcon iconSet="3Symbols" iconId="0"/>
              <x14:cfIcon iconSet="3Symbols" iconId="2"/>
            </x14:iconSet>
          </x14:cfRule>
          <xm:sqref>U87:Z91</xm:sqref>
        </x14:conditionalFormatting>
        <x14:conditionalFormatting xmlns:xm="http://schemas.microsoft.com/office/excel/2006/main">
          <x14:cfRule type="iconSet" priority="46" id="{75D19583-031A-47CD-97FE-6F7F03139534}">
            <x14:iconSet iconSet="3Symbols" showValue="0" custom="1">
              <x14:cfvo type="percent">
                <xm:f>0</xm:f>
              </x14:cfvo>
              <x14:cfvo type="num">
                <xm:f>0</xm:f>
              </x14:cfvo>
              <x14:cfvo type="num">
                <xm:f>1</xm:f>
              </x14:cfvo>
              <x14:cfIcon iconSet="3Symbols" iconId="0"/>
              <x14:cfIcon iconSet="3Symbols" iconId="0"/>
              <x14:cfIcon iconSet="3Symbols" iconId="2"/>
            </x14:iconSet>
          </x14:cfRule>
          <xm:sqref>U92:Z98</xm:sqref>
        </x14:conditionalFormatting>
        <x14:conditionalFormatting xmlns:xm="http://schemas.microsoft.com/office/excel/2006/main">
          <x14:cfRule type="iconSet" priority="45" id="{E9F37C71-749B-4B47-AEA5-D7B37B84C082}">
            <x14:iconSet iconSet="3Symbols" showValue="0" custom="1">
              <x14:cfvo type="percent">
                <xm:f>0</xm:f>
              </x14:cfvo>
              <x14:cfvo type="num">
                <xm:f>0</xm:f>
              </x14:cfvo>
              <x14:cfvo type="num">
                <xm:f>1</xm:f>
              </x14:cfvo>
              <x14:cfIcon iconSet="3Symbols" iconId="0"/>
              <x14:cfIcon iconSet="3Symbols" iconId="0"/>
              <x14:cfIcon iconSet="3Symbols" iconId="2"/>
            </x14:iconSet>
          </x14:cfRule>
          <xm:sqref>U99:Z103</xm:sqref>
        </x14:conditionalFormatting>
        <x14:conditionalFormatting xmlns:xm="http://schemas.microsoft.com/office/excel/2006/main">
          <x14:cfRule type="iconSet" priority="43" id="{F4B4018E-765B-423C-81F3-F205E4868B0A}">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U104:Z107</xm:sqref>
        </x14:conditionalFormatting>
        <x14:conditionalFormatting xmlns:xm="http://schemas.microsoft.com/office/excel/2006/main">
          <x14:cfRule type="iconSet" priority="10" id="{61DF54E5-8FEC-428C-9DB2-CFB1C2EE9910}">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U108:Z108</xm:sqref>
        </x14:conditionalFormatting>
        <x14:conditionalFormatting xmlns:xm="http://schemas.microsoft.com/office/excel/2006/main">
          <x14:cfRule type="iconSet" priority="44" id="{06DDDDF4-D2A7-4700-A2A8-AE1804D3A5CC}">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U109:Z110</xm:sqref>
        </x14:conditionalFormatting>
        <x14:conditionalFormatting xmlns:xm="http://schemas.microsoft.com/office/excel/2006/main">
          <x14:cfRule type="iconSet" priority="42" id="{3F1DBEAF-A851-450C-89F6-901FBFA95F71}">
            <x14:iconSet iconSet="3Symbols" showValue="0" custom="1">
              <x14:cfvo type="percent">
                <xm:f>0</xm:f>
              </x14:cfvo>
              <x14:cfvo type="num">
                <xm:f>0</xm:f>
              </x14:cfvo>
              <x14:cfvo type="num">
                <xm:f>1</xm:f>
              </x14:cfvo>
              <x14:cfIcon iconSet="3Symbols" iconId="0"/>
              <x14:cfIcon iconSet="3Symbols" iconId="0"/>
              <x14:cfIcon iconSet="3Symbols" iconId="2"/>
            </x14:iconSet>
          </x14:cfRule>
          <xm:sqref>U111:Z112</xm:sqref>
        </x14:conditionalFormatting>
        <x14:conditionalFormatting xmlns:xm="http://schemas.microsoft.com/office/excel/2006/main">
          <x14:cfRule type="iconSet" priority="41" id="{56486F29-00ED-4628-9063-38083AE1B0B1}">
            <x14:iconSet iconSet="3Symbols" showValue="0" custom="1">
              <x14:cfvo type="percent">
                <xm:f>0</xm:f>
              </x14:cfvo>
              <x14:cfvo type="num">
                <xm:f>0</xm:f>
              </x14:cfvo>
              <x14:cfvo type="num">
                <xm:f>1</xm:f>
              </x14:cfvo>
              <x14:cfIcon iconSet="3Symbols" iconId="0"/>
              <x14:cfIcon iconSet="3Symbols" iconId="0"/>
              <x14:cfIcon iconSet="3Symbols" iconId="2"/>
            </x14:iconSet>
          </x14:cfRule>
          <xm:sqref>U113:Z119 U121:Z123</xm:sqref>
        </x14:conditionalFormatting>
        <x14:conditionalFormatting xmlns:xm="http://schemas.microsoft.com/office/excel/2006/main">
          <x14:cfRule type="iconSet" priority="17" id="{B43C9B64-2081-44CA-86C7-1ABB64B26ED7}">
            <x14:iconSet iconSet="3Symbols" showValue="0" custom="1">
              <x14:cfvo type="percent">
                <xm:f>0</xm:f>
              </x14:cfvo>
              <x14:cfvo type="num">
                <xm:f>0</xm:f>
              </x14:cfvo>
              <x14:cfvo type="num">
                <xm:f>1</xm:f>
              </x14:cfvo>
              <x14:cfIcon iconSet="3Symbols" iconId="0"/>
              <x14:cfIcon iconSet="3Symbols" iconId="0"/>
              <x14:cfIcon iconSet="3Symbols" iconId="2"/>
            </x14:iconSet>
          </x14:cfRule>
          <xm:sqref>U120:Z120</xm:sqref>
        </x14:conditionalFormatting>
        <x14:conditionalFormatting xmlns:xm="http://schemas.microsoft.com/office/excel/2006/main">
          <x14:cfRule type="iconSet" priority="40" id="{91BBEF54-8D0E-4B31-9695-CBD4CFF70015}">
            <x14:iconSet iconSet="3Symbols" showValue="0" custom="1">
              <x14:cfvo type="percent">
                <xm:f>0</xm:f>
              </x14:cfvo>
              <x14:cfvo type="num">
                <xm:f>0</xm:f>
              </x14:cfvo>
              <x14:cfvo type="num">
                <xm:f>1</xm:f>
              </x14:cfvo>
              <x14:cfIcon iconSet="3Symbols" iconId="0"/>
              <x14:cfIcon iconSet="3Symbols" iconId="0"/>
              <x14:cfIcon iconSet="3Symbols" iconId="2"/>
            </x14:iconSet>
          </x14:cfRule>
          <xm:sqref>U124:Z125</xm:sqref>
        </x14:conditionalFormatting>
        <x14:conditionalFormatting xmlns:xm="http://schemas.microsoft.com/office/excel/2006/main">
          <x14:cfRule type="iconSet" priority="37" id="{608867DC-C582-4CCE-8120-5566451449AD}">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U131:Z132</xm:sqref>
        </x14:conditionalFormatting>
        <x14:conditionalFormatting xmlns:xm="http://schemas.microsoft.com/office/excel/2006/main">
          <x14:cfRule type="iconSet" priority="14" id="{BD165594-C8C1-4598-9B2E-75527833CF68}">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U133:Z133</xm:sqref>
        </x14:conditionalFormatting>
        <x14:conditionalFormatting xmlns:xm="http://schemas.microsoft.com/office/excel/2006/main">
          <x14:cfRule type="iconSet" priority="66" id="{5686FEB0-1908-49CC-90B5-FC62B1B27990}">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U134:Z136</xm:sqref>
        </x14:conditionalFormatting>
        <x14:conditionalFormatting xmlns:xm="http://schemas.microsoft.com/office/excel/2006/main">
          <x14:cfRule type="iconSet" priority="36" id="{C462C419-771C-481B-AA8C-71A85973E4F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U137:Z137 U139:Z139 U138 U140</xm:sqref>
        </x14:conditionalFormatting>
        <x14:conditionalFormatting xmlns:xm="http://schemas.microsoft.com/office/excel/2006/main">
          <x14:cfRule type="iconSet" priority="35" id="{7FC48A5A-2C97-47DF-AE22-BE41BFF17393}">
            <x14:iconSet iconSet="3Symbols" showValue="0" custom="1">
              <x14:cfvo type="percent">
                <xm:f>0</xm:f>
              </x14:cfvo>
              <x14:cfvo type="num">
                <xm:f>0</xm:f>
              </x14:cfvo>
              <x14:cfvo type="num">
                <xm:f>1</xm:f>
              </x14:cfvo>
              <x14:cfIcon iconSet="3Symbols" iconId="0"/>
              <x14:cfIcon iconSet="3Symbols" iconId="0"/>
              <x14:cfIcon iconSet="3Symbols" iconId="2"/>
            </x14:iconSet>
          </x14:cfRule>
          <xm:sqref>U141:Z144 W140:Z140</xm:sqref>
        </x14:conditionalFormatting>
        <x14:conditionalFormatting xmlns:xm="http://schemas.microsoft.com/office/excel/2006/main">
          <x14:cfRule type="iconSet" priority="34" id="{C9BCF131-7560-48E6-B68A-2237091F7BE3}">
            <x14:iconSet iconSet="3Symbols" showValue="0" custom="1">
              <x14:cfvo type="percent">
                <xm:f>0</xm:f>
              </x14:cfvo>
              <x14:cfvo type="num">
                <xm:f>0</xm:f>
              </x14:cfvo>
              <x14:cfvo type="num">
                <xm:f>1</xm:f>
              </x14:cfvo>
              <x14:cfIcon iconSet="3Symbols" iconId="0"/>
              <x14:cfIcon iconSet="3Symbols" iconId="0"/>
              <x14:cfIcon iconSet="3Symbols" iconId="2"/>
            </x14:iconSet>
          </x14:cfRule>
          <xm:sqref>U145:Z150</xm:sqref>
        </x14:conditionalFormatting>
        <x14:conditionalFormatting xmlns:xm="http://schemas.microsoft.com/office/excel/2006/main">
          <x14:cfRule type="iconSet" priority="33" id="{BFB98AF6-4221-44F4-9A6F-BF7DD43C2747}">
            <x14:iconSet iconSet="3Symbols" showValue="0" custom="1">
              <x14:cfvo type="percent">
                <xm:f>0</xm:f>
              </x14:cfvo>
              <x14:cfvo type="num">
                <xm:f>0</xm:f>
              </x14:cfvo>
              <x14:cfvo type="num">
                <xm:f>1</xm:f>
              </x14:cfvo>
              <x14:cfIcon iconSet="3Symbols" iconId="0"/>
              <x14:cfIcon iconSet="3Symbols" iconId="0"/>
              <x14:cfIcon iconSet="3Symbols" iconId="2"/>
            </x14:iconSet>
          </x14:cfRule>
          <xm:sqref>U151:Z157</xm:sqref>
        </x14:conditionalFormatting>
        <x14:conditionalFormatting xmlns:xm="http://schemas.microsoft.com/office/excel/2006/main">
          <x14:cfRule type="iconSet" priority="31" id="{09885A3C-F9CC-411C-98C0-F0E0F9B81DA5}">
            <x14:iconSet iconSet="3Symbols" showValue="0" custom="1">
              <x14:cfvo type="percent">
                <xm:f>0</xm:f>
              </x14:cfvo>
              <x14:cfvo type="num">
                <xm:f>0</xm:f>
              </x14:cfvo>
              <x14:cfvo type="num">
                <xm:f>1</xm:f>
              </x14:cfvo>
              <x14:cfIcon iconSet="3Symbols" iconId="0"/>
              <x14:cfIcon iconSet="3Symbols" iconId="0"/>
              <x14:cfIcon iconSet="3Symbols" iconId="2"/>
            </x14:iconSet>
          </x14:cfRule>
          <xm:sqref>U158:Z161</xm:sqref>
        </x14:conditionalFormatting>
        <x14:conditionalFormatting xmlns:xm="http://schemas.microsoft.com/office/excel/2006/main">
          <x14:cfRule type="iconSet" priority="30" id="{7E3BBB8B-D220-41A3-8719-1A6F2AEB8A97}">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U162:Z162 V163:Z163</xm:sqref>
        </x14:conditionalFormatting>
        <x14:conditionalFormatting xmlns:xm="http://schemas.microsoft.com/office/excel/2006/main">
          <x14:cfRule type="iconSet" priority="29" id="{BBE3C95B-98FA-4FBD-8575-B3DD446516BC}">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U164:Z165</xm:sqref>
        </x14:conditionalFormatting>
        <x14:conditionalFormatting xmlns:xm="http://schemas.microsoft.com/office/excel/2006/main">
          <x14:cfRule type="iconSet" priority="32" id="{5A6DF0FC-5311-47F3-AA35-60E37C15B70A}">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U166:Z166</xm:sqref>
        </x14:conditionalFormatting>
        <x14:conditionalFormatting xmlns:xm="http://schemas.microsoft.com/office/excel/2006/main">
          <x14:cfRule type="iconSet" priority="28" id="{0E175174-8F64-40D6-BA1F-9013E497E78F}">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U167:Z170</xm:sqref>
        </x14:conditionalFormatting>
        <x14:conditionalFormatting xmlns:xm="http://schemas.microsoft.com/office/excel/2006/main">
          <x14:cfRule type="iconSet" priority="25" id="{F093EA9D-F464-40AD-84A1-012D4A343B48}">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U177:Z177 U175:U176 W175:Z176 U178 W178:Z178 U179:Z179</xm:sqref>
        </x14:conditionalFormatting>
        <x14:conditionalFormatting xmlns:xm="http://schemas.microsoft.com/office/excel/2006/main">
          <x14:cfRule type="iconSet" priority="24" id="{5F521167-06BF-44CE-A87E-BAEEC257C8EB}">
            <x14:iconSet iconSet="3Symbols" showValue="0" custom="1">
              <x14:cfvo type="percent">
                <xm:f>0</xm:f>
              </x14:cfvo>
              <x14:cfvo type="num">
                <xm:f>0</xm:f>
              </x14:cfvo>
              <x14:cfvo type="num">
                <xm:f>1</xm:f>
              </x14:cfvo>
              <x14:cfIcon iconSet="3Symbols" iconId="0"/>
              <x14:cfIcon iconSet="3Symbols" iconId="0"/>
              <x14:cfIcon iconSet="3Symbols" iconId="2"/>
            </x14:iconSet>
          </x14:cfRule>
          <xm:sqref>U181:Z191</xm:sqref>
        </x14:conditionalFormatting>
        <x14:conditionalFormatting xmlns:xm="http://schemas.microsoft.com/office/excel/2006/main">
          <x14:cfRule type="iconSet" priority="62" id="{CC1FAF82-7CDD-4993-9834-215B336B94D3}">
            <x14:iconSet iconSet="3Symbols" showValue="0" custom="1">
              <x14:cfvo type="percent">
                <xm:f>0</xm:f>
              </x14:cfvo>
              <x14:cfvo type="num">
                <xm:f>0</xm:f>
              </x14:cfvo>
              <x14:cfvo type="num">
                <xm:f>1</xm:f>
              </x14:cfvo>
              <x14:cfIcon iconSet="3Symbols" iconId="0"/>
              <x14:cfIcon iconSet="3Symbols" iconId="0"/>
              <x14:cfIcon iconSet="3Symbols" iconId="2"/>
            </x14:iconSet>
          </x14:cfRule>
          <xm:sqref>U192:Z202</xm:sqref>
        </x14:conditionalFormatting>
        <x14:conditionalFormatting xmlns:xm="http://schemas.microsoft.com/office/excel/2006/main">
          <x14:cfRule type="iconSet" priority="1" id="{A408FE83-EBCA-44D4-AD29-1BFA478B8B10}">
            <x14:iconSet iconSet="3Symbols" showValue="0" custom="1">
              <x14:cfvo type="percent">
                <xm:f>0</xm:f>
              </x14:cfvo>
              <x14:cfvo type="num">
                <xm:f>0</xm:f>
              </x14:cfvo>
              <x14:cfvo type="num">
                <xm:f>1</xm:f>
              </x14:cfvo>
              <x14:cfIcon iconSet="3Symbols" iconId="0"/>
              <x14:cfIcon iconSet="3Symbols" iconId="0"/>
              <x14:cfIcon iconSet="3Symbols" iconId="2"/>
            </x14:iconSet>
          </x14:cfRule>
          <xm:sqref>U203:Z203</xm:sqref>
        </x14:conditionalFormatting>
        <x14:conditionalFormatting xmlns:xm="http://schemas.microsoft.com/office/excel/2006/main">
          <x14:cfRule type="iconSet" priority="11" id="{FBB856AC-6D8F-4976-83A1-0D67A6120B77}">
            <x14:iconSet iconSet="3Symbols" showValue="0" custom="1">
              <x14:cfvo type="percent">
                <xm:f>0</xm:f>
              </x14:cfvo>
              <x14:cfvo type="num">
                <xm:f>0</xm:f>
              </x14:cfvo>
              <x14:cfvo type="num">
                <xm:f>1</xm:f>
              </x14:cfvo>
              <x14:cfIcon iconSet="3Symbols" iconId="0"/>
              <x14:cfIcon iconSet="3Symbols" iconId="0"/>
              <x14:cfIcon iconSet="3Symbols" iconId="2"/>
            </x14:iconSet>
          </x14:cfRule>
          <xm:sqref>U57:AB57</xm:sqref>
        </x14:conditionalFormatting>
        <x14:conditionalFormatting xmlns:xm="http://schemas.microsoft.com/office/excel/2006/main">
          <x14:cfRule type="iconSet" priority="5" id="{4014D29C-DBF6-4E21-8490-5116FF038887}">
            <x14:iconSet iconSet="3Symbols" showValue="0" custom="1">
              <x14:cfvo type="percent">
                <xm:f>0</xm:f>
              </x14:cfvo>
              <x14:cfvo type="num">
                <xm:f>0</xm:f>
              </x14:cfvo>
              <x14:cfvo type="num">
                <xm:f>1</xm:f>
              </x14:cfvo>
              <x14:cfIcon iconSet="3Symbols" iconId="0"/>
              <x14:cfIcon iconSet="3Symbols" iconId="0"/>
              <x14:cfIcon iconSet="3Symbols" iconId="2"/>
            </x14:iconSet>
          </x14:cfRule>
          <xm:sqref>V52</xm:sqref>
        </x14:conditionalFormatting>
        <x14:conditionalFormatting xmlns:xm="http://schemas.microsoft.com/office/excel/2006/main">
          <x14:cfRule type="iconSet" priority="7" id="{8A78FC89-CBEB-4586-B686-3CB4AE683A60}">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V138</xm:sqref>
        </x14:conditionalFormatting>
        <x14:conditionalFormatting xmlns:xm="http://schemas.microsoft.com/office/excel/2006/main">
          <x14:cfRule type="iconSet" priority="6" id="{CAA7AD83-7501-4831-B2E6-99B24A606C5C}">
            <x14:iconSet iconSet="3Symbols" showValue="0" custom="1">
              <x14:cfvo type="percent">
                <xm:f>0</xm:f>
              </x14:cfvo>
              <x14:cfvo type="num">
                <xm:f>0</xm:f>
              </x14:cfvo>
              <x14:cfvo type="num">
                <xm:f>1</xm:f>
              </x14:cfvo>
              <x14:cfIcon iconSet="3Symbols" iconId="0"/>
              <x14:cfIcon iconSet="3Symbols" iconId="0"/>
              <x14:cfIcon iconSet="3Symbols" iconId="2"/>
            </x14:iconSet>
          </x14:cfRule>
          <xm:sqref>V140</xm:sqref>
        </x14:conditionalFormatting>
        <x14:conditionalFormatting xmlns:xm="http://schemas.microsoft.com/office/excel/2006/main">
          <x14:cfRule type="iconSet" priority="9" id="{1979A675-66B5-480B-9CCC-9B2BF5A856E3}">
            <x14:iconSet iconSet="3Symbols" showValue="0" custom="1">
              <x14:cfvo type="percent">
                <xm:f>0</xm:f>
              </x14:cfvo>
              <x14:cfvo type="num">
                <xm:f>0</xm:f>
              </x14:cfvo>
              <x14:cfvo type="num">
                <xm:f>1</xm:f>
              </x14:cfvo>
              <x14:cfIcon iconSet="3Symbols" iconId="0"/>
              <x14:cfIcon iconSet="3Symbols" iconId="0"/>
              <x14:cfIcon iconSet="3Symbols" iconId="2"/>
            </x14:iconSet>
          </x14:cfRule>
          <xm:sqref>V178</xm:sqref>
        </x14:conditionalFormatting>
        <x14:conditionalFormatting xmlns:xm="http://schemas.microsoft.com/office/excel/2006/main">
          <x14:cfRule type="iconSet" priority="39" id="{8AB2CDE7-4B77-40F4-83E9-57E2677C0830}">
            <x14:iconSet iconSet="3Symbols" showValue="0" custom="1">
              <x14:cfvo type="percent">
                <xm:f>0</xm:f>
              </x14:cfvo>
              <x14:cfvo type="num">
                <xm:f>0</xm:f>
              </x14:cfvo>
              <x14:cfvo type="num">
                <xm:f>1</xm:f>
              </x14:cfvo>
              <x14:cfIcon iconSet="3Symbols" iconId="0"/>
              <x14:cfIcon iconSet="3Symbols" iconId="0"/>
              <x14:cfIcon iconSet="3Symbols" iconId="2"/>
            </x14:iconSet>
          </x14:cfRule>
          <xm:sqref>V129:Z129 U126:Z128</xm:sqref>
        </x14:conditionalFormatting>
        <x14:conditionalFormatting xmlns:xm="http://schemas.microsoft.com/office/excel/2006/main">
          <x14:cfRule type="iconSet" priority="20" id="{CF274E6E-9F36-44EB-8970-722254E68FA7}">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V130:Z130</xm:sqref>
        </x14:conditionalFormatting>
        <x14:conditionalFormatting xmlns:xm="http://schemas.microsoft.com/office/excel/2006/main">
          <x14:cfRule type="iconSet" priority="56" id="{B9955983-1509-4205-8F67-179DEEDCB778}">
            <x14:iconSet iconSet="3Symbols" showValue="0" custom="1">
              <x14:cfvo type="percent">
                <xm:f>0</xm:f>
              </x14:cfvo>
              <x14:cfvo type="num">
                <xm:f>0</xm:f>
              </x14:cfvo>
              <x14:cfvo type="num">
                <xm:f>1</xm:f>
              </x14:cfvo>
              <x14:cfIcon iconSet="3Symbols" iconId="0"/>
              <x14:cfIcon iconSet="3Symbols" iconId="0"/>
              <x14:cfIcon iconSet="3Symbols" iconId="2"/>
            </x14:iconSet>
          </x14:cfRule>
          <xm:sqref>W35:Z35</xm:sqref>
        </x14:conditionalFormatting>
        <x14:conditionalFormatting xmlns:xm="http://schemas.microsoft.com/office/excel/2006/main">
          <x14:cfRule type="iconSet" priority="3" id="{8BB38A7D-8227-42A4-8408-C47AFAF1B763}">
            <x14:iconSet iconSet="3Symbols" showValue="0" custom="1">
              <x14:cfvo type="percent">
                <xm:f>0</xm:f>
              </x14:cfvo>
              <x14:cfvo type="num">
                <xm:f>0</xm:f>
              </x14:cfvo>
              <x14:cfvo type="num">
                <xm:f>1</xm:f>
              </x14:cfvo>
              <x14:cfIcon iconSet="3Symbols" iconId="0"/>
              <x14:cfIcon iconSet="3Symbols" iconId="0"/>
              <x14:cfIcon iconSet="3Symbols" iconId="2"/>
            </x14:iconSet>
          </x14:cfRule>
          <xm:sqref>X82</xm:sqref>
        </x14:conditionalFormatting>
        <x14:conditionalFormatting xmlns:xm="http://schemas.microsoft.com/office/excel/2006/main">
          <x14:cfRule type="iconSet" priority="4" id="{630CF98E-82CF-4A7B-9866-EA7F77A49F77}">
            <x14:iconSet iconSet="3Symbols" showValue="0" custom="1">
              <x14:cfvo type="percent">
                <xm:f>0</xm:f>
              </x14:cfvo>
              <x14:cfvo type="num">
                <xm:f>0</xm:f>
              </x14:cfvo>
              <x14:cfvo type="num">
                <xm:f>1</xm:f>
              </x14:cfvo>
              <x14:cfIcon iconSet="3Symbols" iconId="0"/>
              <x14:cfIcon iconSet="3Symbols" iconId="0"/>
              <x14:cfIcon iconSet="3Symbols" iconId="2"/>
            </x14:iconSet>
          </x14:cfRule>
          <xm:sqref>X138</xm:sqref>
        </x14:conditionalFormatting>
        <x14:conditionalFormatting xmlns:xm="http://schemas.microsoft.com/office/excel/2006/main">
          <x14:cfRule type="iconSet" priority="21" id="{43EB7D2B-5A4D-47B8-9B6D-6A3F8C2161BD}">
            <x14:iconSet iconSet="3Symbols" showValue="0" custom="1">
              <x14:cfvo type="percent">
                <xm:f>0</xm:f>
              </x14:cfvo>
              <x14:cfvo type="num">
                <xm:f>0</xm:f>
              </x14:cfvo>
              <x14:cfvo type="num">
                <xm:f>1</xm:f>
              </x14:cfvo>
              <x14:cfIcon iconSet="3Symbols" iconId="0"/>
              <x14:cfIcon iconSet="3Symbols" iconId="0"/>
              <x14:cfIcon iconSet="3Symbols" iconId="2"/>
            </x14:iconSet>
          </x14:cfRule>
          <xm:sqref>Z138:AA138</xm:sqref>
        </x14:conditionalFormatting>
        <x14:conditionalFormatting xmlns:xm="http://schemas.microsoft.com/office/excel/2006/main">
          <x14:cfRule type="iconSet" priority="16" id="{71EDD9F8-109A-4ADB-8E92-1B28FD4F7331}">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AA120:AB120</xm:sqref>
        </x14:conditionalFormatting>
        <x14:conditionalFormatting xmlns:xm="http://schemas.microsoft.com/office/excel/2006/main">
          <x14:cfRule type="iconSet" priority="18" id="{9A884C28-E897-4147-B0E4-63E7E3D6A1C1}">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AA130:AB130</xm:sqref>
        </x14:conditionalFormatting>
        <x14:conditionalFormatting xmlns:xm="http://schemas.microsoft.com/office/excel/2006/main">
          <x14:cfRule type="iconSet" priority="23" id="{5BCB9F41-907E-4A4E-B044-843E50D0DF36}">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AA131:AB132 AA121:AB129 AA134:AB137 AA4:AB56 AA58:AB119 AA139:AB179</xm:sqref>
        </x14:conditionalFormatting>
        <x14:conditionalFormatting xmlns:xm="http://schemas.microsoft.com/office/excel/2006/main">
          <x14:cfRule type="iconSet" priority="13" id="{D787474F-EC4D-4A1A-A955-FE14BF115AF0}">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AA133:AB133</xm:sqref>
        </x14:conditionalFormatting>
        <x14:conditionalFormatting xmlns:xm="http://schemas.microsoft.com/office/excel/2006/main">
          <x14:cfRule type="iconSet" priority="63" id="{7BF59E83-5651-406E-B8D9-5463DB4247E9}">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AA181:AB202</xm:sqref>
        </x14:conditionalFormatting>
        <x14:conditionalFormatting xmlns:xm="http://schemas.microsoft.com/office/excel/2006/main">
          <x14:cfRule type="iconSet" priority="2" id="{7F409562-7F74-4C53-89D6-39FD25E629D6}">
            <x14:iconSet iconSet="3Symbols" showValue="0" custom="1">
              <x14:cfvo type="percent">
                <xm:f>0</xm:f>
              </x14:cfvo>
              <x14:cfvo type="num">
                <xm:f>0</xm:f>
              </x14:cfvo>
              <x14:cfvo type="num">
                <xm:f>1</xm:f>
              </x14:cfvo>
              <x14:cfIcon iconSet="3Symbols" iconId="0"/>
              <x14:cfIcon iconSet="3Symbols" iconId="0"/>
              <x14:cfIcon iconSet="3Symbols" iconId="2"/>
            </x14:iconSet>
          </x14:cfRule>
          <xm:sqref>AA203:AB203</xm:sqref>
        </x14:conditionalFormatting>
        <x14:conditionalFormatting xmlns:xm="http://schemas.microsoft.com/office/excel/2006/main">
          <x14:cfRule type="iconSet" priority="22" id="{4E9090B1-0A74-401D-A474-502AFB9AB34C}">
            <x14:iconSet iconSet="3Symbols" showValue="0" custom="1">
              <x14:cfvo type="percent">
                <xm:f>0</xm:f>
              </x14:cfvo>
              <x14:cfvo type="num">
                <xm:f>0</xm:f>
              </x14:cfvo>
              <x14:cfvo type="num">
                <xm:f>1</xm:f>
              </x14:cfvo>
              <x14:cfIcon iconSet="3Symbols" iconId="0"/>
              <x14:cfIcon iconSet="3Symbols" iconId="0"/>
              <x14:cfIcon iconSet="3Symbols" iconId="2"/>
            </x14:iconSet>
          </x14:cfRule>
          <xm:sqref>AB138 W138 Y138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970EC-9DF1-44C6-A36E-E7546633ADF1}">
  <dimension ref="A1:XFB1001"/>
  <sheetViews>
    <sheetView topLeftCell="J166" zoomScale="89" workbookViewId="0">
      <selection activeCell="K176" sqref="K176"/>
    </sheetView>
  </sheetViews>
  <sheetFormatPr baseColWidth="10" defaultColWidth="10.81640625" defaultRowHeight="14.5"/>
  <cols>
    <col min="1" max="1" width="2.1796875" style="1" customWidth="1"/>
    <col min="2" max="2" width="3.81640625" bestFit="1" customWidth="1"/>
    <col min="3" max="3" width="10.1796875" style="1" customWidth="1"/>
    <col min="4" max="4" width="14.81640625" style="2" customWidth="1"/>
    <col min="5" max="5" width="10.1796875" style="2" customWidth="1"/>
    <col min="6" max="6" width="32.7265625" style="1" customWidth="1"/>
    <col min="7" max="7" width="9.81640625" style="1" bestFit="1" customWidth="1"/>
    <col min="8" max="8" width="41.81640625" style="1" customWidth="1"/>
    <col min="9" max="9" width="42.26953125" style="1" customWidth="1"/>
    <col min="10" max="10" width="28.1796875" style="2" customWidth="1"/>
    <col min="11" max="11" width="39.81640625" style="1" customWidth="1"/>
    <col min="12" max="12" width="30.7265625" style="1" customWidth="1"/>
    <col min="13" max="13" width="14.1796875" style="3" customWidth="1"/>
    <col min="14" max="14" width="13.453125" style="2" customWidth="1"/>
    <col min="15" max="15" width="115.90625" style="2" customWidth="1"/>
    <col min="16" max="16" width="255.6328125" style="1" bestFit="1" customWidth="1"/>
    <col min="17" max="17" width="34.54296875" style="1" customWidth="1"/>
    <col min="18" max="18" width="28.453125" style="1" customWidth="1"/>
    <col min="19" max="19" width="26.81640625" style="1" customWidth="1"/>
    <col min="20" max="20" width="21.1796875" style="1" customWidth="1"/>
    <col min="21" max="21" width="15.1796875" style="89" customWidth="1"/>
    <col min="22" max="22" width="17.1796875" style="89" customWidth="1"/>
    <col min="23" max="23" width="15.1796875" style="89" bestFit="1" customWidth="1"/>
    <col min="24" max="24" width="14.453125" style="89" customWidth="1"/>
    <col min="25" max="25" width="14.81640625" style="89" bestFit="1" customWidth="1"/>
    <col min="26" max="26" width="13.7265625" style="89" customWidth="1"/>
    <col min="27" max="28" width="12.81640625" style="1" customWidth="1"/>
    <col min="29" max="29" width="20" style="1" customWidth="1"/>
    <col min="30" max="16384" width="10.81640625" style="1"/>
  </cols>
  <sheetData>
    <row r="1" spans="1:29" ht="11.25" customHeight="1">
      <c r="B1" s="120"/>
      <c r="U1" s="1"/>
      <c r="V1" s="1"/>
      <c r="W1" s="1"/>
      <c r="X1" s="1"/>
      <c r="Y1" s="1"/>
      <c r="Z1" s="1"/>
    </row>
    <row r="2" spans="1:29" ht="39.75" customHeight="1">
      <c r="B2" s="120"/>
      <c r="C2" s="90" t="s">
        <v>1381</v>
      </c>
      <c r="D2" s="91"/>
      <c r="E2" s="91"/>
      <c r="F2" s="91"/>
      <c r="G2" s="91"/>
      <c r="H2" s="91"/>
      <c r="I2" s="91"/>
      <c r="J2" s="91"/>
      <c r="K2" s="92"/>
      <c r="L2" s="93" t="s">
        <v>1</v>
      </c>
      <c r="M2" s="2"/>
      <c r="P2" s="94" t="s">
        <v>1382</v>
      </c>
      <c r="Q2" s="94"/>
      <c r="R2" s="95" t="s">
        <v>1383</v>
      </c>
      <c r="S2" s="95"/>
      <c r="T2" s="2"/>
      <c r="U2" s="96" t="s">
        <v>1384</v>
      </c>
      <c r="V2" s="96"/>
      <c r="W2" s="96"/>
      <c r="X2" s="96"/>
      <c r="Y2" s="96"/>
      <c r="Z2" s="96"/>
      <c r="AA2" s="97" t="s">
        <v>1385</v>
      </c>
      <c r="AB2" s="97"/>
    </row>
    <row r="3" spans="1:29" s="2" customFormat="1" ht="39.75" customHeight="1">
      <c r="B3" s="121"/>
      <c r="C3" s="12" t="s">
        <v>1386</v>
      </c>
      <c r="D3" s="12" t="s">
        <v>1387</v>
      </c>
      <c r="E3" s="12" t="s">
        <v>1388</v>
      </c>
      <c r="F3" s="12" t="s">
        <v>1389</v>
      </c>
      <c r="G3" s="12" t="s">
        <v>1390</v>
      </c>
      <c r="H3" s="13" t="s">
        <v>1391</v>
      </c>
      <c r="I3" s="13" t="s">
        <v>1392</v>
      </c>
      <c r="J3" s="12" t="s">
        <v>1393</v>
      </c>
      <c r="K3" s="13" t="s">
        <v>14</v>
      </c>
      <c r="L3" s="93"/>
      <c r="M3" s="14" t="s">
        <v>1394</v>
      </c>
      <c r="N3" s="14" t="s">
        <v>16</v>
      </c>
      <c r="O3" s="14" t="s">
        <v>1395</v>
      </c>
      <c r="P3" s="98" t="s">
        <v>1396</v>
      </c>
      <c r="Q3" s="98" t="s">
        <v>1397</v>
      </c>
      <c r="R3" s="16" t="s">
        <v>1398</v>
      </c>
      <c r="S3" s="16" t="s">
        <v>1399</v>
      </c>
      <c r="T3" s="17" t="s">
        <v>22</v>
      </c>
      <c r="U3" s="18" t="s">
        <v>23</v>
      </c>
      <c r="V3" s="19" t="s">
        <v>24</v>
      </c>
      <c r="W3" s="20" t="s">
        <v>25</v>
      </c>
      <c r="X3" s="21" t="s">
        <v>26</v>
      </c>
      <c r="Y3" s="22" t="s">
        <v>1400</v>
      </c>
      <c r="Z3" s="23" t="s">
        <v>1401</v>
      </c>
      <c r="AA3" s="24" t="s">
        <v>1402</v>
      </c>
      <c r="AB3" s="25" t="s">
        <v>30</v>
      </c>
      <c r="AC3" s="2" t="s">
        <v>31</v>
      </c>
    </row>
    <row r="4" spans="1:29" ht="39.75" customHeight="1">
      <c r="B4" s="148">
        <v>1</v>
      </c>
      <c r="C4" s="26">
        <f>VLOOKUP(D4,'[3]Codes &amp; Descr. SFICS25'!B:C,2,FALSE)</f>
        <v>21</v>
      </c>
      <c r="D4" s="26" t="s">
        <v>1403</v>
      </c>
      <c r="E4" s="26">
        <f>+VLOOKUP(F4,'[3]Codes &amp; Descr. SFICS25'!D:E,2,FALSE)</f>
        <v>2101</v>
      </c>
      <c r="F4" s="26" t="s">
        <v>1404</v>
      </c>
      <c r="G4" s="26">
        <f>VLOOKUP(H4,'[3]Codes &amp; Descr. SFICS25'!F:H,2,FALSE)</f>
        <v>210101</v>
      </c>
      <c r="H4" s="26" t="s">
        <v>1405</v>
      </c>
      <c r="I4" s="26" t="s">
        <v>1406</v>
      </c>
      <c r="J4" s="26" t="s">
        <v>1406</v>
      </c>
      <c r="K4" s="26" t="s">
        <v>1407</v>
      </c>
      <c r="L4" s="28" t="s">
        <v>37</v>
      </c>
      <c r="M4" s="29" t="s">
        <v>1402</v>
      </c>
      <c r="N4" s="99" t="s">
        <v>1408</v>
      </c>
      <c r="O4" s="99" t="s">
        <v>1409</v>
      </c>
      <c r="P4" s="31" t="s">
        <v>1410</v>
      </c>
      <c r="Q4" s="31" t="s">
        <v>1411</v>
      </c>
      <c r="R4" s="99" t="s">
        <v>1410</v>
      </c>
      <c r="S4" s="99" t="s">
        <v>1410</v>
      </c>
      <c r="T4" s="100" t="s">
        <v>1412</v>
      </c>
      <c r="U4" s="33" t="s">
        <v>1413</v>
      </c>
      <c r="V4" s="33" t="s">
        <v>1413</v>
      </c>
      <c r="W4" s="34">
        <v>0</v>
      </c>
      <c r="X4" s="34">
        <v>0</v>
      </c>
      <c r="Y4" s="34">
        <v>0</v>
      </c>
      <c r="Z4" s="34">
        <v>0</v>
      </c>
      <c r="AA4" s="34">
        <f t="shared" ref="AA4:AA67" si="0">IF(P4="Not applicable",0,1)</f>
        <v>1</v>
      </c>
      <c r="AB4" s="34">
        <v>0</v>
      </c>
    </row>
    <row r="5" spans="1:29" ht="120">
      <c r="B5" s="148">
        <v>2</v>
      </c>
      <c r="C5" s="26">
        <f>VLOOKUP(D5,'[3]Codes &amp; Descr. SFICS25'!B:C,2,FALSE)</f>
        <v>21</v>
      </c>
      <c r="D5" s="26" t="s">
        <v>1403</v>
      </c>
      <c r="E5" s="26">
        <f>+VLOOKUP(F5,'[3]Codes &amp; Descr. SFICS25'!D:E,2,FALSE)</f>
        <v>2101</v>
      </c>
      <c r="F5" s="26" t="s">
        <v>1404</v>
      </c>
      <c r="G5" s="26">
        <f>VLOOKUP(H5,'[3]Codes &amp; Descr. SFICS25'!F:H,2,FALSE)</f>
        <v>210102</v>
      </c>
      <c r="H5" s="26" t="s">
        <v>1414</v>
      </c>
      <c r="I5" s="26" t="s">
        <v>1415</v>
      </c>
      <c r="J5" s="26" t="s">
        <v>1415</v>
      </c>
      <c r="K5" s="26" t="s">
        <v>1416</v>
      </c>
      <c r="L5" s="28" t="s">
        <v>47</v>
      </c>
      <c r="M5" s="29" t="s">
        <v>1402</v>
      </c>
      <c r="N5" s="99" t="s">
        <v>1417</v>
      </c>
      <c r="O5" s="99" t="s">
        <v>1418</v>
      </c>
      <c r="P5" s="31" t="s">
        <v>1410</v>
      </c>
      <c r="Q5" s="31" t="s">
        <v>1419</v>
      </c>
      <c r="R5" s="99" t="s">
        <v>1410</v>
      </c>
      <c r="S5" s="99" t="s">
        <v>1410</v>
      </c>
      <c r="T5" s="100" t="s">
        <v>1412</v>
      </c>
      <c r="U5" s="33" t="s">
        <v>1413</v>
      </c>
      <c r="V5" s="33" t="s">
        <v>1413</v>
      </c>
      <c r="W5" s="34">
        <v>0</v>
      </c>
      <c r="X5" s="34">
        <v>0</v>
      </c>
      <c r="Y5" s="34">
        <v>0</v>
      </c>
      <c r="Z5" s="34">
        <v>0</v>
      </c>
      <c r="AA5" s="34">
        <f t="shared" si="0"/>
        <v>1</v>
      </c>
      <c r="AB5" s="34">
        <v>0</v>
      </c>
    </row>
    <row r="6" spans="1:29" ht="100">
      <c r="B6" s="148">
        <v>3</v>
      </c>
      <c r="C6" s="26">
        <f>VLOOKUP(D6,'[3]Codes &amp; Descr. SFICS25'!B:C,2,FALSE)</f>
        <v>21</v>
      </c>
      <c r="D6" s="26" t="s">
        <v>1403</v>
      </c>
      <c r="E6" s="26">
        <f>+VLOOKUP(F6,'[3]Codes &amp; Descr. SFICS25'!D:E,2,FALSE)</f>
        <v>2101</v>
      </c>
      <c r="F6" s="26" t="s">
        <v>1404</v>
      </c>
      <c r="G6" s="26">
        <f>VLOOKUP(H6,'[3]Codes &amp; Descr. SFICS25'!F:H,2,FALSE)</f>
        <v>210103</v>
      </c>
      <c r="H6" s="26" t="s">
        <v>1420</v>
      </c>
      <c r="I6" s="26" t="s">
        <v>1421</v>
      </c>
      <c r="J6" s="26" t="s">
        <v>1421</v>
      </c>
      <c r="K6" s="26" t="s">
        <v>1422</v>
      </c>
      <c r="L6" s="28" t="s">
        <v>54</v>
      </c>
      <c r="M6" s="29" t="s">
        <v>1402</v>
      </c>
      <c r="N6" s="99" t="s">
        <v>1423</v>
      </c>
      <c r="O6" s="99" t="s">
        <v>1424</v>
      </c>
      <c r="P6" s="31" t="s">
        <v>1410</v>
      </c>
      <c r="Q6" s="31" t="s">
        <v>1425</v>
      </c>
      <c r="R6" s="99" t="s">
        <v>1410</v>
      </c>
      <c r="S6" s="99" t="s">
        <v>1410</v>
      </c>
      <c r="T6" s="100" t="s">
        <v>1412</v>
      </c>
      <c r="U6" s="33" t="s">
        <v>1413</v>
      </c>
      <c r="V6" s="33" t="s">
        <v>1413</v>
      </c>
      <c r="W6" s="34">
        <v>0</v>
      </c>
      <c r="X6" s="34">
        <v>0</v>
      </c>
      <c r="Y6" s="34">
        <v>0</v>
      </c>
      <c r="Z6" s="34">
        <v>0</v>
      </c>
      <c r="AA6" s="34">
        <f t="shared" si="0"/>
        <v>1</v>
      </c>
      <c r="AB6" s="34">
        <v>0</v>
      </c>
    </row>
    <row r="7" spans="1:29" ht="100">
      <c r="B7" s="148">
        <v>4</v>
      </c>
      <c r="C7" s="26">
        <f>VLOOKUP(D7,'[3]Codes &amp; Descr. SFICS25'!B:C,2,FALSE)</f>
        <v>21</v>
      </c>
      <c r="D7" s="26" t="s">
        <v>1403</v>
      </c>
      <c r="E7" s="26">
        <f>+VLOOKUP(F7,'[3]Codes &amp; Descr. SFICS25'!D:E,2,FALSE)</f>
        <v>2101</v>
      </c>
      <c r="F7" s="26" t="s">
        <v>1404</v>
      </c>
      <c r="G7" s="26">
        <f>VLOOKUP(H7,'[3]Codes &amp; Descr. SFICS25'!F:H,2,FALSE)</f>
        <v>210104</v>
      </c>
      <c r="H7" s="26" t="s">
        <v>1426</v>
      </c>
      <c r="I7" s="26" t="s">
        <v>1427</v>
      </c>
      <c r="J7" s="26" t="s">
        <v>1427</v>
      </c>
      <c r="K7" s="26" t="s">
        <v>1428</v>
      </c>
      <c r="L7" s="28" t="s">
        <v>61</v>
      </c>
      <c r="M7" s="29" t="s">
        <v>1402</v>
      </c>
      <c r="N7" s="99" t="s">
        <v>1429</v>
      </c>
      <c r="O7" s="99" t="s">
        <v>1430</v>
      </c>
      <c r="P7" s="31" t="s">
        <v>1410</v>
      </c>
      <c r="Q7" s="31" t="s">
        <v>1431</v>
      </c>
      <c r="R7" s="99" t="s">
        <v>1410</v>
      </c>
      <c r="S7" s="99" t="s">
        <v>1410</v>
      </c>
      <c r="T7" s="100" t="s">
        <v>1412</v>
      </c>
      <c r="U7" s="33" t="s">
        <v>1413</v>
      </c>
      <c r="V7" s="33" t="s">
        <v>1413</v>
      </c>
      <c r="W7" s="34">
        <v>0</v>
      </c>
      <c r="X7" s="34">
        <v>0</v>
      </c>
      <c r="Y7" s="34">
        <v>0</v>
      </c>
      <c r="Z7" s="34">
        <v>0</v>
      </c>
      <c r="AA7" s="34">
        <f t="shared" si="0"/>
        <v>1</v>
      </c>
      <c r="AB7" s="34">
        <v>0</v>
      </c>
    </row>
    <row r="8" spans="1:29" ht="120">
      <c r="A8" s="101"/>
      <c r="B8" s="148">
        <v>5</v>
      </c>
      <c r="C8" s="26">
        <f>VLOOKUP(D8,'[3]Codes &amp; Descr. SFICS25'!B:C,2,FALSE)</f>
        <v>21</v>
      </c>
      <c r="D8" s="26" t="s">
        <v>1403</v>
      </c>
      <c r="E8" s="26">
        <f>+VLOOKUP(F8,'[3]Codes &amp; Descr. SFICS25'!D:E,2,FALSE)</f>
        <v>2101</v>
      </c>
      <c r="F8" s="26" t="s">
        <v>1404</v>
      </c>
      <c r="G8" s="26">
        <f>VLOOKUP(H8,'[3]Codes &amp; Descr. SFICS25'!F:H,2,FALSE)</f>
        <v>210105</v>
      </c>
      <c r="H8" s="26" t="s">
        <v>1432</v>
      </c>
      <c r="I8" s="26" t="s">
        <v>1433</v>
      </c>
      <c r="J8" s="26" t="s">
        <v>1433</v>
      </c>
      <c r="K8" s="26" t="s">
        <v>1434</v>
      </c>
      <c r="L8" s="28" t="s">
        <v>68</v>
      </c>
      <c r="M8" s="29" t="s">
        <v>1402</v>
      </c>
      <c r="N8" s="99" t="s">
        <v>1435</v>
      </c>
      <c r="O8" s="99" t="s">
        <v>1436</v>
      </c>
      <c r="P8" s="193" t="s">
        <v>1437</v>
      </c>
      <c r="Q8" s="193" t="s">
        <v>1438</v>
      </c>
      <c r="R8" s="99" t="s">
        <v>1410</v>
      </c>
      <c r="S8" s="99" t="s">
        <v>1410</v>
      </c>
      <c r="T8" s="100" t="s">
        <v>1412</v>
      </c>
      <c r="U8" s="33" t="s">
        <v>1413</v>
      </c>
      <c r="V8" s="33" t="s">
        <v>1413</v>
      </c>
      <c r="W8" s="34">
        <v>0</v>
      </c>
      <c r="X8" s="34">
        <v>0</v>
      </c>
      <c r="Y8" s="34">
        <v>0</v>
      </c>
      <c r="Z8" s="34">
        <v>0</v>
      </c>
      <c r="AA8" s="34">
        <f t="shared" si="0"/>
        <v>1</v>
      </c>
      <c r="AB8" s="34">
        <v>0</v>
      </c>
    </row>
    <row r="9" spans="1:29" ht="380" customHeight="1">
      <c r="B9" s="148">
        <v>6</v>
      </c>
      <c r="C9" s="26">
        <f>VLOOKUP(D9,'[3]Codes &amp; Descr. SFICS25'!B:C,2,FALSE)</f>
        <v>21</v>
      </c>
      <c r="D9" s="26" t="s">
        <v>1403</v>
      </c>
      <c r="E9" s="26">
        <f>+VLOOKUP(F9,'[3]Codes &amp; Descr. SFICS25'!D:E,2,FALSE)</f>
        <v>2101</v>
      </c>
      <c r="F9" s="26" t="s">
        <v>1404</v>
      </c>
      <c r="G9" s="26">
        <f>VLOOKUP(H9,'[3]Codes &amp; Descr. SFICS25'!F:H,2,FALSE)</f>
        <v>210106</v>
      </c>
      <c r="H9" s="26" t="s">
        <v>1439</v>
      </c>
      <c r="I9" s="26" t="s">
        <v>1440</v>
      </c>
      <c r="J9" s="26" t="s">
        <v>1440</v>
      </c>
      <c r="K9" s="26" t="s">
        <v>1441</v>
      </c>
      <c r="L9" s="28" t="s">
        <v>76</v>
      </c>
      <c r="M9" s="29" t="s">
        <v>1402</v>
      </c>
      <c r="N9" s="99" t="s">
        <v>1442</v>
      </c>
      <c r="O9" s="99" t="s">
        <v>1443</v>
      </c>
      <c r="P9" s="31" t="s">
        <v>1444</v>
      </c>
      <c r="Q9" s="31" t="s">
        <v>1445</v>
      </c>
      <c r="R9" s="99" t="s">
        <v>1410</v>
      </c>
      <c r="S9" s="99" t="s">
        <v>1410</v>
      </c>
      <c r="T9" s="100" t="s">
        <v>1412</v>
      </c>
      <c r="U9" s="33" t="s">
        <v>1413</v>
      </c>
      <c r="V9" s="33" t="s">
        <v>1413</v>
      </c>
      <c r="W9" s="34">
        <v>0</v>
      </c>
      <c r="X9" s="34">
        <v>0</v>
      </c>
      <c r="Y9" s="34">
        <v>0</v>
      </c>
      <c r="Z9" s="34">
        <v>0</v>
      </c>
      <c r="AA9" s="34">
        <f t="shared" si="0"/>
        <v>1</v>
      </c>
      <c r="AB9" s="34">
        <v>0</v>
      </c>
    </row>
    <row r="10" spans="1:29" ht="70">
      <c r="B10" s="148">
        <v>7</v>
      </c>
      <c r="C10" s="26">
        <f>VLOOKUP(D10,'[3]Codes &amp; Descr. SFICS25'!B:C,2,FALSE)</f>
        <v>21</v>
      </c>
      <c r="D10" s="26" t="s">
        <v>1403</v>
      </c>
      <c r="E10" s="26">
        <f>+VLOOKUP(F10,'[3]Codes &amp; Descr. SFICS25'!D:E,2,FALSE)</f>
        <v>2101</v>
      </c>
      <c r="F10" s="26" t="s">
        <v>1404</v>
      </c>
      <c r="G10" s="26">
        <f>VLOOKUP(H10,'[3]Codes &amp; Descr. SFICS25'!F:H,2,FALSE)</f>
        <v>210107</v>
      </c>
      <c r="H10" s="26" t="s">
        <v>1446</v>
      </c>
      <c r="I10" s="26" t="s">
        <v>1447</v>
      </c>
      <c r="J10" s="26" t="s">
        <v>1448</v>
      </c>
      <c r="K10" s="26" t="s">
        <v>1449</v>
      </c>
      <c r="L10" s="28" t="s">
        <v>84</v>
      </c>
      <c r="M10" s="29" t="s">
        <v>1402</v>
      </c>
      <c r="N10" s="99" t="s">
        <v>1450</v>
      </c>
      <c r="O10" s="99" t="s">
        <v>1451</v>
      </c>
      <c r="P10" s="31" t="s">
        <v>1410</v>
      </c>
      <c r="Q10" s="31" t="s">
        <v>1452</v>
      </c>
      <c r="R10" s="99" t="s">
        <v>1410</v>
      </c>
      <c r="S10" s="99" t="s">
        <v>1410</v>
      </c>
      <c r="T10" s="100" t="s">
        <v>1412</v>
      </c>
      <c r="U10" s="33" t="s">
        <v>1413</v>
      </c>
      <c r="V10" s="33" t="s">
        <v>1413</v>
      </c>
      <c r="W10" s="34">
        <v>0</v>
      </c>
      <c r="X10" s="34">
        <v>0</v>
      </c>
      <c r="Y10" s="34">
        <v>0</v>
      </c>
      <c r="Z10" s="34">
        <v>0</v>
      </c>
      <c r="AA10" s="34">
        <f t="shared" si="0"/>
        <v>1</v>
      </c>
      <c r="AB10" s="34">
        <v>0</v>
      </c>
    </row>
    <row r="11" spans="1:29" ht="370" customHeight="1">
      <c r="B11" s="148">
        <v>8</v>
      </c>
      <c r="C11" s="26">
        <f>VLOOKUP(D11,'[3]Codes &amp; Descr. SFICS25'!B:C,2,FALSE)</f>
        <v>21</v>
      </c>
      <c r="D11" s="26" t="s">
        <v>1403</v>
      </c>
      <c r="E11" s="26">
        <f>+VLOOKUP(F11,'[3]Codes &amp; Descr. SFICS25'!D:E,2,FALSE)</f>
        <v>2101</v>
      </c>
      <c r="F11" s="26" t="s">
        <v>1404</v>
      </c>
      <c r="G11" s="26">
        <f>VLOOKUP(H11,'[3]Codes &amp; Descr. SFICS25'!F:H,2,FALSE)</f>
        <v>210108</v>
      </c>
      <c r="H11" s="26" t="s">
        <v>1453</v>
      </c>
      <c r="I11" s="26" t="s">
        <v>1454</v>
      </c>
      <c r="J11" s="26" t="s">
        <v>1455</v>
      </c>
      <c r="K11" s="26" t="s">
        <v>1456</v>
      </c>
      <c r="L11" s="28" t="s">
        <v>92</v>
      </c>
      <c r="M11" s="29" t="s">
        <v>1402</v>
      </c>
      <c r="N11" s="99" t="s">
        <v>1457</v>
      </c>
      <c r="O11" s="99" t="s">
        <v>1458</v>
      </c>
      <c r="P11" s="31" t="s">
        <v>1459</v>
      </c>
      <c r="Q11" s="31" t="s">
        <v>1460</v>
      </c>
      <c r="R11" s="99" t="s">
        <v>1410</v>
      </c>
      <c r="S11" s="99" t="s">
        <v>1410</v>
      </c>
      <c r="T11" s="100" t="s">
        <v>1412</v>
      </c>
      <c r="U11" s="33" t="s">
        <v>1413</v>
      </c>
      <c r="V11" s="33" t="s">
        <v>1413</v>
      </c>
      <c r="W11" s="34">
        <v>0</v>
      </c>
      <c r="X11" s="34">
        <v>0</v>
      </c>
      <c r="Y11" s="34">
        <v>0</v>
      </c>
      <c r="Z11" s="34">
        <v>0</v>
      </c>
      <c r="AA11" s="34">
        <f t="shared" si="0"/>
        <v>1</v>
      </c>
      <c r="AB11" s="34">
        <v>0</v>
      </c>
    </row>
    <row r="12" spans="1:29" ht="390" customHeight="1">
      <c r="B12" s="148">
        <v>9</v>
      </c>
      <c r="C12" s="26">
        <f>VLOOKUP(D12,'[3]Codes &amp; Descr. SFICS25'!B:C,2,FALSE)</f>
        <v>21</v>
      </c>
      <c r="D12" s="26" t="s">
        <v>1403</v>
      </c>
      <c r="E12" s="26">
        <f>+VLOOKUP(F12,'[3]Codes &amp; Descr. SFICS25'!D:E,2,FALSE)</f>
        <v>2101</v>
      </c>
      <c r="F12" s="26" t="s">
        <v>1404</v>
      </c>
      <c r="G12" s="26">
        <f>VLOOKUP(H12,'[3]Codes &amp; Descr. SFICS25'!F:H,2,FALSE)</f>
        <v>210109</v>
      </c>
      <c r="H12" s="26" t="s">
        <v>1461</v>
      </c>
      <c r="I12" s="26" t="s">
        <v>1462</v>
      </c>
      <c r="J12" s="26" t="s">
        <v>1463</v>
      </c>
      <c r="K12" s="26" t="s">
        <v>100</v>
      </c>
      <c r="L12" s="28" t="s">
        <v>100</v>
      </c>
      <c r="M12" s="29" t="s">
        <v>1402</v>
      </c>
      <c r="N12" s="99" t="s">
        <v>1464</v>
      </c>
      <c r="O12" s="99" t="s">
        <v>1465</v>
      </c>
      <c r="P12" s="31" t="s">
        <v>1410</v>
      </c>
      <c r="Q12" s="31" t="s">
        <v>1466</v>
      </c>
      <c r="R12" s="99" t="s">
        <v>1410</v>
      </c>
      <c r="S12" s="99" t="s">
        <v>1410</v>
      </c>
      <c r="T12" s="100" t="s">
        <v>1412</v>
      </c>
      <c r="U12" s="33" t="s">
        <v>1413</v>
      </c>
      <c r="V12" s="33" t="s">
        <v>1413</v>
      </c>
      <c r="W12" s="34">
        <v>0</v>
      </c>
      <c r="X12" s="34">
        <v>0</v>
      </c>
      <c r="Y12" s="34">
        <v>0</v>
      </c>
      <c r="Z12" s="34">
        <v>0</v>
      </c>
      <c r="AA12" s="34">
        <f t="shared" si="0"/>
        <v>1</v>
      </c>
      <c r="AB12" s="34">
        <v>0</v>
      </c>
    </row>
    <row r="13" spans="1:29" ht="390" customHeight="1">
      <c r="B13" s="148">
        <v>10</v>
      </c>
      <c r="C13" s="26">
        <f>VLOOKUP(D13,'[3]Codes &amp; Descr. SFICS25'!B:C,2,FALSE)</f>
        <v>21</v>
      </c>
      <c r="D13" s="26" t="s">
        <v>1403</v>
      </c>
      <c r="E13" s="26">
        <f>+VLOOKUP(F13,'[3]Codes &amp; Descr. SFICS25'!D:E,2,FALSE)</f>
        <v>2101</v>
      </c>
      <c r="F13" s="26" t="s">
        <v>1404</v>
      </c>
      <c r="G13" s="26">
        <f>VLOOKUP(H13,'[3]Codes &amp; Descr. SFICS25'!F:H,2,FALSE)</f>
        <v>210110</v>
      </c>
      <c r="H13" s="26" t="s">
        <v>1467</v>
      </c>
      <c r="I13" s="26" t="s">
        <v>1468</v>
      </c>
      <c r="J13" s="26" t="s">
        <v>1469</v>
      </c>
      <c r="K13" s="26" t="s">
        <v>1470</v>
      </c>
      <c r="L13" s="28" t="s">
        <v>107</v>
      </c>
      <c r="M13" s="29" t="s">
        <v>1402</v>
      </c>
      <c r="N13" s="99" t="s">
        <v>1471</v>
      </c>
      <c r="O13" s="99" t="s">
        <v>1472</v>
      </c>
      <c r="P13" s="31" t="s">
        <v>1473</v>
      </c>
      <c r="Q13" s="31" t="s">
        <v>1474</v>
      </c>
      <c r="R13" s="99" t="s">
        <v>1410</v>
      </c>
      <c r="S13" s="99" t="s">
        <v>1410</v>
      </c>
      <c r="T13" s="100" t="s">
        <v>1412</v>
      </c>
      <c r="U13" s="33" t="s">
        <v>1413</v>
      </c>
      <c r="V13" s="33" t="s">
        <v>1413</v>
      </c>
      <c r="W13" s="34">
        <v>0</v>
      </c>
      <c r="X13" s="34">
        <v>0</v>
      </c>
      <c r="Y13" s="34">
        <v>0</v>
      </c>
      <c r="Z13" s="34">
        <v>0</v>
      </c>
      <c r="AA13" s="34">
        <f t="shared" si="0"/>
        <v>1</v>
      </c>
      <c r="AB13" s="34">
        <v>0</v>
      </c>
    </row>
    <row r="14" spans="1:29" ht="300">
      <c r="B14" s="148">
        <v>11</v>
      </c>
      <c r="C14" s="26">
        <f>VLOOKUP(D14,'[3]Codes &amp; Descr. SFICS25'!B:C,2,FALSE)</f>
        <v>21</v>
      </c>
      <c r="D14" s="26" t="s">
        <v>1403</v>
      </c>
      <c r="E14" s="26">
        <f>+VLOOKUP(F14,'[3]Codes &amp; Descr. SFICS25'!D:E,2,FALSE)</f>
        <v>2102</v>
      </c>
      <c r="F14" s="26" t="s">
        <v>1475</v>
      </c>
      <c r="G14" s="26">
        <f>VLOOKUP(H14,'[3]Codes &amp; Descr. SFICS25'!F:H,2,FALSE)</f>
        <v>210201</v>
      </c>
      <c r="H14" s="26" t="s">
        <v>1476</v>
      </c>
      <c r="I14" s="26" t="s">
        <v>1477</v>
      </c>
      <c r="J14" s="26" t="s">
        <v>1478</v>
      </c>
      <c r="K14" s="26" t="s">
        <v>1479</v>
      </c>
      <c r="L14" s="28" t="s">
        <v>117</v>
      </c>
      <c r="M14" s="29" t="s">
        <v>1402</v>
      </c>
      <c r="N14" s="99" t="s">
        <v>1480</v>
      </c>
      <c r="O14" s="99" t="s">
        <v>1481</v>
      </c>
      <c r="P14" s="31" t="s">
        <v>1482</v>
      </c>
      <c r="Q14" s="31" t="s">
        <v>1483</v>
      </c>
      <c r="R14" s="99" t="s">
        <v>1410</v>
      </c>
      <c r="S14" s="99" t="s">
        <v>1410</v>
      </c>
      <c r="T14" s="100" t="s">
        <v>1412</v>
      </c>
      <c r="U14" s="33" t="s">
        <v>1413</v>
      </c>
      <c r="V14" s="33" t="s">
        <v>1413</v>
      </c>
      <c r="W14" s="34">
        <v>0</v>
      </c>
      <c r="X14" s="34">
        <v>0</v>
      </c>
      <c r="Y14" s="34">
        <v>0</v>
      </c>
      <c r="Z14" s="34">
        <v>0</v>
      </c>
      <c r="AA14" s="34">
        <f t="shared" si="0"/>
        <v>1</v>
      </c>
      <c r="AB14" s="34">
        <v>0</v>
      </c>
    </row>
    <row r="15" spans="1:29" ht="370" customHeight="1">
      <c r="A15" s="101"/>
      <c r="B15" s="148">
        <v>12</v>
      </c>
      <c r="C15" s="26">
        <f>VLOOKUP(D15,'[3]Codes &amp; Descr. SFICS25'!B:C,2,FALSE)</f>
        <v>21</v>
      </c>
      <c r="D15" s="26" t="s">
        <v>1403</v>
      </c>
      <c r="E15" s="26">
        <f>+VLOOKUP(F15,'[3]Codes &amp; Descr. SFICS25'!D:E,2,FALSE)</f>
        <v>2102</v>
      </c>
      <c r="F15" s="26" t="s">
        <v>1475</v>
      </c>
      <c r="G15" s="26">
        <f>VLOOKUP(H15,'[3]Codes &amp; Descr. SFICS25'!F:H,2,FALSE)</f>
        <v>210202</v>
      </c>
      <c r="H15" s="26" t="s">
        <v>1484</v>
      </c>
      <c r="I15" s="26" t="s">
        <v>1485</v>
      </c>
      <c r="J15" s="26" t="s">
        <v>1486</v>
      </c>
      <c r="K15" s="26" t="s">
        <v>1487</v>
      </c>
      <c r="L15" s="28" t="s">
        <v>125</v>
      </c>
      <c r="M15" s="29" t="s">
        <v>1402</v>
      </c>
      <c r="N15" s="99" t="s">
        <v>1488</v>
      </c>
      <c r="O15" s="99" t="s">
        <v>1489</v>
      </c>
      <c r="P15" s="194" t="s">
        <v>1490</v>
      </c>
      <c r="Q15" s="31" t="s">
        <v>1491</v>
      </c>
      <c r="R15" s="99" t="s">
        <v>1410</v>
      </c>
      <c r="S15" s="99" t="s">
        <v>1410</v>
      </c>
      <c r="T15" s="100" t="s">
        <v>1412</v>
      </c>
      <c r="U15" s="33" t="s">
        <v>1413</v>
      </c>
      <c r="V15" s="33" t="s">
        <v>1413</v>
      </c>
      <c r="W15" s="34">
        <v>0</v>
      </c>
      <c r="X15" s="34">
        <v>0</v>
      </c>
      <c r="Y15" s="34">
        <v>0</v>
      </c>
      <c r="Z15" s="34">
        <v>0</v>
      </c>
      <c r="AA15" s="34">
        <f t="shared" si="0"/>
        <v>1</v>
      </c>
      <c r="AB15" s="34">
        <v>0</v>
      </c>
    </row>
    <row r="16" spans="1:29" ht="390" customHeight="1">
      <c r="B16" s="148">
        <v>13</v>
      </c>
      <c r="C16" s="26">
        <f>VLOOKUP(D16,'[3]Codes &amp; Descr. SFICS25'!B:C,2,FALSE)</f>
        <v>21</v>
      </c>
      <c r="D16" s="26" t="s">
        <v>1403</v>
      </c>
      <c r="E16" s="26">
        <f>+VLOOKUP(F16,'[3]Codes &amp; Descr. SFICS25'!D:E,2,FALSE)</f>
        <v>2102</v>
      </c>
      <c r="F16" s="26" t="s">
        <v>1475</v>
      </c>
      <c r="G16" s="26">
        <f>VLOOKUP(H16,'[3]Codes &amp; Descr. SFICS25'!F:H,2,FALSE)</f>
        <v>210203</v>
      </c>
      <c r="H16" s="26" t="s">
        <v>1492</v>
      </c>
      <c r="I16" s="26" t="s">
        <v>1493</v>
      </c>
      <c r="J16" s="26" t="s">
        <v>1494</v>
      </c>
      <c r="K16" s="26" t="s">
        <v>1495</v>
      </c>
      <c r="L16" s="28" t="s">
        <v>133</v>
      </c>
      <c r="M16" s="29" t="s">
        <v>1402</v>
      </c>
      <c r="N16" s="99" t="s">
        <v>1496</v>
      </c>
      <c r="O16" s="99" t="s">
        <v>1497</v>
      </c>
      <c r="P16" s="31" t="s">
        <v>1498</v>
      </c>
      <c r="Q16" s="31" t="s">
        <v>1499</v>
      </c>
      <c r="R16" s="99" t="s">
        <v>1410</v>
      </c>
      <c r="S16" s="99" t="s">
        <v>1410</v>
      </c>
      <c r="T16" s="100" t="s">
        <v>1412</v>
      </c>
      <c r="U16" s="33" t="s">
        <v>1413</v>
      </c>
      <c r="V16" s="33" t="s">
        <v>1413</v>
      </c>
      <c r="W16" s="34">
        <v>0</v>
      </c>
      <c r="X16" s="34">
        <v>0</v>
      </c>
      <c r="Y16" s="34">
        <v>0</v>
      </c>
      <c r="Z16" s="34">
        <v>0</v>
      </c>
      <c r="AA16" s="34">
        <f t="shared" si="0"/>
        <v>1</v>
      </c>
      <c r="AB16" s="34">
        <v>0</v>
      </c>
    </row>
    <row r="17" spans="1:29" ht="400" customHeight="1">
      <c r="B17" s="148">
        <v>14</v>
      </c>
      <c r="C17" s="26">
        <f>VLOOKUP(D17,'[3]Codes &amp; Descr. SFICS25'!B:C,2,FALSE)</f>
        <v>21</v>
      </c>
      <c r="D17" s="26" t="s">
        <v>1403</v>
      </c>
      <c r="E17" s="26">
        <f>+VLOOKUP(F17,'[3]Codes &amp; Descr. SFICS25'!D:E,2,FALSE)</f>
        <v>2102</v>
      </c>
      <c r="F17" s="26" t="s">
        <v>1475</v>
      </c>
      <c r="G17" s="26">
        <f>VLOOKUP(H17,'[3]Codes &amp; Descr. SFICS25'!F:H,2,FALSE)</f>
        <v>210204</v>
      </c>
      <c r="H17" s="26" t="s">
        <v>1500</v>
      </c>
      <c r="I17" s="26" t="s">
        <v>1501</v>
      </c>
      <c r="J17" s="26" t="s">
        <v>1502</v>
      </c>
      <c r="K17" s="26" t="s">
        <v>1503</v>
      </c>
      <c r="L17" s="28" t="s">
        <v>142</v>
      </c>
      <c r="M17" s="29" t="s">
        <v>1402</v>
      </c>
      <c r="N17" s="99" t="s">
        <v>1504</v>
      </c>
      <c r="O17" s="99" t="s">
        <v>1505</v>
      </c>
      <c r="P17" s="31" t="s">
        <v>1506</v>
      </c>
      <c r="Q17" s="31" t="s">
        <v>1507</v>
      </c>
      <c r="R17" s="99" t="s">
        <v>1410</v>
      </c>
      <c r="S17" s="99" t="s">
        <v>1410</v>
      </c>
      <c r="T17" s="100" t="s">
        <v>1412</v>
      </c>
      <c r="U17" s="33" t="s">
        <v>1413</v>
      </c>
      <c r="V17" s="33" t="s">
        <v>1413</v>
      </c>
      <c r="W17" s="34">
        <v>0</v>
      </c>
      <c r="X17" s="34">
        <v>0</v>
      </c>
      <c r="Y17" s="34">
        <v>0</v>
      </c>
      <c r="Z17" s="34">
        <v>0</v>
      </c>
      <c r="AA17" s="34">
        <f t="shared" si="0"/>
        <v>1</v>
      </c>
      <c r="AB17" s="34">
        <v>0</v>
      </c>
    </row>
    <row r="18" spans="1:29" ht="248.5" customHeight="1">
      <c r="A18" s="101"/>
      <c r="B18" s="148">
        <v>15</v>
      </c>
      <c r="C18" s="26">
        <f>VLOOKUP(D18,'[3]Codes &amp; Descr. SFICS25'!B:C,2,FALSE)</f>
        <v>21</v>
      </c>
      <c r="D18" s="26" t="s">
        <v>1403</v>
      </c>
      <c r="E18" s="26">
        <f>+VLOOKUP(F18,'[3]Codes &amp; Descr. SFICS25'!D:E,2,FALSE)</f>
        <v>2102</v>
      </c>
      <c r="F18" s="26" t="s">
        <v>1475</v>
      </c>
      <c r="G18" s="26">
        <f>VLOOKUP(H18,'[3]Codes &amp; Descr. SFICS25'!F:H,2,FALSE)</f>
        <v>210205</v>
      </c>
      <c r="H18" s="26" t="s">
        <v>1508</v>
      </c>
      <c r="I18" s="26" t="s">
        <v>1509</v>
      </c>
      <c r="J18" s="26" t="s">
        <v>1510</v>
      </c>
      <c r="K18" s="26" t="s">
        <v>1511</v>
      </c>
      <c r="L18" s="28" t="s">
        <v>150</v>
      </c>
      <c r="M18" s="29" t="s">
        <v>1402</v>
      </c>
      <c r="N18" s="99" t="s">
        <v>1512</v>
      </c>
      <c r="O18" s="99" t="s">
        <v>1513</v>
      </c>
      <c r="P18" s="193" t="s">
        <v>1514</v>
      </c>
      <c r="Q18" s="31" t="s">
        <v>1515</v>
      </c>
      <c r="R18" s="99" t="s">
        <v>1410</v>
      </c>
      <c r="S18" s="99" t="s">
        <v>1410</v>
      </c>
      <c r="T18" s="100" t="s">
        <v>1412</v>
      </c>
      <c r="U18" s="33" t="s">
        <v>1413</v>
      </c>
      <c r="V18" s="33" t="s">
        <v>1413</v>
      </c>
      <c r="W18" s="34">
        <v>0</v>
      </c>
      <c r="X18" s="34">
        <v>0</v>
      </c>
      <c r="Y18" s="34">
        <v>0</v>
      </c>
      <c r="Z18" s="34">
        <v>0</v>
      </c>
      <c r="AA18" s="34">
        <f t="shared" si="0"/>
        <v>1</v>
      </c>
      <c r="AB18" s="34">
        <v>0</v>
      </c>
    </row>
    <row r="19" spans="1:29" ht="310">
      <c r="B19" s="148">
        <v>16</v>
      </c>
      <c r="C19" s="26">
        <f>VLOOKUP(D19,'[3]Codes &amp; Descr. SFICS25'!B:C,2,FALSE)</f>
        <v>21</v>
      </c>
      <c r="D19" s="26" t="s">
        <v>1403</v>
      </c>
      <c r="E19" s="26">
        <f>+VLOOKUP(F19,'[3]Codes &amp; Descr. SFICS25'!D:E,2,FALSE)</f>
        <v>2102</v>
      </c>
      <c r="F19" s="26" t="s">
        <v>1475</v>
      </c>
      <c r="G19" s="26">
        <f>VLOOKUP(H19,'[3]Codes &amp; Descr. SFICS25'!F:H,2,FALSE)</f>
        <v>210206</v>
      </c>
      <c r="H19" s="26" t="s">
        <v>1516</v>
      </c>
      <c r="I19" s="26" t="s">
        <v>1517</v>
      </c>
      <c r="J19" s="26" t="s">
        <v>1518</v>
      </c>
      <c r="K19" s="26" t="s">
        <v>1519</v>
      </c>
      <c r="L19" s="28" t="s">
        <v>158</v>
      </c>
      <c r="M19" s="29" t="s">
        <v>1402</v>
      </c>
      <c r="N19" s="99" t="s">
        <v>1520</v>
      </c>
      <c r="O19" s="99" t="s">
        <v>1521</v>
      </c>
      <c r="P19" s="31" t="s">
        <v>1522</v>
      </c>
      <c r="Q19" s="31" t="s">
        <v>1523</v>
      </c>
      <c r="R19" s="99" t="s">
        <v>1410</v>
      </c>
      <c r="S19" s="99" t="s">
        <v>1410</v>
      </c>
      <c r="T19" s="100" t="s">
        <v>1412</v>
      </c>
      <c r="U19" s="33" t="s">
        <v>1413</v>
      </c>
      <c r="V19" s="33" t="s">
        <v>1413</v>
      </c>
      <c r="W19" s="34">
        <v>0</v>
      </c>
      <c r="X19" s="34">
        <v>0</v>
      </c>
      <c r="Y19" s="34">
        <v>0</v>
      </c>
      <c r="Z19" s="34">
        <v>0</v>
      </c>
      <c r="AA19" s="34">
        <f t="shared" si="0"/>
        <v>1</v>
      </c>
      <c r="AB19" s="34">
        <v>0</v>
      </c>
    </row>
    <row r="20" spans="1:29" ht="290">
      <c r="A20" s="101"/>
      <c r="B20" s="148">
        <v>17</v>
      </c>
      <c r="C20" s="26">
        <f>VLOOKUP(D20,'[3]Codes &amp; Descr. SFICS25'!B:C,2,FALSE)</f>
        <v>21</v>
      </c>
      <c r="D20" s="26" t="s">
        <v>1403</v>
      </c>
      <c r="E20" s="26">
        <f>+VLOOKUP(F20,'[3]Codes &amp; Descr. SFICS25'!D:E,2,FALSE)</f>
        <v>2102</v>
      </c>
      <c r="F20" s="26" t="s">
        <v>1475</v>
      </c>
      <c r="G20" s="26">
        <f>VLOOKUP(H20,'[3]Codes &amp; Descr. SFICS25'!F:H,2,FALSE)</f>
        <v>210207</v>
      </c>
      <c r="H20" s="26" t="s">
        <v>1524</v>
      </c>
      <c r="I20" s="26" t="s">
        <v>1525</v>
      </c>
      <c r="J20" s="26" t="s">
        <v>1526</v>
      </c>
      <c r="K20" s="26" t="s">
        <v>1527</v>
      </c>
      <c r="L20" s="28" t="s">
        <v>166</v>
      </c>
      <c r="M20" s="29" t="s">
        <v>1402</v>
      </c>
      <c r="N20" s="99" t="s">
        <v>1528</v>
      </c>
      <c r="O20" s="99" t="s">
        <v>1529</v>
      </c>
      <c r="P20" s="193" t="s">
        <v>1514</v>
      </c>
      <c r="Q20" s="31" t="s">
        <v>1530</v>
      </c>
      <c r="R20" s="99" t="s">
        <v>1410</v>
      </c>
      <c r="S20" s="99" t="s">
        <v>1410</v>
      </c>
      <c r="T20" s="100" t="s">
        <v>1412</v>
      </c>
      <c r="U20" s="33" t="s">
        <v>1413</v>
      </c>
      <c r="V20" s="33" t="s">
        <v>1413</v>
      </c>
      <c r="W20" s="34">
        <v>0</v>
      </c>
      <c r="X20" s="34">
        <v>0</v>
      </c>
      <c r="Y20" s="34">
        <v>0</v>
      </c>
      <c r="Z20" s="34">
        <v>0</v>
      </c>
      <c r="AA20" s="34">
        <f t="shared" si="0"/>
        <v>1</v>
      </c>
      <c r="AB20" s="34">
        <v>0</v>
      </c>
    </row>
    <row r="21" spans="1:29" ht="60">
      <c r="B21" s="148">
        <v>18</v>
      </c>
      <c r="C21" s="26">
        <f>VLOOKUP(D21,'[3]Codes &amp; Descr. SFICS25'!B:C,2,FALSE)</f>
        <v>21</v>
      </c>
      <c r="D21" s="26" t="s">
        <v>1403</v>
      </c>
      <c r="E21" s="26">
        <f>+VLOOKUP(F21,'[3]Codes &amp; Descr. SFICS25'!D:E,2,FALSE)</f>
        <v>2102</v>
      </c>
      <c r="F21" s="26" t="s">
        <v>1475</v>
      </c>
      <c r="G21" s="26">
        <f>VLOOKUP(H21,'[3]Codes &amp; Descr. SFICS25'!F:H,2,FALSE)</f>
        <v>210208</v>
      </c>
      <c r="H21" s="26" t="s">
        <v>1531</v>
      </c>
      <c r="I21" s="26" t="s">
        <v>1532</v>
      </c>
      <c r="J21" s="26" t="s">
        <v>1533</v>
      </c>
      <c r="K21" s="26" t="s">
        <v>1534</v>
      </c>
      <c r="L21" s="28" t="s">
        <v>174</v>
      </c>
      <c r="M21" s="29" t="s">
        <v>1402</v>
      </c>
      <c r="N21" s="99" t="s">
        <v>1535</v>
      </c>
      <c r="O21" s="99" t="s">
        <v>1536</v>
      </c>
      <c r="P21" s="31" t="s">
        <v>1537</v>
      </c>
      <c r="Q21" s="31" t="s">
        <v>1538</v>
      </c>
      <c r="R21" s="99" t="s">
        <v>1410</v>
      </c>
      <c r="S21" s="99" t="s">
        <v>1410</v>
      </c>
      <c r="T21" s="100" t="s">
        <v>1412</v>
      </c>
      <c r="U21" s="33" t="s">
        <v>1413</v>
      </c>
      <c r="V21" s="33" t="s">
        <v>1413</v>
      </c>
      <c r="W21" s="34">
        <v>0</v>
      </c>
      <c r="X21" s="34">
        <v>0</v>
      </c>
      <c r="Y21" s="34">
        <v>0</v>
      </c>
      <c r="Z21" s="34">
        <v>0</v>
      </c>
      <c r="AA21" s="34">
        <f t="shared" si="0"/>
        <v>1</v>
      </c>
      <c r="AB21" s="34">
        <v>0</v>
      </c>
    </row>
    <row r="22" spans="1:29" ht="409.5">
      <c r="B22" s="148">
        <v>19</v>
      </c>
      <c r="C22" s="26">
        <f>VLOOKUP(D22,'[3]Codes &amp; Descr. SFICS25'!B:C,2,FALSE)</f>
        <v>21</v>
      </c>
      <c r="D22" s="26" t="s">
        <v>1403</v>
      </c>
      <c r="E22" s="26">
        <f>+VLOOKUP(F22,'[3]Codes &amp; Descr. SFICS25'!D:E,2,FALSE)</f>
        <v>2104</v>
      </c>
      <c r="F22" s="26" t="s">
        <v>1539</v>
      </c>
      <c r="G22" s="26">
        <f>VLOOKUP(H22,'[3]Codes &amp; Descr. SFICS25'!F:H,2,FALSE)</f>
        <v>210419</v>
      </c>
      <c r="H22" s="26" t="s">
        <v>1540</v>
      </c>
      <c r="I22" s="26" t="s">
        <v>1541</v>
      </c>
      <c r="J22" s="26" t="s">
        <v>1541</v>
      </c>
      <c r="K22" s="26" t="s">
        <v>1542</v>
      </c>
      <c r="L22" s="28" t="s">
        <v>180</v>
      </c>
      <c r="M22" s="29" t="s">
        <v>1402</v>
      </c>
      <c r="N22" s="99" t="s">
        <v>1543</v>
      </c>
      <c r="O22" s="99" t="s">
        <v>1544</v>
      </c>
      <c r="P22" s="31" t="s">
        <v>1410</v>
      </c>
      <c r="Q22" s="31" t="s">
        <v>1545</v>
      </c>
      <c r="R22" s="99" t="s">
        <v>1410</v>
      </c>
      <c r="S22" s="99" t="s">
        <v>1410</v>
      </c>
      <c r="T22" s="100" t="s">
        <v>1412</v>
      </c>
      <c r="U22" s="33" t="s">
        <v>1546</v>
      </c>
      <c r="V22" s="33" t="s">
        <v>1413</v>
      </c>
      <c r="W22" s="34">
        <v>0</v>
      </c>
      <c r="X22" s="34">
        <v>0</v>
      </c>
      <c r="Y22" s="34">
        <v>0</v>
      </c>
      <c r="Z22" s="34">
        <v>0</v>
      </c>
      <c r="AA22" s="34">
        <f t="shared" si="0"/>
        <v>1</v>
      </c>
      <c r="AB22" s="34">
        <v>0</v>
      </c>
    </row>
    <row r="23" spans="1:29" ht="140">
      <c r="B23" s="148">
        <v>20</v>
      </c>
      <c r="C23" s="26">
        <f>VLOOKUP(D23,'[3]Codes &amp; Descr. SFICS25'!B:C,2,FALSE)</f>
        <v>21</v>
      </c>
      <c r="D23" s="26" t="s">
        <v>1403</v>
      </c>
      <c r="E23" s="26">
        <f>+VLOOKUP(F23,'[3]Codes &amp; Descr. SFICS25'!D:E,2,FALSE)</f>
        <v>2104</v>
      </c>
      <c r="F23" s="26" t="s">
        <v>1539</v>
      </c>
      <c r="G23" s="26">
        <f>VLOOKUP(H23,'[3]Codes &amp; Descr. SFICS25'!F:H,2,FALSE)</f>
        <v>210420</v>
      </c>
      <c r="H23" s="26" t="s">
        <v>1547</v>
      </c>
      <c r="I23" s="26" t="s">
        <v>1548</v>
      </c>
      <c r="J23" s="26" t="s">
        <v>1549</v>
      </c>
      <c r="K23" s="26" t="s">
        <v>1550</v>
      </c>
      <c r="L23" s="28" t="s">
        <v>190</v>
      </c>
      <c r="M23" s="29" t="s">
        <v>1402</v>
      </c>
      <c r="N23" s="99" t="s">
        <v>1551</v>
      </c>
      <c r="O23" s="99" t="s">
        <v>1552</v>
      </c>
      <c r="P23" s="31" t="s">
        <v>1410</v>
      </c>
      <c r="Q23" s="31" t="s">
        <v>1553</v>
      </c>
      <c r="R23" s="99" t="s">
        <v>1410</v>
      </c>
      <c r="S23" s="99" t="s">
        <v>1410</v>
      </c>
      <c r="T23" s="100" t="s">
        <v>1412</v>
      </c>
      <c r="U23" s="33" t="s">
        <v>1413</v>
      </c>
      <c r="V23" s="33" t="s">
        <v>1413</v>
      </c>
      <c r="W23" s="34">
        <v>0</v>
      </c>
      <c r="X23" s="34">
        <v>0</v>
      </c>
      <c r="Y23" s="34">
        <v>0</v>
      </c>
      <c r="Z23" s="34">
        <v>0</v>
      </c>
      <c r="AA23" s="34">
        <f t="shared" si="0"/>
        <v>1</v>
      </c>
      <c r="AB23" s="34">
        <v>0</v>
      </c>
    </row>
    <row r="24" spans="1:29" ht="140">
      <c r="B24" s="148">
        <v>21</v>
      </c>
      <c r="C24" s="26">
        <f>VLOOKUP(D24,'[3]Codes &amp; Descr. SFICS25'!B:C,2,FALSE)</f>
        <v>21</v>
      </c>
      <c r="D24" s="26" t="s">
        <v>1403</v>
      </c>
      <c r="E24" s="26">
        <f>+VLOOKUP(F24,'[3]Codes &amp; Descr. SFICS25'!D:E,2,FALSE)</f>
        <v>2104</v>
      </c>
      <c r="F24" s="26" t="s">
        <v>1539</v>
      </c>
      <c r="G24" s="26">
        <f>VLOOKUP(H24,'[3]Codes &amp; Descr. SFICS25'!F:H,2,FALSE)</f>
        <v>210421</v>
      </c>
      <c r="H24" s="26" t="s">
        <v>1554</v>
      </c>
      <c r="I24" s="26" t="s">
        <v>1555</v>
      </c>
      <c r="J24" s="26" t="s">
        <v>1556</v>
      </c>
      <c r="K24" s="26" t="s">
        <v>1557</v>
      </c>
      <c r="L24" s="28" t="s">
        <v>194</v>
      </c>
      <c r="M24" s="29" t="s">
        <v>1402</v>
      </c>
      <c r="N24" s="99" t="s">
        <v>1558</v>
      </c>
      <c r="O24" s="99" t="s">
        <v>1559</v>
      </c>
      <c r="P24" s="31" t="s">
        <v>1410</v>
      </c>
      <c r="Q24" s="31" t="s">
        <v>1560</v>
      </c>
      <c r="R24" s="99" t="s">
        <v>1410</v>
      </c>
      <c r="S24" s="99" t="s">
        <v>1410</v>
      </c>
      <c r="T24" s="100" t="s">
        <v>1412</v>
      </c>
      <c r="U24" s="33" t="s">
        <v>1413</v>
      </c>
      <c r="V24" s="33" t="s">
        <v>1413</v>
      </c>
      <c r="W24" s="34">
        <v>0</v>
      </c>
      <c r="X24" s="34">
        <v>0</v>
      </c>
      <c r="Y24" s="34">
        <v>0</v>
      </c>
      <c r="Z24" s="34">
        <v>0</v>
      </c>
      <c r="AA24" s="34">
        <f t="shared" si="0"/>
        <v>1</v>
      </c>
      <c r="AB24" s="34">
        <v>0</v>
      </c>
    </row>
    <row r="25" spans="1:29" ht="120">
      <c r="B25" s="148">
        <v>22</v>
      </c>
      <c r="C25" s="26">
        <f>VLOOKUP(D25,'[3]Codes &amp; Descr. SFICS25'!B:C,2,FALSE)</f>
        <v>21</v>
      </c>
      <c r="D25" s="26" t="s">
        <v>1403</v>
      </c>
      <c r="E25" s="26">
        <f>+VLOOKUP(F25,'[3]Codes &amp; Descr. SFICS25'!D:E,2,FALSE)</f>
        <v>2106</v>
      </c>
      <c r="F25" s="26" t="s">
        <v>1561</v>
      </c>
      <c r="G25" s="26">
        <f>VLOOKUP(H25,'[3]Codes &amp; Descr. SFICS25'!F:H,2,FALSE)</f>
        <v>210601</v>
      </c>
      <c r="H25" s="26" t="s">
        <v>1562</v>
      </c>
      <c r="I25" s="26" t="s">
        <v>1563</v>
      </c>
      <c r="J25" s="26" t="s">
        <v>1563</v>
      </c>
      <c r="K25" s="26" t="s">
        <v>1564</v>
      </c>
      <c r="L25" s="28" t="s">
        <v>203</v>
      </c>
      <c r="M25" s="29" t="s">
        <v>1402</v>
      </c>
      <c r="N25" s="99" t="s">
        <v>1565</v>
      </c>
      <c r="O25" s="99" t="s">
        <v>1566</v>
      </c>
      <c r="P25" s="31" t="s">
        <v>1410</v>
      </c>
      <c r="Q25" s="40" t="s">
        <v>1567</v>
      </c>
      <c r="R25" s="99" t="s">
        <v>1410</v>
      </c>
      <c r="S25" s="99" t="s">
        <v>1410</v>
      </c>
      <c r="T25" s="100" t="s">
        <v>1412</v>
      </c>
      <c r="U25" s="33" t="s">
        <v>1546</v>
      </c>
      <c r="V25" s="33" t="s">
        <v>1413</v>
      </c>
      <c r="W25" s="34">
        <v>0</v>
      </c>
      <c r="X25" s="34">
        <v>0</v>
      </c>
      <c r="Y25" s="34">
        <v>0</v>
      </c>
      <c r="Z25" s="34">
        <v>0</v>
      </c>
      <c r="AA25" s="34">
        <f t="shared" si="0"/>
        <v>1</v>
      </c>
      <c r="AB25" s="34">
        <v>0</v>
      </c>
    </row>
    <row r="26" spans="1:29" ht="90">
      <c r="B26" s="148">
        <v>23</v>
      </c>
      <c r="C26" s="26">
        <f>VLOOKUP(D26,'[3]Codes &amp; Descr. SFICS25'!B:C,2,FALSE)</f>
        <v>21</v>
      </c>
      <c r="D26" s="26" t="s">
        <v>1403</v>
      </c>
      <c r="E26" s="26">
        <f>+VLOOKUP(F26,'[3]Codes &amp; Descr. SFICS25'!D:E,2,FALSE)</f>
        <v>2106</v>
      </c>
      <c r="F26" s="26" t="s">
        <v>1561</v>
      </c>
      <c r="G26" s="26">
        <f>VLOOKUP(H26,'[3]Codes &amp; Descr. SFICS25'!F:H,2,FALSE)</f>
        <v>210602</v>
      </c>
      <c r="H26" s="26" t="s">
        <v>1568</v>
      </c>
      <c r="I26" s="26" t="s">
        <v>1569</v>
      </c>
      <c r="J26" s="26" t="s">
        <v>1569</v>
      </c>
      <c r="K26" s="26" t="s">
        <v>1570</v>
      </c>
      <c r="L26" s="28" t="s">
        <v>210</v>
      </c>
      <c r="M26" s="29" t="s">
        <v>1402</v>
      </c>
      <c r="N26" s="99" t="s">
        <v>1571</v>
      </c>
      <c r="O26" s="99" t="s">
        <v>1572</v>
      </c>
      <c r="P26" s="31" t="s">
        <v>1410</v>
      </c>
      <c r="Q26" s="40" t="s">
        <v>1573</v>
      </c>
      <c r="R26" s="99" t="s">
        <v>1410</v>
      </c>
      <c r="S26" s="99" t="s">
        <v>1410</v>
      </c>
      <c r="T26" s="100" t="s">
        <v>1412</v>
      </c>
      <c r="U26" s="33" t="s">
        <v>1546</v>
      </c>
      <c r="V26" s="33" t="s">
        <v>1413</v>
      </c>
      <c r="W26" s="34">
        <v>0</v>
      </c>
      <c r="X26" s="34">
        <v>0</v>
      </c>
      <c r="Y26" s="34">
        <v>0</v>
      </c>
      <c r="Z26" s="34">
        <v>0</v>
      </c>
      <c r="AA26" s="34">
        <f t="shared" si="0"/>
        <v>1</v>
      </c>
      <c r="AB26" s="34">
        <v>0</v>
      </c>
    </row>
    <row r="27" spans="1:29" ht="290">
      <c r="B27" s="148">
        <v>24</v>
      </c>
      <c r="C27" s="26">
        <f>VLOOKUP(D27,'[3]Codes &amp; Descr. SFICS25'!B:C,2,FALSE)</f>
        <v>21</v>
      </c>
      <c r="D27" s="26" t="s">
        <v>1403</v>
      </c>
      <c r="E27" s="26">
        <f>+VLOOKUP(F27,'[3]Codes &amp; Descr. SFICS25'!D:E,2,FALSE)</f>
        <v>2106</v>
      </c>
      <c r="F27" s="26" t="s">
        <v>1561</v>
      </c>
      <c r="G27" s="26">
        <f>VLOOKUP(H27,'[3]Codes &amp; Descr. SFICS25'!F:H,2,FALSE)</f>
        <v>210603</v>
      </c>
      <c r="H27" s="26" t="s">
        <v>1574</v>
      </c>
      <c r="I27" s="26" t="s">
        <v>1575</v>
      </c>
      <c r="J27" s="26" t="s">
        <v>1576</v>
      </c>
      <c r="K27" s="26" t="s">
        <v>1577</v>
      </c>
      <c r="L27" s="28" t="s">
        <v>217</v>
      </c>
      <c r="M27" s="29" t="s">
        <v>1402</v>
      </c>
      <c r="N27" s="99" t="s">
        <v>1578</v>
      </c>
      <c r="O27" s="99" t="s">
        <v>1579</v>
      </c>
      <c r="P27" s="31" t="s">
        <v>1580</v>
      </c>
      <c r="Q27" s="40" t="s">
        <v>1581</v>
      </c>
      <c r="R27" s="99" t="s">
        <v>1410</v>
      </c>
      <c r="S27" s="99" t="s">
        <v>1410</v>
      </c>
      <c r="T27" s="100" t="s">
        <v>1412</v>
      </c>
      <c r="U27" s="33" t="s">
        <v>1546</v>
      </c>
      <c r="V27" s="33" t="s">
        <v>1413</v>
      </c>
      <c r="W27" s="34">
        <v>0</v>
      </c>
      <c r="X27" s="34">
        <v>0</v>
      </c>
      <c r="Y27" s="34">
        <v>0</v>
      </c>
      <c r="Z27" s="34">
        <v>0</v>
      </c>
      <c r="AA27" s="34">
        <f t="shared" si="0"/>
        <v>1</v>
      </c>
      <c r="AB27" s="34">
        <v>0</v>
      </c>
      <c r="AC27" s="41"/>
    </row>
    <row r="28" spans="1:29" ht="50">
      <c r="B28" s="148">
        <v>25</v>
      </c>
      <c r="C28" s="26">
        <f>VLOOKUP(D28,'[3]Codes &amp; Descr. SFICS25'!B:C,2,FALSE)</f>
        <v>21</v>
      </c>
      <c r="D28" s="26" t="s">
        <v>1403</v>
      </c>
      <c r="E28" s="26">
        <f>+VLOOKUP(F28,'[3]Codes &amp; Descr. SFICS25'!D:E,2,FALSE)</f>
        <v>2105</v>
      </c>
      <c r="F28" s="26" t="s">
        <v>1582</v>
      </c>
      <c r="G28" s="26">
        <f>VLOOKUP(H28,'[3]Codes &amp; Descr. SFICS25'!F:H,2,FALSE)</f>
        <v>210501</v>
      </c>
      <c r="H28" s="26" t="s">
        <v>1583</v>
      </c>
      <c r="I28" s="26" t="s">
        <v>1584</v>
      </c>
      <c r="J28" s="26" t="s">
        <v>1585</v>
      </c>
      <c r="K28" s="26" t="s">
        <v>1586</v>
      </c>
      <c r="L28" s="28" t="s">
        <v>225</v>
      </c>
      <c r="M28" s="29" t="s">
        <v>1402</v>
      </c>
      <c r="N28" s="99" t="s">
        <v>1410</v>
      </c>
      <c r="O28" s="99" t="s">
        <v>1410</v>
      </c>
      <c r="P28" s="31" t="s">
        <v>1587</v>
      </c>
      <c r="Q28" s="31" t="s">
        <v>1588</v>
      </c>
      <c r="R28" s="99" t="s">
        <v>1410</v>
      </c>
      <c r="S28" s="99" t="s">
        <v>1410</v>
      </c>
      <c r="T28" s="100" t="s">
        <v>1412</v>
      </c>
      <c r="U28" s="33" t="s">
        <v>1413</v>
      </c>
      <c r="V28" s="33" t="s">
        <v>1413</v>
      </c>
      <c r="W28" s="34">
        <v>0</v>
      </c>
      <c r="X28" s="34">
        <v>0</v>
      </c>
      <c r="Y28" s="34">
        <v>0</v>
      </c>
      <c r="Z28" s="34">
        <v>0</v>
      </c>
      <c r="AA28" s="34">
        <f t="shared" si="0"/>
        <v>1</v>
      </c>
      <c r="AB28" s="34">
        <v>0</v>
      </c>
    </row>
    <row r="29" spans="1:29" ht="190">
      <c r="B29" s="148">
        <v>26</v>
      </c>
      <c r="C29" s="26">
        <f>VLOOKUP(D29,'[3]Codes &amp; Descr. SFICS25'!B:C,2,FALSE)</f>
        <v>21</v>
      </c>
      <c r="D29" s="26" t="s">
        <v>1403</v>
      </c>
      <c r="E29" s="26">
        <f>+VLOOKUP(F29,'[3]Codes &amp; Descr. SFICS25'!D:E,2,FALSE)</f>
        <v>2103</v>
      </c>
      <c r="F29" s="26" t="s">
        <v>1589</v>
      </c>
      <c r="G29" s="26">
        <f>VLOOKUP(H29,'[3]Codes &amp; Descr. SFICS25'!F:H,2,FALSE)</f>
        <v>210301</v>
      </c>
      <c r="H29" s="26" t="s">
        <v>1590</v>
      </c>
      <c r="I29" s="26" t="s">
        <v>1591</v>
      </c>
      <c r="J29" s="26" t="s">
        <v>1592</v>
      </c>
      <c r="K29" s="26" t="s">
        <v>1593</v>
      </c>
      <c r="L29" s="28" t="s">
        <v>232</v>
      </c>
      <c r="M29" s="29" t="s">
        <v>1402</v>
      </c>
      <c r="N29" s="99" t="s">
        <v>1594</v>
      </c>
      <c r="O29" s="99" t="s">
        <v>1595</v>
      </c>
      <c r="P29" s="31" t="s">
        <v>1596</v>
      </c>
      <c r="Q29" s="31" t="s">
        <v>1597</v>
      </c>
      <c r="R29" s="99" t="s">
        <v>1410</v>
      </c>
      <c r="S29" s="99" t="s">
        <v>1410</v>
      </c>
      <c r="T29" s="100" t="s">
        <v>1412</v>
      </c>
      <c r="U29" s="33" t="s">
        <v>1598</v>
      </c>
      <c r="V29" s="33" t="s">
        <v>1413</v>
      </c>
      <c r="W29" s="34">
        <v>0</v>
      </c>
      <c r="X29" s="34">
        <v>0</v>
      </c>
      <c r="Y29" s="34">
        <v>0</v>
      </c>
      <c r="Z29" s="34">
        <v>0</v>
      </c>
      <c r="AA29" s="34">
        <f t="shared" si="0"/>
        <v>1</v>
      </c>
      <c r="AB29" s="34">
        <v>0</v>
      </c>
      <c r="AC29" s="41"/>
    </row>
    <row r="30" spans="1:29" ht="220">
      <c r="B30" s="148">
        <v>27</v>
      </c>
      <c r="C30" s="26">
        <f>VLOOKUP(D30,'[3]Codes &amp; Descr. SFICS25'!B:C,2,FALSE)</f>
        <v>21</v>
      </c>
      <c r="D30" s="26" t="s">
        <v>1403</v>
      </c>
      <c r="E30" s="26">
        <f>+VLOOKUP(F30,'[3]Codes &amp; Descr. SFICS25'!D:E,2,FALSE)</f>
        <v>2103</v>
      </c>
      <c r="F30" s="26" t="s">
        <v>1589</v>
      </c>
      <c r="G30" s="26">
        <f>VLOOKUP(H30,'[3]Codes &amp; Descr. SFICS25'!F:H,2,FALSE)</f>
        <v>210302</v>
      </c>
      <c r="H30" s="26" t="s">
        <v>1599</v>
      </c>
      <c r="I30" s="26" t="s">
        <v>1600</v>
      </c>
      <c r="J30" s="26" t="s">
        <v>1601</v>
      </c>
      <c r="K30" s="26" t="s">
        <v>1602</v>
      </c>
      <c r="L30" s="28" t="s">
        <v>242</v>
      </c>
      <c r="M30" s="29" t="s">
        <v>1402</v>
      </c>
      <c r="N30" s="99" t="s">
        <v>1603</v>
      </c>
      <c r="O30" s="99" t="s">
        <v>1604</v>
      </c>
      <c r="P30" s="31" t="s">
        <v>1596</v>
      </c>
      <c r="Q30" s="31" t="s">
        <v>1605</v>
      </c>
      <c r="R30" s="99" t="s">
        <v>1410</v>
      </c>
      <c r="S30" s="99" t="s">
        <v>1410</v>
      </c>
      <c r="T30" s="100" t="s">
        <v>1412</v>
      </c>
      <c r="U30" s="33" t="s">
        <v>1598</v>
      </c>
      <c r="V30" s="33" t="s">
        <v>1413</v>
      </c>
      <c r="W30" s="34">
        <v>0</v>
      </c>
      <c r="X30" s="34">
        <v>0</v>
      </c>
      <c r="Y30" s="34">
        <v>0</v>
      </c>
      <c r="Z30" s="34">
        <v>0</v>
      </c>
      <c r="AA30" s="34">
        <f t="shared" si="0"/>
        <v>1</v>
      </c>
      <c r="AB30" s="34">
        <v>0</v>
      </c>
      <c r="AC30" s="41"/>
    </row>
    <row r="31" spans="1:29" ht="85.5" customHeight="1">
      <c r="B31" s="148">
        <v>28</v>
      </c>
      <c r="C31" s="26">
        <f>VLOOKUP(D31,'[3]Codes &amp; Descr. SFICS25'!B:C,2,FALSE)</f>
        <v>21</v>
      </c>
      <c r="D31" s="26" t="s">
        <v>1403</v>
      </c>
      <c r="E31" s="26">
        <f>+VLOOKUP(F31,'[3]Codes &amp; Descr. SFICS25'!D:E,2,FALSE)</f>
        <v>2103</v>
      </c>
      <c r="F31" s="26" t="s">
        <v>1589</v>
      </c>
      <c r="G31" s="26">
        <f>VLOOKUP(H31,'[3]Codes &amp; Descr. SFICS25'!F:H,2,FALSE)</f>
        <v>210303</v>
      </c>
      <c r="H31" s="26" t="s">
        <v>1606</v>
      </c>
      <c r="I31" s="26" t="s">
        <v>1607</v>
      </c>
      <c r="J31" s="26" t="s">
        <v>1608</v>
      </c>
      <c r="K31" s="26" t="s">
        <v>1609</v>
      </c>
      <c r="L31" s="28" t="s">
        <v>250</v>
      </c>
      <c r="M31" s="29" t="s">
        <v>1402</v>
      </c>
      <c r="N31" s="99" t="s">
        <v>1610</v>
      </c>
      <c r="O31" s="99" t="s">
        <v>1611</v>
      </c>
      <c r="P31" s="31" t="s">
        <v>1596</v>
      </c>
      <c r="Q31" s="31" t="s">
        <v>1612</v>
      </c>
      <c r="R31" s="99" t="s">
        <v>1410</v>
      </c>
      <c r="S31" s="99" t="s">
        <v>1410</v>
      </c>
      <c r="T31" s="100" t="s">
        <v>1412</v>
      </c>
      <c r="U31" s="33" t="s">
        <v>1598</v>
      </c>
      <c r="V31" s="33" t="s">
        <v>1598</v>
      </c>
      <c r="W31" s="34">
        <v>0</v>
      </c>
      <c r="X31" s="34">
        <v>0</v>
      </c>
      <c r="Y31" s="34">
        <v>0</v>
      </c>
      <c r="Z31" s="34">
        <v>0</v>
      </c>
      <c r="AA31" s="34">
        <f t="shared" si="0"/>
        <v>1</v>
      </c>
      <c r="AB31" s="34">
        <v>0</v>
      </c>
      <c r="AC31" s="41"/>
    </row>
    <row r="32" spans="1:29" ht="409.5">
      <c r="B32" s="148">
        <v>29</v>
      </c>
      <c r="C32" s="26">
        <f>VLOOKUP(D32,'[3]Codes &amp; Descr. SFICS25'!B:C,2,FALSE)</f>
        <v>21</v>
      </c>
      <c r="D32" s="26" t="s">
        <v>1403</v>
      </c>
      <c r="E32" s="26">
        <f>+VLOOKUP(F32,'[3]Codes &amp; Descr. SFICS25'!D:E,2,FALSE)</f>
        <v>2103</v>
      </c>
      <c r="F32" s="26" t="s">
        <v>1589</v>
      </c>
      <c r="G32" s="26">
        <f>VLOOKUP(H32,'[3]Codes &amp; Descr. SFICS25'!F:H,2,FALSE)</f>
        <v>210304</v>
      </c>
      <c r="H32" s="26" t="s">
        <v>1613</v>
      </c>
      <c r="I32" s="26" t="s">
        <v>1614</v>
      </c>
      <c r="J32" s="26" t="s">
        <v>1615</v>
      </c>
      <c r="K32" s="26" t="s">
        <v>1616</v>
      </c>
      <c r="L32" s="28" t="s">
        <v>257</v>
      </c>
      <c r="M32" s="29" t="s">
        <v>1402</v>
      </c>
      <c r="N32" s="99" t="s">
        <v>1617</v>
      </c>
      <c r="O32" s="99" t="s">
        <v>1618</v>
      </c>
      <c r="P32" s="31" t="s">
        <v>1619</v>
      </c>
      <c r="Q32" s="31" t="s">
        <v>1620</v>
      </c>
      <c r="R32" s="99" t="s">
        <v>1410</v>
      </c>
      <c r="S32" s="99" t="s">
        <v>1410</v>
      </c>
      <c r="T32" s="100" t="s">
        <v>1412</v>
      </c>
      <c r="U32" s="33" t="s">
        <v>1598</v>
      </c>
      <c r="V32" s="33" t="s">
        <v>1413</v>
      </c>
      <c r="W32" s="34">
        <v>0</v>
      </c>
      <c r="X32" s="34">
        <v>0</v>
      </c>
      <c r="Y32" s="34">
        <v>0</v>
      </c>
      <c r="Z32" s="34">
        <v>0</v>
      </c>
      <c r="AA32" s="34">
        <f t="shared" si="0"/>
        <v>1</v>
      </c>
      <c r="AB32" s="34">
        <v>0</v>
      </c>
    </row>
    <row r="33" spans="1:29" ht="39.75" customHeight="1">
      <c r="B33" s="148">
        <v>30</v>
      </c>
      <c r="C33" s="26">
        <f>VLOOKUP(D33,'[3]Codes &amp; Descr. SFICS25'!B:C,2,FALSE)</f>
        <v>21</v>
      </c>
      <c r="D33" s="26" t="s">
        <v>1403</v>
      </c>
      <c r="E33" s="26">
        <f>+VLOOKUP(F33,'[3]Codes &amp; Descr. SFICS25'!D:E,2,FALSE)</f>
        <v>2103</v>
      </c>
      <c r="F33" s="26" t="s">
        <v>1589</v>
      </c>
      <c r="G33" s="26">
        <f>VLOOKUP(H33,'[3]Codes &amp; Descr. SFICS25'!F:H,2,FALSE)</f>
        <v>210305</v>
      </c>
      <c r="H33" s="26" t="s">
        <v>1621</v>
      </c>
      <c r="I33" s="26" t="s">
        <v>1622</v>
      </c>
      <c r="J33" s="26" t="s">
        <v>1623</v>
      </c>
      <c r="K33" s="26" t="s">
        <v>1624</v>
      </c>
      <c r="L33" s="28" t="s">
        <v>265</v>
      </c>
      <c r="M33" s="29" t="s">
        <v>1402</v>
      </c>
      <c r="N33" s="99" t="s">
        <v>1625</v>
      </c>
      <c r="O33" s="99" t="s">
        <v>1626</v>
      </c>
      <c r="P33" s="31" t="s">
        <v>1619</v>
      </c>
      <c r="Q33" s="31" t="s">
        <v>1627</v>
      </c>
      <c r="R33" s="99" t="s">
        <v>1410</v>
      </c>
      <c r="S33" s="99" t="s">
        <v>1410</v>
      </c>
      <c r="T33" s="100" t="s">
        <v>1412</v>
      </c>
      <c r="U33" s="33" t="s">
        <v>1598</v>
      </c>
      <c r="V33" s="33" t="s">
        <v>1413</v>
      </c>
      <c r="W33" s="34">
        <v>0</v>
      </c>
      <c r="X33" s="34">
        <v>0</v>
      </c>
      <c r="Y33" s="34">
        <v>0</v>
      </c>
      <c r="Z33" s="34">
        <v>0</v>
      </c>
      <c r="AA33" s="34">
        <f t="shared" si="0"/>
        <v>1</v>
      </c>
      <c r="AB33" s="34">
        <v>0</v>
      </c>
    </row>
    <row r="34" spans="1:29" ht="39.75" customHeight="1">
      <c r="B34" s="148">
        <v>31</v>
      </c>
      <c r="C34" s="26">
        <f>VLOOKUP(D34,'[3]Codes &amp; Descr. SFICS25'!B:C,2,FALSE)</f>
        <v>21</v>
      </c>
      <c r="D34" s="26" t="s">
        <v>1403</v>
      </c>
      <c r="E34" s="26">
        <f>+VLOOKUP(F34,'[3]Codes &amp; Descr. SFICS25'!D:E,2,FALSE)</f>
        <v>2103</v>
      </c>
      <c r="F34" s="26" t="s">
        <v>1589</v>
      </c>
      <c r="G34" s="26">
        <f>VLOOKUP(H34,'[3]Codes &amp; Descr. SFICS25'!F:H,2,FALSE)</f>
        <v>210306</v>
      </c>
      <c r="H34" s="26" t="s">
        <v>1628</v>
      </c>
      <c r="I34" s="26" t="s">
        <v>1629</v>
      </c>
      <c r="J34" s="26" t="s">
        <v>1630</v>
      </c>
      <c r="K34" s="26" t="s">
        <v>1631</v>
      </c>
      <c r="L34" s="28" t="s">
        <v>274</v>
      </c>
      <c r="M34" s="29" t="s">
        <v>1402</v>
      </c>
      <c r="N34" s="99" t="s">
        <v>1632</v>
      </c>
      <c r="O34" s="99" t="s">
        <v>1633</v>
      </c>
      <c r="P34" s="31" t="s">
        <v>1619</v>
      </c>
      <c r="Q34" s="31" t="s">
        <v>1634</v>
      </c>
      <c r="R34" s="99" t="s">
        <v>1410</v>
      </c>
      <c r="S34" s="99" t="s">
        <v>1410</v>
      </c>
      <c r="T34" s="100" t="s">
        <v>1412</v>
      </c>
      <c r="U34" s="33" t="s">
        <v>1598</v>
      </c>
      <c r="V34" s="33" t="s">
        <v>1413</v>
      </c>
      <c r="W34" s="34">
        <v>0</v>
      </c>
      <c r="X34" s="34">
        <v>0</v>
      </c>
      <c r="Y34" s="34">
        <v>0</v>
      </c>
      <c r="Z34" s="34">
        <v>0</v>
      </c>
      <c r="AA34" s="34">
        <f t="shared" si="0"/>
        <v>1</v>
      </c>
      <c r="AB34" s="34">
        <v>0</v>
      </c>
    </row>
    <row r="35" spans="1:29" ht="50">
      <c r="A35" s="101"/>
      <c r="B35" s="148">
        <v>32</v>
      </c>
      <c r="C35" s="26">
        <f>VLOOKUP(D35,'[3]Codes &amp; Descr. SFICS25'!B:C,2,FALSE)</f>
        <v>21</v>
      </c>
      <c r="D35" s="26" t="s">
        <v>1403</v>
      </c>
      <c r="E35" s="26">
        <f>+VLOOKUP(F35,'[3]Codes &amp; Descr. SFICS25'!D:E,2,FALSE)</f>
        <v>2107</v>
      </c>
      <c r="F35" s="26" t="s">
        <v>1635</v>
      </c>
      <c r="G35" s="26">
        <f>VLOOKUP(H35,'[3]Codes &amp; Descr. SFICS25'!F:H,2,FALSE)</f>
        <v>210701</v>
      </c>
      <c r="H35" s="26" t="s">
        <v>1636</v>
      </c>
      <c r="I35" s="26" t="s">
        <v>1637</v>
      </c>
      <c r="J35" s="26" t="s">
        <v>1637</v>
      </c>
      <c r="K35" s="26" t="s">
        <v>1636</v>
      </c>
      <c r="L35" s="28" t="s">
        <v>281</v>
      </c>
      <c r="M35" s="29" t="s">
        <v>1402</v>
      </c>
      <c r="N35" s="99" t="s">
        <v>1638</v>
      </c>
      <c r="O35" s="99" t="s">
        <v>1639</v>
      </c>
      <c r="P35" s="194" t="s">
        <v>1640</v>
      </c>
      <c r="Q35" s="31" t="s">
        <v>1410</v>
      </c>
      <c r="R35" s="99" t="s">
        <v>1410</v>
      </c>
      <c r="S35" s="99" t="s">
        <v>1410</v>
      </c>
      <c r="T35" s="100" t="s">
        <v>1412</v>
      </c>
      <c r="U35" s="34">
        <v>0</v>
      </c>
      <c r="V35" s="34">
        <v>0</v>
      </c>
      <c r="W35" s="34">
        <v>0</v>
      </c>
      <c r="X35" s="34">
        <v>0</v>
      </c>
      <c r="Y35" s="34">
        <v>0</v>
      </c>
      <c r="Z35" s="34">
        <v>0</v>
      </c>
      <c r="AA35" s="34">
        <f t="shared" si="0"/>
        <v>1</v>
      </c>
      <c r="AB35" s="34">
        <v>0</v>
      </c>
    </row>
    <row r="36" spans="1:29" ht="39.75" customHeight="1">
      <c r="B36" s="148">
        <v>33</v>
      </c>
      <c r="C36" s="26">
        <f>VLOOKUP(D36,'[3]Codes &amp; Descr. SFICS25'!B:C,2,FALSE)</f>
        <v>22</v>
      </c>
      <c r="D36" s="26" t="s">
        <v>1641</v>
      </c>
      <c r="E36" s="26">
        <f>+VLOOKUP(F36,'[3]Codes &amp; Descr. SFICS25'!D:E,2,FALSE)</f>
        <v>2201</v>
      </c>
      <c r="F36" s="26" t="s">
        <v>1642</v>
      </c>
      <c r="G36" s="26">
        <f>VLOOKUP(H36,'[3]Codes &amp; Descr. SFICS25'!F:H,2,FALSE)</f>
        <v>220101</v>
      </c>
      <c r="H36" s="26" t="s">
        <v>1643</v>
      </c>
      <c r="I36" s="26" t="s">
        <v>1644</v>
      </c>
      <c r="J36" s="26" t="s">
        <v>1644</v>
      </c>
      <c r="K36" s="26" t="s">
        <v>1643</v>
      </c>
      <c r="L36" s="42" t="s">
        <v>287</v>
      </c>
      <c r="M36" s="29" t="s">
        <v>1402</v>
      </c>
      <c r="N36" s="99" t="s">
        <v>1645</v>
      </c>
      <c r="O36" s="99" t="s">
        <v>1646</v>
      </c>
      <c r="P36" s="31" t="s">
        <v>1647</v>
      </c>
      <c r="Q36" s="31" t="s">
        <v>1648</v>
      </c>
      <c r="R36" s="99" t="s">
        <v>1410</v>
      </c>
      <c r="S36" s="99" t="s">
        <v>1410</v>
      </c>
      <c r="T36" s="100" t="s">
        <v>1649</v>
      </c>
      <c r="U36" s="33" t="s">
        <v>1598</v>
      </c>
      <c r="V36" s="33" t="s">
        <v>1413</v>
      </c>
      <c r="W36" s="34">
        <v>0</v>
      </c>
      <c r="X36" s="34">
        <v>0</v>
      </c>
      <c r="Y36" s="34">
        <v>0</v>
      </c>
      <c r="Z36" s="34">
        <v>0</v>
      </c>
      <c r="AA36" s="34">
        <f t="shared" si="0"/>
        <v>1</v>
      </c>
      <c r="AB36" s="34">
        <v>0</v>
      </c>
    </row>
    <row r="37" spans="1:29" ht="39.75" customHeight="1">
      <c r="B37" s="148">
        <v>34</v>
      </c>
      <c r="C37" s="26">
        <f>VLOOKUP(D37,'[3]Codes &amp; Descr. SFICS25'!B:C,2,FALSE)</f>
        <v>22</v>
      </c>
      <c r="D37" s="26" t="s">
        <v>1641</v>
      </c>
      <c r="E37" s="26">
        <f>+VLOOKUP(F37,'[3]Codes &amp; Descr. SFICS25'!D:E,2,FALSE)</f>
        <v>2201</v>
      </c>
      <c r="F37" s="26" t="s">
        <v>1642</v>
      </c>
      <c r="G37" s="26">
        <f>VLOOKUP(H37,'[3]Codes &amp; Descr. SFICS25'!F:H,2,FALSE)</f>
        <v>220102</v>
      </c>
      <c r="H37" s="26" t="s">
        <v>1650</v>
      </c>
      <c r="I37" s="26" t="s">
        <v>1651</v>
      </c>
      <c r="J37" s="26" t="s">
        <v>1652</v>
      </c>
      <c r="K37" s="26" t="s">
        <v>1653</v>
      </c>
      <c r="L37" s="42" t="s">
        <v>294</v>
      </c>
      <c r="M37" s="29" t="s">
        <v>1402</v>
      </c>
      <c r="N37" s="99" t="s">
        <v>1654</v>
      </c>
      <c r="O37" s="99" t="s">
        <v>1655</v>
      </c>
      <c r="P37" s="31" t="s">
        <v>1656</v>
      </c>
      <c r="Q37" s="31" t="s">
        <v>1657</v>
      </c>
      <c r="R37" s="99" t="s">
        <v>1410</v>
      </c>
      <c r="S37" s="99" t="s">
        <v>1410</v>
      </c>
      <c r="T37" s="100" t="s">
        <v>1649</v>
      </c>
      <c r="U37" s="33" t="s">
        <v>1598</v>
      </c>
      <c r="V37" s="33" t="s">
        <v>1413</v>
      </c>
      <c r="W37" s="34">
        <v>0</v>
      </c>
      <c r="X37" s="34">
        <v>0</v>
      </c>
      <c r="Y37" s="34">
        <v>0</v>
      </c>
      <c r="Z37" s="34">
        <v>0</v>
      </c>
      <c r="AA37" s="34">
        <f t="shared" si="0"/>
        <v>1</v>
      </c>
      <c r="AB37" s="34">
        <v>0</v>
      </c>
    </row>
    <row r="38" spans="1:29" ht="39.75" customHeight="1">
      <c r="B38" s="148">
        <v>35</v>
      </c>
      <c r="C38" s="26">
        <f>VLOOKUP(D38,'[3]Codes &amp; Descr. SFICS25'!B:C,2,FALSE)</f>
        <v>22</v>
      </c>
      <c r="D38" s="26" t="s">
        <v>1641</v>
      </c>
      <c r="E38" s="26">
        <f>+VLOOKUP(F38,'[3]Codes &amp; Descr. SFICS25'!D:E,2,FALSE)</f>
        <v>2201</v>
      </c>
      <c r="F38" s="26" t="s">
        <v>1642</v>
      </c>
      <c r="G38" s="26">
        <f>VLOOKUP(H38,'[3]Codes &amp; Descr. SFICS25'!F:H,2,FALSE)</f>
        <v>220103</v>
      </c>
      <c r="H38" s="26" t="s">
        <v>1658</v>
      </c>
      <c r="I38" s="26" t="s">
        <v>1659</v>
      </c>
      <c r="J38" s="26" t="s">
        <v>1660</v>
      </c>
      <c r="K38" s="26" t="s">
        <v>1661</v>
      </c>
      <c r="L38" s="42" t="s">
        <v>300</v>
      </c>
      <c r="M38" s="29" t="s">
        <v>1402</v>
      </c>
      <c r="N38" s="102" t="s">
        <v>1662</v>
      </c>
      <c r="O38" s="99" t="s">
        <v>1663</v>
      </c>
      <c r="P38" s="31" t="s">
        <v>1664</v>
      </c>
      <c r="Q38" s="31" t="s">
        <v>1665</v>
      </c>
      <c r="R38" s="99" t="s">
        <v>1410</v>
      </c>
      <c r="S38" s="99" t="s">
        <v>1410</v>
      </c>
      <c r="T38" s="100" t="s">
        <v>1649</v>
      </c>
      <c r="U38" s="33" t="s">
        <v>1598</v>
      </c>
      <c r="V38" s="33" t="s">
        <v>1413</v>
      </c>
      <c r="W38" s="34">
        <v>0</v>
      </c>
      <c r="X38" s="34">
        <v>0</v>
      </c>
      <c r="Y38" s="34">
        <v>0</v>
      </c>
      <c r="Z38" s="34">
        <v>0</v>
      </c>
      <c r="AA38" s="34">
        <f t="shared" si="0"/>
        <v>1</v>
      </c>
      <c r="AB38" s="34">
        <v>0</v>
      </c>
    </row>
    <row r="39" spans="1:29" ht="39.75" customHeight="1">
      <c r="B39" s="148">
        <v>36</v>
      </c>
      <c r="C39" s="26">
        <f>VLOOKUP(D39,'[3]Codes &amp; Descr. SFICS25'!B:C,2,FALSE)</f>
        <v>22</v>
      </c>
      <c r="D39" s="26" t="s">
        <v>1641</v>
      </c>
      <c r="E39" s="26">
        <f>+VLOOKUP(F39,'[3]Codes &amp; Descr. SFICS25'!D:E,2,FALSE)</f>
        <v>2201</v>
      </c>
      <c r="F39" s="26" t="s">
        <v>1642</v>
      </c>
      <c r="G39" s="26">
        <f>VLOOKUP(H39,'[3]Codes &amp; Descr. SFICS25'!F:H,2,FALSE)</f>
        <v>220104</v>
      </c>
      <c r="H39" s="26" t="s">
        <v>1666</v>
      </c>
      <c r="I39" s="26" t="s">
        <v>1667</v>
      </c>
      <c r="J39" s="26" t="s">
        <v>1668</v>
      </c>
      <c r="K39" s="26" t="s">
        <v>1669</v>
      </c>
      <c r="L39" s="42" t="s">
        <v>309</v>
      </c>
      <c r="M39" s="29" t="s">
        <v>1402</v>
      </c>
      <c r="N39" s="99" t="s">
        <v>1670</v>
      </c>
      <c r="O39" s="99" t="s">
        <v>1671</v>
      </c>
      <c r="P39" s="31" t="s">
        <v>1672</v>
      </c>
      <c r="Q39" s="31" t="s">
        <v>1673</v>
      </c>
      <c r="R39" s="99" t="s">
        <v>1410</v>
      </c>
      <c r="S39" s="99" t="s">
        <v>1410</v>
      </c>
      <c r="T39" s="100" t="s">
        <v>1649</v>
      </c>
      <c r="U39" s="33" t="s">
        <v>1413</v>
      </c>
      <c r="V39" s="33" t="s">
        <v>1413</v>
      </c>
      <c r="W39" s="34">
        <v>0</v>
      </c>
      <c r="X39" s="34">
        <v>0</v>
      </c>
      <c r="Y39" s="34">
        <v>0</v>
      </c>
      <c r="Z39" s="34">
        <v>0</v>
      </c>
      <c r="AA39" s="34">
        <f t="shared" si="0"/>
        <v>1</v>
      </c>
      <c r="AB39" s="34">
        <v>0</v>
      </c>
    </row>
    <row r="40" spans="1:29" ht="39.75" customHeight="1">
      <c r="B40" s="148">
        <v>37</v>
      </c>
      <c r="C40" s="26">
        <f>VLOOKUP(D40,'[3]Codes &amp; Descr. SFICS25'!B:C,2,FALSE)</f>
        <v>22</v>
      </c>
      <c r="D40" s="26" t="s">
        <v>1641</v>
      </c>
      <c r="E40" s="26">
        <f>+VLOOKUP(F40,'[3]Codes &amp; Descr. SFICS25'!D:E,2,FALSE)</f>
        <v>2201</v>
      </c>
      <c r="F40" s="26" t="s">
        <v>1642</v>
      </c>
      <c r="G40" s="26">
        <f>VLOOKUP(H40,'[3]Codes &amp; Descr. SFICS25'!F:H,2,FALSE)</f>
        <v>220105</v>
      </c>
      <c r="H40" s="26" t="s">
        <v>1674</v>
      </c>
      <c r="I40" s="26" t="s">
        <v>1675</v>
      </c>
      <c r="J40" s="26" t="s">
        <v>1676</v>
      </c>
      <c r="K40" s="26" t="s">
        <v>1677</v>
      </c>
      <c r="L40" s="42" t="s">
        <v>317</v>
      </c>
      <c r="M40" s="29" t="s">
        <v>1402</v>
      </c>
      <c r="N40" s="99" t="s">
        <v>1678</v>
      </c>
      <c r="O40" s="99" t="s">
        <v>1679</v>
      </c>
      <c r="P40" s="31" t="s">
        <v>1680</v>
      </c>
      <c r="Q40" s="31" t="s">
        <v>1681</v>
      </c>
      <c r="R40" s="99" t="s">
        <v>1410</v>
      </c>
      <c r="S40" s="99" t="s">
        <v>1410</v>
      </c>
      <c r="T40" s="100" t="s">
        <v>1649</v>
      </c>
      <c r="U40" s="33" t="s">
        <v>1598</v>
      </c>
      <c r="V40" s="33" t="s">
        <v>1413</v>
      </c>
      <c r="W40" s="34">
        <v>0</v>
      </c>
      <c r="X40" s="34">
        <v>0</v>
      </c>
      <c r="Y40" s="34">
        <v>0</v>
      </c>
      <c r="Z40" s="34">
        <v>0</v>
      </c>
      <c r="AA40" s="34">
        <f t="shared" si="0"/>
        <v>1</v>
      </c>
      <c r="AB40" s="34">
        <v>0</v>
      </c>
    </row>
    <row r="41" spans="1:29" ht="39.75" customHeight="1">
      <c r="B41" s="148">
        <v>38</v>
      </c>
      <c r="C41" s="26">
        <f>VLOOKUP(D41,'[3]Codes &amp; Descr. SFICS25'!B:C,2,FALSE)</f>
        <v>22</v>
      </c>
      <c r="D41" s="26" t="s">
        <v>1641</v>
      </c>
      <c r="E41" s="26">
        <f>+VLOOKUP(F41,'[3]Codes &amp; Descr. SFICS25'!D:E,2,FALSE)</f>
        <v>2201</v>
      </c>
      <c r="F41" s="26" t="s">
        <v>1642</v>
      </c>
      <c r="G41" s="26">
        <f>VLOOKUP(H41,'[3]Codes &amp; Descr. SFICS25'!F:H,2,FALSE)</f>
        <v>220106</v>
      </c>
      <c r="H41" s="26" t="s">
        <v>1682</v>
      </c>
      <c r="I41" s="26" t="s">
        <v>1683</v>
      </c>
      <c r="J41" s="26" t="s">
        <v>1684</v>
      </c>
      <c r="K41" s="26" t="s">
        <v>1685</v>
      </c>
      <c r="L41" s="42" t="s">
        <v>325</v>
      </c>
      <c r="M41" s="29" t="s">
        <v>1402</v>
      </c>
      <c r="N41" s="99" t="s">
        <v>1686</v>
      </c>
      <c r="O41" s="99" t="s">
        <v>1687</v>
      </c>
      <c r="P41" s="31" t="s">
        <v>1688</v>
      </c>
      <c r="Q41" s="31" t="s">
        <v>1689</v>
      </c>
      <c r="R41" s="99" t="s">
        <v>1410</v>
      </c>
      <c r="S41" s="99" t="s">
        <v>1410</v>
      </c>
      <c r="T41" s="100" t="s">
        <v>1649</v>
      </c>
      <c r="U41" s="33" t="s">
        <v>1598</v>
      </c>
      <c r="V41" s="33" t="s">
        <v>1413</v>
      </c>
      <c r="W41" s="34">
        <v>0</v>
      </c>
      <c r="X41" s="34">
        <v>0</v>
      </c>
      <c r="Y41" s="34">
        <v>0</v>
      </c>
      <c r="Z41" s="34">
        <v>0</v>
      </c>
      <c r="AA41" s="34">
        <f t="shared" si="0"/>
        <v>1</v>
      </c>
      <c r="AB41" s="34">
        <v>0</v>
      </c>
      <c r="AC41" s="41"/>
    </row>
    <row r="42" spans="1:29" ht="39.75" customHeight="1">
      <c r="B42" s="148">
        <v>39</v>
      </c>
      <c r="C42" s="26">
        <f>VLOOKUP(D42,'[3]Codes &amp; Descr. SFICS25'!B:C,2,FALSE)</f>
        <v>22</v>
      </c>
      <c r="D42" s="26" t="s">
        <v>1641</v>
      </c>
      <c r="E42" s="26">
        <f>+VLOOKUP(F42,'[3]Codes &amp; Descr. SFICS25'!D:E,2,FALSE)</f>
        <v>2202</v>
      </c>
      <c r="F42" s="26" t="s">
        <v>1690</v>
      </c>
      <c r="G42" s="26">
        <f>VLOOKUP(H42,'[3]Codes &amp; Descr. SFICS25'!F:H,2,FALSE)</f>
        <v>220201</v>
      </c>
      <c r="H42" s="26" t="s">
        <v>1691</v>
      </c>
      <c r="I42" s="26" t="s">
        <v>1692</v>
      </c>
      <c r="J42" s="26" t="s">
        <v>1692</v>
      </c>
      <c r="K42" s="26" t="s">
        <v>1691</v>
      </c>
      <c r="L42" s="42" t="s">
        <v>334</v>
      </c>
      <c r="M42" s="29" t="s">
        <v>1402</v>
      </c>
      <c r="N42" s="99" t="s">
        <v>1693</v>
      </c>
      <c r="O42" s="99" t="s">
        <v>1694</v>
      </c>
      <c r="P42" s="31" t="s">
        <v>1695</v>
      </c>
      <c r="Q42" s="31" t="s">
        <v>1696</v>
      </c>
      <c r="R42" s="99" t="s">
        <v>1410</v>
      </c>
      <c r="S42" s="99" t="s">
        <v>1410</v>
      </c>
      <c r="T42" s="100" t="s">
        <v>1649</v>
      </c>
      <c r="U42" s="33" t="s">
        <v>1598</v>
      </c>
      <c r="V42" s="33" t="s">
        <v>1413</v>
      </c>
      <c r="W42" s="34">
        <v>0</v>
      </c>
      <c r="X42" s="34">
        <v>0</v>
      </c>
      <c r="Y42" s="34">
        <v>0</v>
      </c>
      <c r="Z42" s="34">
        <v>0</v>
      </c>
      <c r="AA42" s="34">
        <f t="shared" si="0"/>
        <v>1</v>
      </c>
      <c r="AB42" s="34">
        <v>0</v>
      </c>
      <c r="AC42" s="41"/>
    </row>
    <row r="43" spans="1:29" ht="39.75" customHeight="1">
      <c r="B43" s="148">
        <v>40</v>
      </c>
      <c r="C43" s="26">
        <f>VLOOKUP(D43,'[3]Codes &amp; Descr. SFICS25'!B:C,2,FALSE)</f>
        <v>22</v>
      </c>
      <c r="D43" s="26" t="s">
        <v>1641</v>
      </c>
      <c r="E43" s="26">
        <f>+VLOOKUP(F43,'[3]Codes &amp; Descr. SFICS25'!D:E,2,FALSE)</f>
        <v>2202</v>
      </c>
      <c r="F43" s="26" t="s">
        <v>1690</v>
      </c>
      <c r="G43" s="26">
        <f>VLOOKUP(H43,'[3]Codes &amp; Descr. SFICS25'!F:H,2,FALSE)</f>
        <v>220202</v>
      </c>
      <c r="H43" s="26" t="s">
        <v>1697</v>
      </c>
      <c r="I43" s="26" t="s">
        <v>1698</v>
      </c>
      <c r="J43" s="26" t="s">
        <v>1698</v>
      </c>
      <c r="K43" s="26" t="s">
        <v>1697</v>
      </c>
      <c r="L43" s="42" t="s">
        <v>343</v>
      </c>
      <c r="M43" s="29" t="s">
        <v>1402</v>
      </c>
      <c r="N43" s="99" t="s">
        <v>1699</v>
      </c>
      <c r="O43" s="99" t="s">
        <v>1700</v>
      </c>
      <c r="P43" s="31" t="s">
        <v>1701</v>
      </c>
      <c r="Q43" s="31" t="s">
        <v>1702</v>
      </c>
      <c r="R43" s="99" t="s">
        <v>1410</v>
      </c>
      <c r="S43" s="99" t="s">
        <v>1410</v>
      </c>
      <c r="T43" s="100" t="s">
        <v>1649</v>
      </c>
      <c r="U43" s="33" t="s">
        <v>1598</v>
      </c>
      <c r="V43" s="33" t="s">
        <v>1413</v>
      </c>
      <c r="W43" s="34">
        <v>0</v>
      </c>
      <c r="X43" s="34">
        <v>0</v>
      </c>
      <c r="Y43" s="34">
        <v>0</v>
      </c>
      <c r="Z43" s="34">
        <v>0</v>
      </c>
      <c r="AA43" s="34">
        <f t="shared" si="0"/>
        <v>1</v>
      </c>
      <c r="AB43" s="34">
        <v>0</v>
      </c>
      <c r="AC43" s="41"/>
    </row>
    <row r="44" spans="1:29" ht="39.75" customHeight="1">
      <c r="B44" s="148">
        <v>41</v>
      </c>
      <c r="C44" s="26">
        <f>VLOOKUP(D44,'[3]Codes &amp; Descr. SFICS25'!B:C,2,FALSE)</f>
        <v>22</v>
      </c>
      <c r="D44" s="26" t="s">
        <v>1641</v>
      </c>
      <c r="E44" s="26">
        <f>+VLOOKUP(F44,'[3]Codes &amp; Descr. SFICS25'!D:E,2,FALSE)</f>
        <v>2202</v>
      </c>
      <c r="F44" s="26" t="s">
        <v>1690</v>
      </c>
      <c r="G44" s="26">
        <f>VLOOKUP(H44,'[3]Codes &amp; Descr. SFICS25'!F:H,2,FALSE)</f>
        <v>220203</v>
      </c>
      <c r="H44" s="26" t="s">
        <v>1703</v>
      </c>
      <c r="I44" s="26" t="s">
        <v>1704</v>
      </c>
      <c r="J44" s="26" t="s">
        <v>1705</v>
      </c>
      <c r="K44" s="26" t="s">
        <v>1706</v>
      </c>
      <c r="L44" s="42" t="s">
        <v>351</v>
      </c>
      <c r="M44" s="29" t="s">
        <v>1402</v>
      </c>
      <c r="N44" s="99" t="s">
        <v>1707</v>
      </c>
      <c r="O44" s="99" t="s">
        <v>1708</v>
      </c>
      <c r="P44" s="31" t="s">
        <v>1410</v>
      </c>
      <c r="Q44" s="31" t="s">
        <v>1709</v>
      </c>
      <c r="R44" s="99" t="s">
        <v>1410</v>
      </c>
      <c r="S44" s="99" t="s">
        <v>1410</v>
      </c>
      <c r="T44" s="100" t="s">
        <v>1649</v>
      </c>
      <c r="U44" s="33" t="s">
        <v>1598</v>
      </c>
      <c r="V44" s="33" t="s">
        <v>1413</v>
      </c>
      <c r="W44" s="34">
        <v>0</v>
      </c>
      <c r="X44" s="34">
        <v>0</v>
      </c>
      <c r="Y44" s="34">
        <v>0</v>
      </c>
      <c r="Z44" s="34">
        <v>0</v>
      </c>
      <c r="AA44" s="34">
        <f t="shared" si="0"/>
        <v>1</v>
      </c>
      <c r="AB44" s="34">
        <v>0</v>
      </c>
    </row>
    <row r="45" spans="1:29" ht="39.75" customHeight="1">
      <c r="B45" s="148">
        <v>42</v>
      </c>
      <c r="C45" s="26">
        <f>VLOOKUP(D45,'[3]Codes &amp; Descr. SFICS25'!B:C,2,FALSE)</f>
        <v>22</v>
      </c>
      <c r="D45" s="26" t="s">
        <v>1641</v>
      </c>
      <c r="E45" s="26">
        <f>+VLOOKUP(F45,'[3]Codes &amp; Descr. SFICS25'!D:E,2,FALSE)</f>
        <v>2202</v>
      </c>
      <c r="F45" s="26" t="s">
        <v>1690</v>
      </c>
      <c r="G45" s="26">
        <f>VLOOKUP(H45,'[3]Codes &amp; Descr. SFICS25'!F:H,2,FALSE)</f>
        <v>220204</v>
      </c>
      <c r="H45" s="26" t="s">
        <v>1710</v>
      </c>
      <c r="I45" s="26" t="s">
        <v>1711</v>
      </c>
      <c r="J45" s="26" t="s">
        <v>1712</v>
      </c>
      <c r="K45" s="26" t="s">
        <v>1713</v>
      </c>
      <c r="L45" s="42" t="s">
        <v>358</v>
      </c>
      <c r="M45" s="29" t="s">
        <v>1402</v>
      </c>
      <c r="N45" s="99" t="s">
        <v>1714</v>
      </c>
      <c r="O45" s="99" t="s">
        <v>1715</v>
      </c>
      <c r="P45" s="31" t="s">
        <v>1716</v>
      </c>
      <c r="Q45" s="31" t="s">
        <v>1717</v>
      </c>
      <c r="R45" s="99" t="s">
        <v>1410</v>
      </c>
      <c r="S45" s="99" t="s">
        <v>1410</v>
      </c>
      <c r="T45" s="100" t="s">
        <v>1649</v>
      </c>
      <c r="U45" s="33" t="s">
        <v>1598</v>
      </c>
      <c r="V45" s="33" t="s">
        <v>1413</v>
      </c>
      <c r="W45" s="34">
        <v>0</v>
      </c>
      <c r="X45" s="34">
        <v>0</v>
      </c>
      <c r="Y45" s="34">
        <v>0</v>
      </c>
      <c r="Z45" s="34">
        <v>0</v>
      </c>
      <c r="AA45" s="34">
        <f t="shared" si="0"/>
        <v>1</v>
      </c>
      <c r="AB45" s="34">
        <v>0</v>
      </c>
      <c r="AC45" s="41"/>
    </row>
    <row r="46" spans="1:29" ht="39.75" customHeight="1">
      <c r="B46" s="148">
        <v>43</v>
      </c>
      <c r="C46" s="26">
        <f>VLOOKUP(D46,'[3]Codes &amp; Descr. SFICS25'!B:C,2,FALSE)</f>
        <v>22</v>
      </c>
      <c r="D46" s="26" t="s">
        <v>1641</v>
      </c>
      <c r="E46" s="26">
        <f>+VLOOKUP(F46,'[3]Codes &amp; Descr. SFICS25'!D:E,2,FALSE)</f>
        <v>2202</v>
      </c>
      <c r="F46" s="26" t="s">
        <v>1690</v>
      </c>
      <c r="G46" s="26">
        <f>VLOOKUP(H46,'[3]Codes &amp; Descr. SFICS25'!F:H,2,FALSE)</f>
        <v>220205</v>
      </c>
      <c r="H46" s="26" t="s">
        <v>1718</v>
      </c>
      <c r="I46" s="26" t="s">
        <v>1719</v>
      </c>
      <c r="J46" s="26" t="s">
        <v>1719</v>
      </c>
      <c r="K46" s="26" t="s">
        <v>1718</v>
      </c>
      <c r="L46" s="42" t="s">
        <v>366</v>
      </c>
      <c r="M46" s="29" t="s">
        <v>1402</v>
      </c>
      <c r="N46" s="99" t="s">
        <v>1720</v>
      </c>
      <c r="O46" s="99" t="s">
        <v>1721</v>
      </c>
      <c r="P46" s="31" t="s">
        <v>1410</v>
      </c>
      <c r="Q46" s="31" t="s">
        <v>1722</v>
      </c>
      <c r="R46" s="99" t="s">
        <v>1410</v>
      </c>
      <c r="S46" s="99" t="s">
        <v>1410</v>
      </c>
      <c r="T46" s="100" t="s">
        <v>1649</v>
      </c>
      <c r="U46" s="33" t="s">
        <v>1598</v>
      </c>
      <c r="V46" s="33" t="s">
        <v>1413</v>
      </c>
      <c r="W46" s="34">
        <v>0</v>
      </c>
      <c r="X46" s="34">
        <v>0</v>
      </c>
      <c r="Y46" s="34">
        <v>0</v>
      </c>
      <c r="Z46" s="34">
        <v>0</v>
      </c>
      <c r="AA46" s="34">
        <f t="shared" si="0"/>
        <v>1</v>
      </c>
      <c r="AB46" s="34">
        <v>0</v>
      </c>
      <c r="AC46" s="41"/>
    </row>
    <row r="47" spans="1:29" ht="39.75" customHeight="1">
      <c r="B47" s="148">
        <v>44</v>
      </c>
      <c r="C47" s="26">
        <f>VLOOKUP(D47,'[3]Codes &amp; Descr. SFICS25'!B:C,2,FALSE)</f>
        <v>22</v>
      </c>
      <c r="D47" s="26" t="s">
        <v>1641</v>
      </c>
      <c r="E47" s="26">
        <f>+VLOOKUP(F47,'[3]Codes &amp; Descr. SFICS25'!D:E,2,FALSE)</f>
        <v>2202</v>
      </c>
      <c r="F47" s="26" t="s">
        <v>1690</v>
      </c>
      <c r="G47" s="26">
        <f>VLOOKUP(H47,'[3]Codes &amp; Descr. SFICS25'!F:H,2,FALSE)</f>
        <v>220206</v>
      </c>
      <c r="H47" s="26" t="s">
        <v>1723</v>
      </c>
      <c r="I47" s="26" t="s">
        <v>1724</v>
      </c>
      <c r="J47" s="26" t="s">
        <v>1725</v>
      </c>
      <c r="K47" s="26" t="s">
        <v>1726</v>
      </c>
      <c r="L47" s="42" t="s">
        <v>373</v>
      </c>
      <c r="M47" s="29" t="s">
        <v>1402</v>
      </c>
      <c r="N47" s="99" t="s">
        <v>1727</v>
      </c>
      <c r="O47" s="99" t="s">
        <v>1728</v>
      </c>
      <c r="P47" s="31" t="s">
        <v>1410</v>
      </c>
      <c r="Q47" s="31" t="s">
        <v>1729</v>
      </c>
      <c r="R47" s="99" t="s">
        <v>1410</v>
      </c>
      <c r="S47" s="99" t="s">
        <v>1410</v>
      </c>
      <c r="T47" s="100" t="s">
        <v>1649</v>
      </c>
      <c r="U47" s="33" t="s">
        <v>1598</v>
      </c>
      <c r="V47" s="33" t="s">
        <v>1413</v>
      </c>
      <c r="W47" s="34">
        <v>0</v>
      </c>
      <c r="X47" s="34">
        <v>0</v>
      </c>
      <c r="Y47" s="34">
        <v>0</v>
      </c>
      <c r="Z47" s="34">
        <v>0</v>
      </c>
      <c r="AA47" s="34">
        <f t="shared" si="0"/>
        <v>1</v>
      </c>
      <c r="AB47" s="34">
        <v>0</v>
      </c>
    </row>
    <row r="48" spans="1:29" ht="39.75" customHeight="1">
      <c r="B48" s="148">
        <v>45</v>
      </c>
      <c r="C48" s="26">
        <f>VLOOKUP(D48,'[3]Codes &amp; Descr. SFICS25'!B:C,2,FALSE)</f>
        <v>22</v>
      </c>
      <c r="D48" s="26" t="s">
        <v>1641</v>
      </c>
      <c r="E48" s="26">
        <f>+VLOOKUP(F48,'[3]Codes &amp; Descr. SFICS25'!D:E,2,FALSE)</f>
        <v>2203</v>
      </c>
      <c r="F48" s="26" t="s">
        <v>1730</v>
      </c>
      <c r="G48" s="26">
        <f>VLOOKUP(H48,'[3]Codes &amp; Descr. SFICS25'!F:H,2,FALSE)</f>
        <v>220301</v>
      </c>
      <c r="H48" s="26" t="s">
        <v>1731</v>
      </c>
      <c r="I48" s="26" t="s">
        <v>1732</v>
      </c>
      <c r="J48" s="26" t="s">
        <v>1732</v>
      </c>
      <c r="K48" s="26" t="s">
        <v>1731</v>
      </c>
      <c r="L48" s="42" t="s">
        <v>378</v>
      </c>
      <c r="M48" s="29" t="s">
        <v>1402</v>
      </c>
      <c r="N48" s="99" t="s">
        <v>1733</v>
      </c>
      <c r="O48" s="99" t="s">
        <v>1734</v>
      </c>
      <c r="P48" s="31" t="s">
        <v>1410</v>
      </c>
      <c r="Q48" s="31" t="s">
        <v>1735</v>
      </c>
      <c r="R48" s="99" t="s">
        <v>1410</v>
      </c>
      <c r="S48" s="99" t="s">
        <v>1410</v>
      </c>
      <c r="T48" s="100" t="s">
        <v>1649</v>
      </c>
      <c r="U48" s="33" t="s">
        <v>1598</v>
      </c>
      <c r="V48" s="34">
        <v>0</v>
      </c>
      <c r="W48" s="34">
        <v>0</v>
      </c>
      <c r="X48" s="34">
        <v>0</v>
      </c>
      <c r="Y48" s="34">
        <v>0</v>
      </c>
      <c r="Z48" s="34">
        <v>0</v>
      </c>
      <c r="AA48" s="34">
        <f t="shared" si="0"/>
        <v>1</v>
      </c>
      <c r="AB48" s="34">
        <v>0</v>
      </c>
      <c r="AC48" s="41" t="s">
        <v>383</v>
      </c>
    </row>
    <row r="49" spans="1:29" ht="39.75" customHeight="1">
      <c r="B49" s="148">
        <v>46</v>
      </c>
      <c r="C49" s="26">
        <f>VLOOKUP(D49,'[3]Codes &amp; Descr. SFICS25'!B:C,2,FALSE)</f>
        <v>22</v>
      </c>
      <c r="D49" s="26" t="s">
        <v>1641</v>
      </c>
      <c r="E49" s="26">
        <f>+VLOOKUP(F49,'[3]Codes &amp; Descr. SFICS25'!D:E,2,FALSE)</f>
        <v>2203</v>
      </c>
      <c r="F49" s="26" t="s">
        <v>1730</v>
      </c>
      <c r="G49" s="26">
        <f>VLOOKUP(H49,'[3]Codes &amp; Descr. SFICS25'!F:H,2,FALSE)</f>
        <v>220302</v>
      </c>
      <c r="H49" s="26" t="s">
        <v>1736</v>
      </c>
      <c r="I49" s="26" t="s">
        <v>1737</v>
      </c>
      <c r="J49" s="26" t="s">
        <v>1737</v>
      </c>
      <c r="K49" s="26" t="s">
        <v>1736</v>
      </c>
      <c r="L49" s="42" t="s">
        <v>384</v>
      </c>
      <c r="M49" s="29" t="s">
        <v>1402</v>
      </c>
      <c r="N49" s="99" t="s">
        <v>1738</v>
      </c>
      <c r="O49" s="99" t="s">
        <v>1739</v>
      </c>
      <c r="P49" s="31" t="s">
        <v>1740</v>
      </c>
      <c r="Q49" s="31" t="s">
        <v>1741</v>
      </c>
      <c r="R49" s="99" t="s">
        <v>1410</v>
      </c>
      <c r="S49" s="99" t="s">
        <v>1410</v>
      </c>
      <c r="T49" s="100" t="s">
        <v>1649</v>
      </c>
      <c r="U49" s="33" t="s">
        <v>1546</v>
      </c>
      <c r="V49" s="34">
        <v>0</v>
      </c>
      <c r="W49" s="34">
        <v>0</v>
      </c>
      <c r="X49" s="34">
        <v>0</v>
      </c>
      <c r="Y49" s="34">
        <v>0</v>
      </c>
      <c r="Z49" s="34">
        <v>0</v>
      </c>
      <c r="AA49" s="34">
        <f t="shared" si="0"/>
        <v>1</v>
      </c>
      <c r="AB49" s="34">
        <v>0</v>
      </c>
      <c r="AC49" s="41" t="s">
        <v>383</v>
      </c>
    </row>
    <row r="50" spans="1:29" ht="39.75" customHeight="1">
      <c r="B50" s="148">
        <v>47</v>
      </c>
      <c r="C50" s="26">
        <f>VLOOKUP(D50,'[3]Codes &amp; Descr. SFICS25'!B:C,2,FALSE)</f>
        <v>22</v>
      </c>
      <c r="D50" s="26" t="s">
        <v>1641</v>
      </c>
      <c r="E50" s="26">
        <f>+VLOOKUP(F50,'[3]Codes &amp; Descr. SFICS25'!D:E,2,FALSE)</f>
        <v>2203</v>
      </c>
      <c r="F50" s="26" t="s">
        <v>1730</v>
      </c>
      <c r="G50" s="26">
        <f>VLOOKUP(H50,'[3]Codes &amp; Descr. SFICS25'!F:H,2,FALSE)</f>
        <v>220303</v>
      </c>
      <c r="H50" s="26" t="s">
        <v>1742</v>
      </c>
      <c r="I50" s="26" t="s">
        <v>1743</v>
      </c>
      <c r="J50" s="26" t="s">
        <v>1743</v>
      </c>
      <c r="K50" s="26" t="s">
        <v>1742</v>
      </c>
      <c r="L50" s="42" t="s">
        <v>390</v>
      </c>
      <c r="M50" s="29" t="s">
        <v>1402</v>
      </c>
      <c r="N50" s="99" t="s">
        <v>1744</v>
      </c>
      <c r="O50" s="99" t="s">
        <v>1745</v>
      </c>
      <c r="P50" s="31" t="s">
        <v>1410</v>
      </c>
      <c r="Q50" s="31" t="s">
        <v>1746</v>
      </c>
      <c r="R50" s="99" t="s">
        <v>1410</v>
      </c>
      <c r="S50" s="99" t="s">
        <v>1410</v>
      </c>
      <c r="T50" s="100" t="s">
        <v>1649</v>
      </c>
      <c r="U50" s="33" t="s">
        <v>1413</v>
      </c>
      <c r="V50" s="34">
        <v>0</v>
      </c>
      <c r="W50" s="34">
        <v>0</v>
      </c>
      <c r="X50" s="34">
        <v>0</v>
      </c>
      <c r="Y50" s="34">
        <v>0</v>
      </c>
      <c r="Z50" s="34">
        <v>0</v>
      </c>
      <c r="AA50" s="34">
        <f t="shared" si="0"/>
        <v>1</v>
      </c>
      <c r="AB50" s="34">
        <v>0</v>
      </c>
    </row>
    <row r="51" spans="1:29" ht="39.75" customHeight="1">
      <c r="B51" s="148">
        <v>48</v>
      </c>
      <c r="C51" s="26">
        <f>VLOOKUP(D51,'[3]Codes &amp; Descr. SFICS25'!B:C,2,FALSE)</f>
        <v>22</v>
      </c>
      <c r="D51" s="26" t="s">
        <v>1641</v>
      </c>
      <c r="E51" s="26">
        <f>+VLOOKUP(F51,'[3]Codes &amp; Descr. SFICS25'!D:E,2,FALSE)</f>
        <v>2204</v>
      </c>
      <c r="F51" s="26" t="s">
        <v>1747</v>
      </c>
      <c r="G51" s="26">
        <f>VLOOKUP(H51,'[3]Codes &amp; Descr. SFICS25'!F:H,2,FALSE)</f>
        <v>220401</v>
      </c>
      <c r="H51" s="26" t="s">
        <v>1748</v>
      </c>
      <c r="I51" s="26" t="s">
        <v>1749</v>
      </c>
      <c r="J51" s="26" t="s">
        <v>1750</v>
      </c>
      <c r="K51" s="26" t="s">
        <v>1751</v>
      </c>
      <c r="L51" s="42" t="s">
        <v>399</v>
      </c>
      <c r="M51" s="29" t="s">
        <v>1402</v>
      </c>
      <c r="N51" s="99" t="s">
        <v>1752</v>
      </c>
      <c r="O51" s="99" t="s">
        <v>1753</v>
      </c>
      <c r="P51" s="31" t="s">
        <v>1596</v>
      </c>
      <c r="Q51" s="31" t="s">
        <v>1754</v>
      </c>
      <c r="R51" s="99" t="s">
        <v>1410</v>
      </c>
      <c r="S51" s="99" t="s">
        <v>1410</v>
      </c>
      <c r="T51" s="100" t="s">
        <v>1649</v>
      </c>
      <c r="U51" s="33" t="s">
        <v>1546</v>
      </c>
      <c r="V51" s="33" t="s">
        <v>1413</v>
      </c>
      <c r="W51" s="34">
        <v>0</v>
      </c>
      <c r="X51" s="34">
        <v>0</v>
      </c>
      <c r="Y51" s="34">
        <v>0</v>
      </c>
      <c r="Z51" s="34">
        <v>0</v>
      </c>
      <c r="AA51" s="34">
        <f t="shared" si="0"/>
        <v>1</v>
      </c>
      <c r="AB51" s="34">
        <v>0</v>
      </c>
    </row>
    <row r="52" spans="1:29" ht="39.75" customHeight="1">
      <c r="B52" s="148">
        <v>49</v>
      </c>
      <c r="C52" s="26">
        <f>VLOOKUP(D52,'[3]Codes &amp; Descr. SFICS25'!B:C,2,FALSE)</f>
        <v>22</v>
      </c>
      <c r="D52" s="26" t="s">
        <v>1641</v>
      </c>
      <c r="E52" s="26">
        <f>+VLOOKUP(F52,'[3]Codes &amp; Descr. SFICS25'!D:E,2,FALSE)</f>
        <v>2204</v>
      </c>
      <c r="F52" s="26" t="s">
        <v>1747</v>
      </c>
      <c r="G52" s="26">
        <f>VLOOKUP(H52,'[3]Codes &amp; Descr. SFICS25'!F:H,2,FALSE)</f>
        <v>220402</v>
      </c>
      <c r="H52" s="26" t="s">
        <v>1755</v>
      </c>
      <c r="I52" s="26" t="s">
        <v>1756</v>
      </c>
      <c r="J52" s="26" t="s">
        <v>1757</v>
      </c>
      <c r="K52" s="26" t="s">
        <v>1758</v>
      </c>
      <c r="L52" s="42" t="s">
        <v>406</v>
      </c>
      <c r="M52" s="29" t="s">
        <v>1402</v>
      </c>
      <c r="N52" s="99" t="s">
        <v>1759</v>
      </c>
      <c r="O52" s="99" t="s">
        <v>1760</v>
      </c>
      <c r="P52" s="31" t="s">
        <v>1410</v>
      </c>
      <c r="Q52" s="31" t="s">
        <v>1761</v>
      </c>
      <c r="R52" s="99" t="s">
        <v>1410</v>
      </c>
      <c r="S52" s="99" t="s">
        <v>1410</v>
      </c>
      <c r="T52" s="100" t="s">
        <v>1649</v>
      </c>
      <c r="U52" s="33" t="s">
        <v>1546</v>
      </c>
      <c r="V52" s="69">
        <v>0</v>
      </c>
      <c r="W52" s="34">
        <v>0</v>
      </c>
      <c r="X52" s="34">
        <v>0</v>
      </c>
      <c r="Y52" s="34">
        <v>0</v>
      </c>
      <c r="Z52" s="34">
        <v>0</v>
      </c>
      <c r="AA52" s="34">
        <f t="shared" si="0"/>
        <v>1</v>
      </c>
      <c r="AB52" s="34">
        <v>0</v>
      </c>
      <c r="AC52" s="41"/>
    </row>
    <row r="53" spans="1:29" ht="39.75" customHeight="1">
      <c r="B53" s="148">
        <v>50</v>
      </c>
      <c r="C53" s="26">
        <f>VLOOKUP(D53,'[3]Codes &amp; Descr. SFICS25'!B:C,2,FALSE)</f>
        <v>22</v>
      </c>
      <c r="D53" s="26" t="s">
        <v>1641</v>
      </c>
      <c r="E53" s="26">
        <f>+VLOOKUP(F53,'[3]Codes &amp; Descr. SFICS25'!D:E,2,FALSE)</f>
        <v>2204</v>
      </c>
      <c r="F53" s="26" t="s">
        <v>1747</v>
      </c>
      <c r="G53" s="26">
        <f>VLOOKUP(H53,'[3]Codes &amp; Descr. SFICS25'!F:H,2,FALSE)</f>
        <v>220403</v>
      </c>
      <c r="H53" s="26" t="s">
        <v>1762</v>
      </c>
      <c r="I53" s="26" t="s">
        <v>1763</v>
      </c>
      <c r="J53" s="26" t="s">
        <v>1764</v>
      </c>
      <c r="K53" s="26" t="s">
        <v>1765</v>
      </c>
      <c r="L53" s="42" t="s">
        <v>412</v>
      </c>
      <c r="M53" s="29" t="s">
        <v>1402</v>
      </c>
      <c r="N53" s="99" t="s">
        <v>1766</v>
      </c>
      <c r="O53" s="99" t="s">
        <v>1767</v>
      </c>
      <c r="P53" s="31" t="s">
        <v>1768</v>
      </c>
      <c r="Q53" s="31" t="s">
        <v>1769</v>
      </c>
      <c r="R53" s="99" t="s">
        <v>1410</v>
      </c>
      <c r="S53" s="99" t="s">
        <v>1410</v>
      </c>
      <c r="T53" s="100" t="s">
        <v>1649</v>
      </c>
      <c r="U53" s="33" t="s">
        <v>1546</v>
      </c>
      <c r="V53" s="33" t="s">
        <v>1413</v>
      </c>
      <c r="W53" s="34">
        <v>0</v>
      </c>
      <c r="X53" s="34">
        <v>0</v>
      </c>
      <c r="Y53" s="34">
        <v>0</v>
      </c>
      <c r="Z53" s="34">
        <v>0</v>
      </c>
      <c r="AA53" s="34">
        <f t="shared" si="0"/>
        <v>1</v>
      </c>
      <c r="AB53" s="34">
        <v>0</v>
      </c>
      <c r="AC53" s="41"/>
    </row>
    <row r="54" spans="1:29" ht="39.75" customHeight="1">
      <c r="B54" s="148">
        <v>51</v>
      </c>
      <c r="C54" s="26">
        <f>VLOOKUP(D54,'[3]Codes &amp; Descr. SFICS25'!B:C,2,FALSE)</f>
        <v>22</v>
      </c>
      <c r="D54" s="26" t="s">
        <v>1641</v>
      </c>
      <c r="E54" s="26">
        <f>+VLOOKUP(F54,'[3]Codes &amp; Descr. SFICS25'!D:E,2,FALSE)</f>
        <v>2204</v>
      </c>
      <c r="F54" s="26" t="s">
        <v>1747</v>
      </c>
      <c r="G54" s="26">
        <f>VLOOKUP(H54,'[3]Codes &amp; Descr. SFICS25'!F:H,2,FALSE)</f>
        <v>220404</v>
      </c>
      <c r="H54" s="26" t="s">
        <v>1770</v>
      </c>
      <c r="I54" s="26" t="s">
        <v>1771</v>
      </c>
      <c r="J54" s="26" t="s">
        <v>1772</v>
      </c>
      <c r="K54" s="26" t="s">
        <v>1773</v>
      </c>
      <c r="L54" s="42" t="s">
        <v>420</v>
      </c>
      <c r="M54" s="29" t="s">
        <v>1402</v>
      </c>
      <c r="N54" s="99" t="s">
        <v>1774</v>
      </c>
      <c r="O54" s="99" t="s">
        <v>1775</v>
      </c>
      <c r="P54" s="31" t="s">
        <v>1410</v>
      </c>
      <c r="Q54" s="31" t="s">
        <v>1776</v>
      </c>
      <c r="R54" s="99" t="s">
        <v>1410</v>
      </c>
      <c r="S54" s="99" t="s">
        <v>1410</v>
      </c>
      <c r="T54" s="100" t="s">
        <v>1649</v>
      </c>
      <c r="U54" s="33" t="s">
        <v>1546</v>
      </c>
      <c r="V54" s="34">
        <v>0</v>
      </c>
      <c r="W54" s="34">
        <v>0</v>
      </c>
      <c r="X54" s="34">
        <v>0</v>
      </c>
      <c r="Y54" s="34">
        <v>0</v>
      </c>
      <c r="Z54" s="34">
        <v>0</v>
      </c>
      <c r="AA54" s="34">
        <f t="shared" si="0"/>
        <v>1</v>
      </c>
      <c r="AB54" s="34">
        <v>0</v>
      </c>
    </row>
    <row r="55" spans="1:29" ht="39.75" customHeight="1">
      <c r="B55" s="148">
        <v>52</v>
      </c>
      <c r="C55" s="26">
        <f>VLOOKUP(D55,'[3]Codes &amp; Descr. SFICS25'!B:C,2,FALSE)</f>
        <v>22</v>
      </c>
      <c r="D55" s="26" t="s">
        <v>1641</v>
      </c>
      <c r="E55" s="26">
        <f>+VLOOKUP(F55,'[3]Codes &amp; Descr. SFICS25'!D:E,2,FALSE)</f>
        <v>2204</v>
      </c>
      <c r="F55" s="26" t="s">
        <v>1747</v>
      </c>
      <c r="G55" s="26">
        <f>VLOOKUP(H55,'[3]Codes &amp; Descr. SFICS25'!F:H,2,FALSE)</f>
        <v>220405</v>
      </c>
      <c r="H55" s="26" t="s">
        <v>1777</v>
      </c>
      <c r="I55" s="26" t="s">
        <v>1778</v>
      </c>
      <c r="J55" s="26" t="s">
        <v>1779</v>
      </c>
      <c r="K55" s="26" t="s">
        <v>1780</v>
      </c>
      <c r="L55" s="42" t="s">
        <v>427</v>
      </c>
      <c r="M55" s="29" t="s">
        <v>1402</v>
      </c>
      <c r="N55" s="99" t="s">
        <v>1781</v>
      </c>
      <c r="O55" s="99" t="s">
        <v>1782</v>
      </c>
      <c r="P55" s="31" t="s">
        <v>1783</v>
      </c>
      <c r="Q55" s="31" t="s">
        <v>1784</v>
      </c>
      <c r="R55" s="99" t="s">
        <v>1410</v>
      </c>
      <c r="S55" s="99" t="s">
        <v>1410</v>
      </c>
      <c r="T55" s="100" t="s">
        <v>1649</v>
      </c>
      <c r="U55" s="33" t="s">
        <v>1546</v>
      </c>
      <c r="V55" s="33" t="s">
        <v>1413</v>
      </c>
      <c r="W55" s="34">
        <v>0</v>
      </c>
      <c r="X55" s="34">
        <v>0</v>
      </c>
      <c r="Y55" s="34">
        <v>0</v>
      </c>
      <c r="Z55" s="34">
        <v>0</v>
      </c>
      <c r="AA55" s="34">
        <f t="shared" si="0"/>
        <v>1</v>
      </c>
      <c r="AB55" s="34">
        <v>0</v>
      </c>
    </row>
    <row r="56" spans="1:29" ht="39.75" customHeight="1">
      <c r="B56" s="148">
        <v>53</v>
      </c>
      <c r="C56" s="26">
        <f>VLOOKUP(D56,'[3]Codes &amp; Descr. SFICS25'!B:C,2,FALSE)</f>
        <v>22</v>
      </c>
      <c r="D56" s="26" t="s">
        <v>1641</v>
      </c>
      <c r="E56" s="26">
        <f>+VLOOKUP(F56,'[3]Codes &amp; Descr. SFICS25'!D:E,2,FALSE)</f>
        <v>2205</v>
      </c>
      <c r="F56" s="26" t="s">
        <v>1785</v>
      </c>
      <c r="G56" s="26">
        <f>VLOOKUP(H56,'[3]Codes &amp; Descr. SFICS25'!F:H,2,FALSE)</f>
        <v>220501</v>
      </c>
      <c r="H56" s="26" t="s">
        <v>1786</v>
      </c>
      <c r="I56" s="26" t="s">
        <v>1787</v>
      </c>
      <c r="J56" s="26" t="s">
        <v>1788</v>
      </c>
      <c r="K56" s="26" t="s">
        <v>1789</v>
      </c>
      <c r="L56" s="42" t="s">
        <v>281</v>
      </c>
      <c r="M56" s="29" t="s">
        <v>1402</v>
      </c>
      <c r="N56" s="99" t="s">
        <v>1410</v>
      </c>
      <c r="O56" s="99" t="s">
        <v>1410</v>
      </c>
      <c r="P56" s="31" t="s">
        <v>1790</v>
      </c>
      <c r="Q56" s="31" t="s">
        <v>1410</v>
      </c>
      <c r="R56" s="99" t="s">
        <v>1410</v>
      </c>
      <c r="S56" s="99" t="s">
        <v>1410</v>
      </c>
      <c r="T56" s="100" t="s">
        <v>1649</v>
      </c>
      <c r="U56" s="34">
        <v>0</v>
      </c>
      <c r="V56" s="34">
        <v>0</v>
      </c>
      <c r="W56" s="34">
        <v>0</v>
      </c>
      <c r="X56" s="34">
        <v>0</v>
      </c>
      <c r="Y56" s="34">
        <v>0</v>
      </c>
      <c r="Z56" s="34">
        <v>0</v>
      </c>
      <c r="AA56" s="34">
        <f t="shared" si="0"/>
        <v>1</v>
      </c>
      <c r="AB56" s="34">
        <v>0</v>
      </c>
    </row>
    <row r="57" spans="1:29" ht="390">
      <c r="A57" s="101"/>
      <c r="B57" s="148">
        <v>54</v>
      </c>
      <c r="C57" s="26">
        <f>VLOOKUP(D57,'[3]Codes &amp; Descr. SFICS25'!B:C,2,FALSE)</f>
        <v>23</v>
      </c>
      <c r="D57" s="26" t="s">
        <v>1791</v>
      </c>
      <c r="E57" s="26">
        <f>+VLOOKUP(F57,'[3]Codes &amp; Descr. SFICS25'!D:E,2,FALSE)</f>
        <v>2301</v>
      </c>
      <c r="F57" s="26" t="s">
        <v>1792</v>
      </c>
      <c r="G57" s="26">
        <f>VLOOKUP(H57,'[3]Codes &amp; Descr. SFICS25'!F:H,2,FALSE)</f>
        <v>230102</v>
      </c>
      <c r="H57" s="26" t="s">
        <v>1793</v>
      </c>
      <c r="I57" s="26" t="s">
        <v>1794</v>
      </c>
      <c r="J57" s="26" t="s">
        <v>1795</v>
      </c>
      <c r="K57" s="26" t="s">
        <v>1796</v>
      </c>
      <c r="L57" s="28" t="s">
        <v>436</v>
      </c>
      <c r="M57" s="29" t="s">
        <v>1402</v>
      </c>
      <c r="N57" s="99" t="s">
        <v>1797</v>
      </c>
      <c r="O57" s="99" t="s">
        <v>1798</v>
      </c>
      <c r="P57" s="194" t="s">
        <v>1799</v>
      </c>
      <c r="Q57" s="31" t="s">
        <v>1800</v>
      </c>
      <c r="R57" s="99" t="s">
        <v>1410</v>
      </c>
      <c r="S57" s="99" t="s">
        <v>1410</v>
      </c>
      <c r="T57" s="100" t="s">
        <v>1801</v>
      </c>
      <c r="U57" s="33" t="s">
        <v>1413</v>
      </c>
      <c r="V57" s="33" t="s">
        <v>1413</v>
      </c>
      <c r="W57" s="33">
        <v>0</v>
      </c>
      <c r="X57" s="33" t="s">
        <v>1413</v>
      </c>
      <c r="Y57" s="33">
        <v>0</v>
      </c>
      <c r="Z57" s="33">
        <v>0</v>
      </c>
      <c r="AA57" s="33">
        <f t="shared" si="0"/>
        <v>1</v>
      </c>
      <c r="AB57" s="33">
        <v>0</v>
      </c>
      <c r="AC57" s="1" t="s">
        <v>383</v>
      </c>
    </row>
    <row r="58" spans="1:29" ht="409.5">
      <c r="A58" s="101"/>
      <c r="B58" s="148">
        <v>55</v>
      </c>
      <c r="C58" s="26">
        <f>VLOOKUP(D58,'[3]Codes &amp; Descr. SFICS25'!B:C,2,FALSE)</f>
        <v>23</v>
      </c>
      <c r="D58" s="26" t="s">
        <v>1791</v>
      </c>
      <c r="E58" s="26">
        <f>+VLOOKUP(F58,'[3]Codes &amp; Descr. SFICS25'!D:E,2,FALSE)</f>
        <v>2301</v>
      </c>
      <c r="F58" s="26" t="s">
        <v>1792</v>
      </c>
      <c r="G58" s="26">
        <f>VLOOKUP(H58,'[3]Codes &amp; Descr. SFICS25'!F:H,2,FALSE)</f>
        <v>230103</v>
      </c>
      <c r="H58" s="26" t="s">
        <v>1802</v>
      </c>
      <c r="I58" s="26" t="s">
        <v>1803</v>
      </c>
      <c r="J58" s="26" t="s">
        <v>1804</v>
      </c>
      <c r="K58" s="26" t="s">
        <v>1805</v>
      </c>
      <c r="L58" s="28" t="s">
        <v>436</v>
      </c>
      <c r="M58" s="29" t="s">
        <v>1402</v>
      </c>
      <c r="N58" s="99" t="s">
        <v>1806</v>
      </c>
      <c r="O58" s="99" t="s">
        <v>1807</v>
      </c>
      <c r="P58" s="194" t="s">
        <v>1808</v>
      </c>
      <c r="Q58" s="31" t="s">
        <v>1809</v>
      </c>
      <c r="R58" s="99" t="s">
        <v>1410</v>
      </c>
      <c r="S58" s="99" t="s">
        <v>1410</v>
      </c>
      <c r="T58" s="100" t="s">
        <v>1801</v>
      </c>
      <c r="U58" s="33" t="s">
        <v>1413</v>
      </c>
      <c r="V58" s="33" t="s">
        <v>1413</v>
      </c>
      <c r="W58" s="34">
        <v>0</v>
      </c>
      <c r="X58" s="33" t="s">
        <v>1413</v>
      </c>
      <c r="Y58" s="34">
        <v>0</v>
      </c>
      <c r="Z58" s="34">
        <v>0</v>
      </c>
      <c r="AA58" s="34">
        <f t="shared" si="0"/>
        <v>1</v>
      </c>
      <c r="AB58" s="34">
        <v>0</v>
      </c>
      <c r="AC58" s="1" t="s">
        <v>383</v>
      </c>
    </row>
    <row r="59" spans="1:29" ht="380">
      <c r="A59" s="101"/>
      <c r="B59" s="148">
        <v>56</v>
      </c>
      <c r="C59" s="26">
        <f>VLOOKUP(D59,'[3]Codes &amp; Descr. SFICS25'!B:C,2,FALSE)</f>
        <v>23</v>
      </c>
      <c r="D59" s="26" t="s">
        <v>1791</v>
      </c>
      <c r="E59" s="26">
        <f>+VLOOKUP(F59,'[3]Codes &amp; Descr. SFICS25'!D:E,2,FALSE)</f>
        <v>2301</v>
      </c>
      <c r="F59" s="26" t="s">
        <v>1792</v>
      </c>
      <c r="G59" s="26">
        <f>VLOOKUP(H59,'[3]Codes &amp; Descr. SFICS25'!F:H,2,FALSE)</f>
        <v>230104</v>
      </c>
      <c r="H59" s="26" t="s">
        <v>1810</v>
      </c>
      <c r="I59" s="26" t="s">
        <v>1811</v>
      </c>
      <c r="J59" s="26" t="s">
        <v>1812</v>
      </c>
      <c r="K59" s="26" t="s">
        <v>1813</v>
      </c>
      <c r="L59" s="28" t="s">
        <v>436</v>
      </c>
      <c r="M59" s="29" t="s">
        <v>1402</v>
      </c>
      <c r="N59" s="99" t="s">
        <v>1814</v>
      </c>
      <c r="O59" s="99" t="s">
        <v>1815</v>
      </c>
      <c r="P59" s="194" t="s">
        <v>1816</v>
      </c>
      <c r="Q59" s="31" t="s">
        <v>1817</v>
      </c>
      <c r="R59" s="99" t="s">
        <v>1410</v>
      </c>
      <c r="S59" s="99" t="s">
        <v>1410</v>
      </c>
      <c r="T59" s="100" t="s">
        <v>1801</v>
      </c>
      <c r="U59" s="33" t="s">
        <v>1413</v>
      </c>
      <c r="V59" s="33" t="s">
        <v>1413</v>
      </c>
      <c r="W59" s="34">
        <v>0</v>
      </c>
      <c r="X59" s="33" t="s">
        <v>1413</v>
      </c>
      <c r="Y59" s="34">
        <v>0</v>
      </c>
      <c r="Z59" s="34">
        <v>0</v>
      </c>
      <c r="AA59" s="34">
        <f t="shared" si="0"/>
        <v>1</v>
      </c>
      <c r="AB59" s="34">
        <v>0</v>
      </c>
    </row>
    <row r="60" spans="1:29" ht="409.5">
      <c r="A60" s="101"/>
      <c r="B60" s="148">
        <v>57</v>
      </c>
      <c r="C60" s="26">
        <f>VLOOKUP(D60,'[3]Codes &amp; Descr. SFICS25'!B:C,2,FALSE)</f>
        <v>23</v>
      </c>
      <c r="D60" s="26" t="s">
        <v>1791</v>
      </c>
      <c r="E60" s="26">
        <f>+VLOOKUP(F60,'[3]Codes &amp; Descr. SFICS25'!D:E,2,FALSE)</f>
        <v>2301</v>
      </c>
      <c r="F60" s="26" t="s">
        <v>1792</v>
      </c>
      <c r="G60" s="26">
        <f>VLOOKUP(H60,'[3]Codes &amp; Descr. SFICS25'!F:H,2,FALSE)</f>
        <v>230105</v>
      </c>
      <c r="H60" s="26" t="s">
        <v>1818</v>
      </c>
      <c r="I60" s="26" t="s">
        <v>1819</v>
      </c>
      <c r="J60" s="26" t="s">
        <v>1820</v>
      </c>
      <c r="K60" s="26" t="s">
        <v>1821</v>
      </c>
      <c r="L60" s="28" t="s">
        <v>436</v>
      </c>
      <c r="M60" s="29" t="s">
        <v>1402</v>
      </c>
      <c r="N60" s="99" t="s">
        <v>1822</v>
      </c>
      <c r="O60" s="99" t="s">
        <v>1823</v>
      </c>
      <c r="P60" s="194" t="s">
        <v>1824</v>
      </c>
      <c r="Q60" s="31" t="s">
        <v>1825</v>
      </c>
      <c r="R60" s="99" t="s">
        <v>1410</v>
      </c>
      <c r="S60" s="99" t="s">
        <v>1410</v>
      </c>
      <c r="T60" s="100" t="s">
        <v>1801</v>
      </c>
      <c r="U60" s="33" t="s">
        <v>1413</v>
      </c>
      <c r="V60" s="33" t="s">
        <v>1413</v>
      </c>
      <c r="W60" s="34">
        <v>0</v>
      </c>
      <c r="X60" s="33" t="s">
        <v>1413</v>
      </c>
      <c r="Y60" s="34">
        <v>0</v>
      </c>
      <c r="Z60" s="34">
        <v>0</v>
      </c>
      <c r="AA60" s="34">
        <f t="shared" si="0"/>
        <v>1</v>
      </c>
      <c r="AB60" s="34">
        <v>0</v>
      </c>
    </row>
    <row r="61" spans="1:29" ht="409.5">
      <c r="A61" s="101"/>
      <c r="B61" s="148">
        <v>58</v>
      </c>
      <c r="C61" s="26">
        <f>VLOOKUP(D61,'[3]Codes &amp; Descr. SFICS25'!B:C,2,FALSE)</f>
        <v>23</v>
      </c>
      <c r="D61" s="26" t="s">
        <v>1791</v>
      </c>
      <c r="E61" s="26">
        <f>+VLOOKUP(F61,'[3]Codes &amp; Descr. SFICS25'!D:E,2,FALSE)</f>
        <v>2301</v>
      </c>
      <c r="F61" s="26" t="s">
        <v>1792</v>
      </c>
      <c r="G61" s="26">
        <f>VLOOKUP(H61,'[3]Codes &amp; Descr. SFICS25'!F:H,2,FALSE)</f>
        <v>230106</v>
      </c>
      <c r="H61" s="26" t="s">
        <v>1826</v>
      </c>
      <c r="I61" s="26" t="s">
        <v>1827</v>
      </c>
      <c r="J61" s="26" t="s">
        <v>1828</v>
      </c>
      <c r="K61" s="26" t="s">
        <v>1829</v>
      </c>
      <c r="L61" s="28" t="s">
        <v>436</v>
      </c>
      <c r="M61" s="29" t="s">
        <v>1402</v>
      </c>
      <c r="N61" s="99" t="s">
        <v>1830</v>
      </c>
      <c r="O61" s="99" t="s">
        <v>1831</v>
      </c>
      <c r="P61" s="194" t="s">
        <v>1832</v>
      </c>
      <c r="Q61" s="31" t="s">
        <v>1833</v>
      </c>
      <c r="R61" s="99" t="s">
        <v>1410</v>
      </c>
      <c r="S61" s="99" t="s">
        <v>1410</v>
      </c>
      <c r="T61" s="100" t="s">
        <v>1801</v>
      </c>
      <c r="U61" s="33" t="s">
        <v>1413</v>
      </c>
      <c r="V61" s="33" t="s">
        <v>1413</v>
      </c>
      <c r="W61" s="34">
        <v>0</v>
      </c>
      <c r="X61" s="33" t="s">
        <v>1413</v>
      </c>
      <c r="Y61" s="34">
        <v>0</v>
      </c>
      <c r="Z61" s="34">
        <v>0</v>
      </c>
      <c r="AA61" s="34">
        <f t="shared" si="0"/>
        <v>1</v>
      </c>
      <c r="AB61" s="34">
        <v>0</v>
      </c>
    </row>
    <row r="62" spans="1:29" ht="409.5">
      <c r="A62" s="101"/>
      <c r="B62" s="148">
        <v>59</v>
      </c>
      <c r="C62" s="26">
        <f>VLOOKUP(D62,'[3]Codes &amp; Descr. SFICS25'!B:C,2,FALSE)</f>
        <v>23</v>
      </c>
      <c r="D62" s="26" t="s">
        <v>1791</v>
      </c>
      <c r="E62" s="26">
        <f>+VLOOKUP(F62,'[3]Codes &amp; Descr. SFICS25'!D:E,2,FALSE)</f>
        <v>2301</v>
      </c>
      <c r="F62" s="26" t="s">
        <v>1792</v>
      </c>
      <c r="G62" s="26">
        <f>VLOOKUP(H62,'[3]Codes &amp; Descr. SFICS25'!F:H,2,FALSE)</f>
        <v>230107</v>
      </c>
      <c r="H62" s="26" t="s">
        <v>1834</v>
      </c>
      <c r="I62" s="26" t="s">
        <v>1835</v>
      </c>
      <c r="J62" s="26" t="s">
        <v>1836</v>
      </c>
      <c r="K62" s="26" t="s">
        <v>1837</v>
      </c>
      <c r="L62" s="28" t="s">
        <v>436</v>
      </c>
      <c r="M62" s="29" t="s">
        <v>1402</v>
      </c>
      <c r="N62" s="99" t="s">
        <v>1822</v>
      </c>
      <c r="O62" s="99" t="s">
        <v>1838</v>
      </c>
      <c r="P62" s="194" t="s">
        <v>1839</v>
      </c>
      <c r="Q62" s="31" t="s">
        <v>1840</v>
      </c>
      <c r="R62" s="99" t="s">
        <v>1410</v>
      </c>
      <c r="S62" s="99" t="s">
        <v>1410</v>
      </c>
      <c r="T62" s="100" t="s">
        <v>1801</v>
      </c>
      <c r="U62" s="33" t="s">
        <v>1413</v>
      </c>
      <c r="V62" s="33" t="s">
        <v>1413</v>
      </c>
      <c r="W62" s="34">
        <v>0</v>
      </c>
      <c r="X62" s="33" t="s">
        <v>1413</v>
      </c>
      <c r="Y62" s="34">
        <v>0</v>
      </c>
      <c r="Z62" s="34">
        <v>0</v>
      </c>
      <c r="AA62" s="34">
        <f t="shared" si="0"/>
        <v>1</v>
      </c>
      <c r="AB62" s="34">
        <v>0</v>
      </c>
    </row>
    <row r="63" spans="1:29" ht="390">
      <c r="A63" s="101"/>
      <c r="B63" s="148">
        <v>60</v>
      </c>
      <c r="C63" s="26">
        <f>VLOOKUP(D63,'[3]Codes &amp; Descr. SFICS25'!B:C,2,FALSE)</f>
        <v>23</v>
      </c>
      <c r="D63" s="26" t="s">
        <v>1791</v>
      </c>
      <c r="E63" s="26">
        <f>+VLOOKUP(F63,'[3]Codes &amp; Descr. SFICS25'!D:E,2,FALSE)</f>
        <v>2301</v>
      </c>
      <c r="F63" s="26" t="s">
        <v>1792</v>
      </c>
      <c r="G63" s="26">
        <f>VLOOKUP(H63,'[3]Codes &amp; Descr. SFICS25'!F:H,2,FALSE)</f>
        <v>230108</v>
      </c>
      <c r="H63" s="26" t="s">
        <v>1841</v>
      </c>
      <c r="I63" s="26" t="s">
        <v>1842</v>
      </c>
      <c r="J63" s="26" t="s">
        <v>1843</v>
      </c>
      <c r="K63" s="26" t="s">
        <v>1844</v>
      </c>
      <c r="L63" s="28" t="s">
        <v>436</v>
      </c>
      <c r="M63" s="29" t="s">
        <v>1402</v>
      </c>
      <c r="N63" s="99" t="s">
        <v>1830</v>
      </c>
      <c r="O63" s="99" t="s">
        <v>1845</v>
      </c>
      <c r="P63" s="194" t="s">
        <v>1846</v>
      </c>
      <c r="Q63" s="31" t="s">
        <v>1847</v>
      </c>
      <c r="R63" s="99" t="s">
        <v>1410</v>
      </c>
      <c r="S63" s="99" t="s">
        <v>1410</v>
      </c>
      <c r="T63" s="100" t="s">
        <v>1801</v>
      </c>
      <c r="U63" s="33" t="s">
        <v>1413</v>
      </c>
      <c r="V63" s="33" t="s">
        <v>1413</v>
      </c>
      <c r="W63" s="34">
        <v>0</v>
      </c>
      <c r="X63" s="33" t="s">
        <v>1413</v>
      </c>
      <c r="Y63" s="34">
        <v>0</v>
      </c>
      <c r="Z63" s="34">
        <v>0</v>
      </c>
      <c r="AA63" s="34">
        <f t="shared" si="0"/>
        <v>1</v>
      </c>
      <c r="AB63" s="34">
        <v>0</v>
      </c>
    </row>
    <row r="64" spans="1:29" ht="409.5">
      <c r="A64" s="101"/>
      <c r="B64" s="148">
        <v>61</v>
      </c>
      <c r="C64" s="26">
        <f>VLOOKUP(D64,'[3]Codes &amp; Descr. SFICS25'!B:C,2,FALSE)</f>
        <v>23</v>
      </c>
      <c r="D64" s="26" t="s">
        <v>1791</v>
      </c>
      <c r="E64" s="26">
        <f>+VLOOKUP(F64,'[3]Codes &amp; Descr. SFICS25'!D:E,2,FALSE)</f>
        <v>2301</v>
      </c>
      <c r="F64" s="26" t="s">
        <v>1792</v>
      </c>
      <c r="G64" s="26">
        <f>VLOOKUP(H64,'[3]Codes &amp; Descr. SFICS25'!F:H,2,FALSE)</f>
        <v>230109</v>
      </c>
      <c r="H64" s="26" t="s">
        <v>1848</v>
      </c>
      <c r="I64" s="26" t="s">
        <v>1849</v>
      </c>
      <c r="J64" s="26" t="s">
        <v>1850</v>
      </c>
      <c r="K64" s="26" t="s">
        <v>1851</v>
      </c>
      <c r="L64" s="28" t="s">
        <v>436</v>
      </c>
      <c r="M64" s="29" t="s">
        <v>1402</v>
      </c>
      <c r="N64" s="99" t="s">
        <v>1852</v>
      </c>
      <c r="O64" s="99" t="s">
        <v>1853</v>
      </c>
      <c r="P64" s="194" t="s">
        <v>1854</v>
      </c>
      <c r="Q64" s="31" t="s">
        <v>1855</v>
      </c>
      <c r="R64" s="99" t="s">
        <v>1410</v>
      </c>
      <c r="S64" s="99" t="s">
        <v>1410</v>
      </c>
      <c r="T64" s="100" t="s">
        <v>1801</v>
      </c>
      <c r="U64" s="33" t="s">
        <v>1413</v>
      </c>
      <c r="V64" s="33" t="s">
        <v>1413</v>
      </c>
      <c r="W64" s="34">
        <v>0</v>
      </c>
      <c r="X64" s="33" t="s">
        <v>1413</v>
      </c>
      <c r="Y64" s="34">
        <v>0</v>
      </c>
      <c r="Z64" s="34">
        <v>0</v>
      </c>
      <c r="AA64" s="34">
        <f t="shared" si="0"/>
        <v>1</v>
      </c>
      <c r="AB64" s="34">
        <v>0</v>
      </c>
      <c r="AC64" s="1" t="s">
        <v>383</v>
      </c>
    </row>
    <row r="65" spans="1:29" ht="409.5">
      <c r="A65" s="101"/>
      <c r="B65" s="148">
        <v>62</v>
      </c>
      <c r="C65" s="26">
        <f>VLOOKUP(D65,'[3]Codes &amp; Descr. SFICS25'!B:C,2,FALSE)</f>
        <v>23</v>
      </c>
      <c r="D65" s="26" t="s">
        <v>1791</v>
      </c>
      <c r="E65" s="26">
        <f>+VLOOKUP(F65,'[3]Codes &amp; Descr. SFICS25'!D:E,2,FALSE)</f>
        <v>2301</v>
      </c>
      <c r="F65" s="26" t="s">
        <v>1792</v>
      </c>
      <c r="G65" s="26">
        <f>VLOOKUP(H65,'[3]Codes &amp; Descr. SFICS25'!F:H,2,FALSE)</f>
        <v>230110</v>
      </c>
      <c r="H65" s="26" t="s">
        <v>1856</v>
      </c>
      <c r="I65" s="26" t="s">
        <v>1857</v>
      </c>
      <c r="J65" s="26" t="s">
        <v>1858</v>
      </c>
      <c r="K65" s="26" t="s">
        <v>1859</v>
      </c>
      <c r="L65" s="28" t="s">
        <v>436</v>
      </c>
      <c r="M65" s="29" t="s">
        <v>1402</v>
      </c>
      <c r="N65" s="99" t="s">
        <v>1822</v>
      </c>
      <c r="O65" s="99" t="s">
        <v>1860</v>
      </c>
      <c r="P65" s="194" t="s">
        <v>1854</v>
      </c>
      <c r="Q65" s="31" t="s">
        <v>1861</v>
      </c>
      <c r="R65" s="99" t="s">
        <v>1410</v>
      </c>
      <c r="S65" s="99" t="s">
        <v>1410</v>
      </c>
      <c r="T65" s="100" t="s">
        <v>1801</v>
      </c>
      <c r="U65" s="33" t="s">
        <v>1413</v>
      </c>
      <c r="V65" s="33" t="s">
        <v>1413</v>
      </c>
      <c r="W65" s="34">
        <v>0</v>
      </c>
      <c r="X65" s="33" t="s">
        <v>1413</v>
      </c>
      <c r="Y65" s="34">
        <v>0</v>
      </c>
      <c r="Z65" s="34">
        <v>0</v>
      </c>
      <c r="AA65" s="34">
        <f t="shared" si="0"/>
        <v>1</v>
      </c>
      <c r="AB65" s="34">
        <v>0</v>
      </c>
      <c r="AC65" s="1" t="s">
        <v>383</v>
      </c>
    </row>
    <row r="66" spans="1:29" ht="409.5">
      <c r="A66" s="103"/>
      <c r="B66" s="148">
        <v>63</v>
      </c>
      <c r="C66" s="26">
        <f>VLOOKUP(D66,'[3]Codes &amp; Descr. SFICS25'!B:C,2,FALSE)</f>
        <v>23</v>
      </c>
      <c r="D66" s="26" t="s">
        <v>1791</v>
      </c>
      <c r="E66" s="26">
        <f>+VLOOKUP(F66,'[3]Codes &amp; Descr. SFICS25'!D:E,2,FALSE)</f>
        <v>2302</v>
      </c>
      <c r="F66" s="26" t="s">
        <v>1862</v>
      </c>
      <c r="G66" s="26" t="str">
        <f>VLOOKUP(H66,'[3]Codes &amp; Descr. SFICS25'!F:H,2,FALSE)</f>
        <v>-</v>
      </c>
      <c r="H66" s="26" t="s">
        <v>507</v>
      </c>
      <c r="I66" s="26" t="s">
        <v>507</v>
      </c>
      <c r="J66" s="26" t="s">
        <v>1862</v>
      </c>
      <c r="K66" s="26" t="s">
        <v>1863</v>
      </c>
      <c r="L66" s="28" t="s">
        <v>509</v>
      </c>
      <c r="M66" s="29" t="s">
        <v>1402</v>
      </c>
      <c r="N66" s="99" t="s">
        <v>1864</v>
      </c>
      <c r="O66" s="99" t="s">
        <v>1865</v>
      </c>
      <c r="P66" s="194" t="s">
        <v>1866</v>
      </c>
      <c r="Q66" s="194" t="s">
        <v>1867</v>
      </c>
      <c r="R66" s="99" t="s">
        <v>1410</v>
      </c>
      <c r="S66" s="99" t="s">
        <v>1410</v>
      </c>
      <c r="T66" s="100" t="s">
        <v>1801</v>
      </c>
      <c r="U66" s="33" t="s">
        <v>1413</v>
      </c>
      <c r="V66" s="33" t="s">
        <v>1413</v>
      </c>
      <c r="W66" s="34">
        <v>0</v>
      </c>
      <c r="X66" s="33" t="s">
        <v>1413</v>
      </c>
      <c r="Y66" s="34">
        <v>0</v>
      </c>
      <c r="Z66" s="34">
        <v>0</v>
      </c>
      <c r="AA66" s="34">
        <f t="shared" si="0"/>
        <v>1</v>
      </c>
      <c r="AB66" s="34">
        <v>0</v>
      </c>
    </row>
    <row r="67" spans="1:29" ht="220">
      <c r="A67" s="101"/>
      <c r="B67" s="148">
        <v>64</v>
      </c>
      <c r="C67" s="26">
        <f>VLOOKUP(D67,'[3]Codes &amp; Descr. SFICS25'!B:C,2,FALSE)</f>
        <v>23</v>
      </c>
      <c r="D67" s="26" t="s">
        <v>1791</v>
      </c>
      <c r="E67" s="26">
        <f>+VLOOKUP(F67,'[3]Codes &amp; Descr. SFICS25'!D:E,2,FALSE)</f>
        <v>2304</v>
      </c>
      <c r="F67" s="26" t="s">
        <v>1868</v>
      </c>
      <c r="G67" s="26">
        <f>VLOOKUP(H67,'[3]Codes &amp; Descr. SFICS25'!F:H,2,FALSE)</f>
        <v>230401</v>
      </c>
      <c r="H67" s="26" t="s">
        <v>1869</v>
      </c>
      <c r="I67" s="26" t="s">
        <v>1870</v>
      </c>
      <c r="J67" s="26" t="s">
        <v>1871</v>
      </c>
      <c r="K67" s="26" t="s">
        <v>1872</v>
      </c>
      <c r="L67" s="28" t="s">
        <v>519</v>
      </c>
      <c r="M67" s="29" t="s">
        <v>1402</v>
      </c>
      <c r="N67" s="99" t="s">
        <v>1873</v>
      </c>
      <c r="O67" s="99" t="s">
        <v>1874</v>
      </c>
      <c r="P67" s="194" t="s">
        <v>1875</v>
      </c>
      <c r="Q67" s="31" t="s">
        <v>1876</v>
      </c>
      <c r="R67" s="99" t="s">
        <v>1410</v>
      </c>
      <c r="S67" s="99" t="s">
        <v>1410</v>
      </c>
      <c r="T67" s="100" t="s">
        <v>1801</v>
      </c>
      <c r="U67" s="33" t="s">
        <v>1413</v>
      </c>
      <c r="V67" s="33" t="s">
        <v>1413</v>
      </c>
      <c r="W67" s="34">
        <v>0</v>
      </c>
      <c r="X67" s="34">
        <v>0</v>
      </c>
      <c r="Y67" s="34">
        <v>0</v>
      </c>
      <c r="Z67" s="34">
        <v>0</v>
      </c>
      <c r="AA67" s="34">
        <f t="shared" si="0"/>
        <v>1</v>
      </c>
      <c r="AB67" s="34">
        <v>0</v>
      </c>
      <c r="AC67" s="1" t="s">
        <v>383</v>
      </c>
    </row>
    <row r="68" spans="1:29" ht="220">
      <c r="A68" s="101"/>
      <c r="B68" s="148">
        <v>65</v>
      </c>
      <c r="C68" s="26">
        <f>VLOOKUP(D68,'[3]Codes &amp; Descr. SFICS25'!B:C,2,FALSE)</f>
        <v>23</v>
      </c>
      <c r="D68" s="26" t="s">
        <v>1791</v>
      </c>
      <c r="E68" s="26">
        <f>+VLOOKUP(F68,'[3]Codes &amp; Descr. SFICS25'!D:E,2,FALSE)</f>
        <v>2304</v>
      </c>
      <c r="F68" s="26" t="s">
        <v>1868</v>
      </c>
      <c r="G68" s="26">
        <f>VLOOKUP(H68,'[3]Codes &amp; Descr. SFICS25'!F:H,2,FALSE)</f>
        <v>230402</v>
      </c>
      <c r="H68" s="26" t="s">
        <v>1877</v>
      </c>
      <c r="I68" s="26" t="s">
        <v>1878</v>
      </c>
      <c r="J68" s="26" t="s">
        <v>1879</v>
      </c>
      <c r="K68" s="26" t="s">
        <v>1880</v>
      </c>
      <c r="L68" s="28" t="s">
        <v>519</v>
      </c>
      <c r="M68" s="29" t="s">
        <v>1402</v>
      </c>
      <c r="N68" s="99" t="s">
        <v>1881</v>
      </c>
      <c r="O68" s="99" t="s">
        <v>1882</v>
      </c>
      <c r="P68" s="194" t="s">
        <v>1883</v>
      </c>
      <c r="Q68" s="31" t="s">
        <v>1884</v>
      </c>
      <c r="R68" s="99" t="s">
        <v>1410</v>
      </c>
      <c r="S68" s="99" t="s">
        <v>1410</v>
      </c>
      <c r="T68" s="100" t="s">
        <v>1801</v>
      </c>
      <c r="U68" s="33" t="s">
        <v>1413</v>
      </c>
      <c r="V68" s="33" t="s">
        <v>1413</v>
      </c>
      <c r="W68" s="34">
        <v>0</v>
      </c>
      <c r="X68" s="34">
        <v>0</v>
      </c>
      <c r="Y68" s="34">
        <v>0</v>
      </c>
      <c r="Z68" s="34">
        <v>0</v>
      </c>
      <c r="AA68" s="34">
        <f t="shared" ref="AA68:AA131" si="1">IF(P68="Not applicable",0,1)</f>
        <v>1</v>
      </c>
      <c r="AB68" s="34">
        <v>0</v>
      </c>
      <c r="AC68" s="1" t="s">
        <v>383</v>
      </c>
    </row>
    <row r="69" spans="1:29" ht="230">
      <c r="A69" s="101"/>
      <c r="B69" s="148">
        <v>66</v>
      </c>
      <c r="C69" s="26">
        <f>VLOOKUP(D69,'[3]Codes &amp; Descr. SFICS25'!B:C,2,FALSE)</f>
        <v>23</v>
      </c>
      <c r="D69" s="26" t="s">
        <v>1791</v>
      </c>
      <c r="E69" s="26">
        <f>+VLOOKUP(F69,'[3]Codes &amp; Descr. SFICS25'!D:E,2,FALSE)</f>
        <v>2304</v>
      </c>
      <c r="F69" s="26" t="s">
        <v>1868</v>
      </c>
      <c r="G69" s="26">
        <f>VLOOKUP(H69,'[3]Codes &amp; Descr. SFICS25'!F:H,2,FALSE)</f>
        <v>230403</v>
      </c>
      <c r="H69" s="26" t="s">
        <v>1885</v>
      </c>
      <c r="I69" s="26" t="s">
        <v>1886</v>
      </c>
      <c r="J69" s="26" t="s">
        <v>1887</v>
      </c>
      <c r="K69" s="26" t="s">
        <v>1888</v>
      </c>
      <c r="L69" s="28" t="s">
        <v>519</v>
      </c>
      <c r="M69" s="29" t="s">
        <v>1402</v>
      </c>
      <c r="N69" s="99" t="s">
        <v>1873</v>
      </c>
      <c r="O69" s="99" t="s">
        <v>1889</v>
      </c>
      <c r="P69" s="194" t="s">
        <v>1890</v>
      </c>
      <c r="Q69" s="31" t="s">
        <v>1891</v>
      </c>
      <c r="R69" s="99" t="s">
        <v>1410</v>
      </c>
      <c r="S69" s="99" t="s">
        <v>1410</v>
      </c>
      <c r="T69" s="100" t="s">
        <v>1801</v>
      </c>
      <c r="U69" s="33" t="s">
        <v>1413</v>
      </c>
      <c r="V69" s="33" t="s">
        <v>1413</v>
      </c>
      <c r="W69" s="34">
        <v>0</v>
      </c>
      <c r="X69" s="34">
        <v>0</v>
      </c>
      <c r="Y69" s="34">
        <v>0</v>
      </c>
      <c r="Z69" s="34">
        <v>0</v>
      </c>
      <c r="AA69" s="34">
        <f t="shared" si="1"/>
        <v>1</v>
      </c>
      <c r="AB69" s="34">
        <v>0</v>
      </c>
      <c r="AC69" s="1" t="s">
        <v>383</v>
      </c>
    </row>
    <row r="70" spans="1:29" ht="230">
      <c r="A70" s="101"/>
      <c r="B70" s="148">
        <v>67</v>
      </c>
      <c r="C70" s="26">
        <f>VLOOKUP(D70,'[3]Codes &amp; Descr. SFICS25'!B:C,2,FALSE)</f>
        <v>23</v>
      </c>
      <c r="D70" s="26" t="s">
        <v>1791</v>
      </c>
      <c r="E70" s="26">
        <f>+VLOOKUP(F70,'[3]Codes &amp; Descr. SFICS25'!D:E,2,FALSE)</f>
        <v>2304</v>
      </c>
      <c r="F70" s="26" t="s">
        <v>1868</v>
      </c>
      <c r="G70" s="26">
        <f>VLOOKUP(H70,'[3]Codes &amp; Descr. SFICS25'!F:H,2,FALSE)</f>
        <v>230404</v>
      </c>
      <c r="H70" s="26" t="s">
        <v>1892</v>
      </c>
      <c r="I70" s="26" t="s">
        <v>1893</v>
      </c>
      <c r="J70" s="26" t="s">
        <v>1894</v>
      </c>
      <c r="K70" s="26" t="s">
        <v>1895</v>
      </c>
      <c r="L70" s="28" t="s">
        <v>519</v>
      </c>
      <c r="M70" s="29" t="s">
        <v>1402</v>
      </c>
      <c r="N70" s="99" t="s">
        <v>1881</v>
      </c>
      <c r="O70" s="99" t="s">
        <v>1896</v>
      </c>
      <c r="P70" s="194" t="s">
        <v>1897</v>
      </c>
      <c r="Q70" s="31" t="s">
        <v>1898</v>
      </c>
      <c r="R70" s="99" t="s">
        <v>1410</v>
      </c>
      <c r="S70" s="99" t="s">
        <v>1410</v>
      </c>
      <c r="T70" s="100" t="s">
        <v>1801</v>
      </c>
      <c r="U70" s="33" t="s">
        <v>1413</v>
      </c>
      <c r="V70" s="33" t="s">
        <v>1413</v>
      </c>
      <c r="W70" s="34">
        <v>0</v>
      </c>
      <c r="X70" s="34">
        <v>0</v>
      </c>
      <c r="Y70" s="34">
        <v>0</v>
      </c>
      <c r="Z70" s="34">
        <v>0</v>
      </c>
      <c r="AA70" s="34">
        <f t="shared" si="1"/>
        <v>1</v>
      </c>
      <c r="AB70" s="34">
        <v>0</v>
      </c>
      <c r="AC70" s="1" t="s">
        <v>383</v>
      </c>
    </row>
    <row r="71" spans="1:29" ht="220">
      <c r="A71" s="101"/>
      <c r="B71" s="148">
        <v>68</v>
      </c>
      <c r="C71" s="26">
        <f>VLOOKUP(D71,'[3]Codes &amp; Descr. SFICS25'!B:C,2,FALSE)</f>
        <v>23</v>
      </c>
      <c r="D71" s="26" t="s">
        <v>1791</v>
      </c>
      <c r="E71" s="26">
        <f>+VLOOKUP(F71,'[3]Codes &amp; Descr. SFICS25'!D:E,2,FALSE)</f>
        <v>2304</v>
      </c>
      <c r="F71" s="26" t="s">
        <v>1868</v>
      </c>
      <c r="G71" s="26">
        <f>VLOOKUP(H71,'[3]Codes &amp; Descr. SFICS25'!F:H,2,FALSE)</f>
        <v>230405</v>
      </c>
      <c r="H71" s="26" t="s">
        <v>1899</v>
      </c>
      <c r="I71" s="26" t="s">
        <v>1900</v>
      </c>
      <c r="J71" s="26" t="s">
        <v>1901</v>
      </c>
      <c r="K71" s="26" t="s">
        <v>1902</v>
      </c>
      <c r="L71" s="28" t="s">
        <v>519</v>
      </c>
      <c r="M71" s="29" t="s">
        <v>1402</v>
      </c>
      <c r="N71" s="99" t="s">
        <v>1873</v>
      </c>
      <c r="O71" s="99" t="s">
        <v>1903</v>
      </c>
      <c r="P71" s="194" t="s">
        <v>1904</v>
      </c>
      <c r="Q71" s="31" t="s">
        <v>1905</v>
      </c>
      <c r="R71" s="99" t="s">
        <v>1410</v>
      </c>
      <c r="S71" s="99" t="s">
        <v>1410</v>
      </c>
      <c r="T71" s="100" t="s">
        <v>1801</v>
      </c>
      <c r="U71" s="33" t="s">
        <v>1413</v>
      </c>
      <c r="V71" s="33" t="s">
        <v>1413</v>
      </c>
      <c r="W71" s="34">
        <v>0</v>
      </c>
      <c r="X71" s="34">
        <v>0</v>
      </c>
      <c r="Y71" s="34">
        <v>0</v>
      </c>
      <c r="Z71" s="34">
        <v>0</v>
      </c>
      <c r="AA71" s="34">
        <f t="shared" si="1"/>
        <v>1</v>
      </c>
      <c r="AB71" s="34">
        <v>0</v>
      </c>
      <c r="AC71" s="1" t="s">
        <v>383</v>
      </c>
    </row>
    <row r="72" spans="1:29" ht="220">
      <c r="A72" s="101"/>
      <c r="B72" s="148">
        <v>69</v>
      </c>
      <c r="C72" s="26">
        <f>VLOOKUP(D72,'[3]Codes &amp; Descr. SFICS25'!B:C,2,FALSE)</f>
        <v>23</v>
      </c>
      <c r="D72" s="26" t="s">
        <v>1791</v>
      </c>
      <c r="E72" s="26">
        <f>+VLOOKUP(F72,'[3]Codes &amp; Descr. SFICS25'!D:E,2,FALSE)</f>
        <v>2304</v>
      </c>
      <c r="F72" s="26" t="s">
        <v>1868</v>
      </c>
      <c r="G72" s="26">
        <f>VLOOKUP(H72,'[3]Codes &amp; Descr. SFICS25'!F:H,2,FALSE)</f>
        <v>230406</v>
      </c>
      <c r="H72" s="26" t="s">
        <v>1906</v>
      </c>
      <c r="I72" s="26" t="s">
        <v>1907</v>
      </c>
      <c r="J72" s="26" t="s">
        <v>1908</v>
      </c>
      <c r="K72" s="26" t="s">
        <v>1909</v>
      </c>
      <c r="L72" s="28" t="s">
        <v>519</v>
      </c>
      <c r="M72" s="29" t="s">
        <v>1402</v>
      </c>
      <c r="N72" s="99" t="s">
        <v>1881</v>
      </c>
      <c r="O72" s="99" t="s">
        <v>1910</v>
      </c>
      <c r="P72" s="194" t="s">
        <v>1911</v>
      </c>
      <c r="Q72" s="31" t="s">
        <v>1912</v>
      </c>
      <c r="R72" s="99" t="s">
        <v>1410</v>
      </c>
      <c r="S72" s="99" t="s">
        <v>1410</v>
      </c>
      <c r="T72" s="100" t="s">
        <v>1801</v>
      </c>
      <c r="U72" s="33" t="s">
        <v>1413</v>
      </c>
      <c r="V72" s="33" t="s">
        <v>1413</v>
      </c>
      <c r="W72" s="34">
        <v>0</v>
      </c>
      <c r="X72" s="34">
        <v>0</v>
      </c>
      <c r="Y72" s="34">
        <v>0</v>
      </c>
      <c r="Z72" s="34">
        <v>0</v>
      </c>
      <c r="AA72" s="34">
        <f t="shared" si="1"/>
        <v>1</v>
      </c>
      <c r="AB72" s="34">
        <v>0</v>
      </c>
      <c r="AC72" s="1" t="s">
        <v>383</v>
      </c>
    </row>
    <row r="73" spans="1:29" ht="220">
      <c r="A73" s="101"/>
      <c r="B73" s="148">
        <v>70</v>
      </c>
      <c r="C73" s="26">
        <f>VLOOKUP(D73,'[3]Codes &amp; Descr. SFICS25'!B:C,2,FALSE)</f>
        <v>23</v>
      </c>
      <c r="D73" s="26" t="s">
        <v>1791</v>
      </c>
      <c r="E73" s="26">
        <f>+VLOOKUP(F73,'[3]Codes &amp; Descr. SFICS25'!D:E,2,FALSE)</f>
        <v>2304</v>
      </c>
      <c r="F73" s="26" t="s">
        <v>1868</v>
      </c>
      <c r="G73" s="26">
        <f>VLOOKUP(H73,'[3]Codes &amp; Descr. SFICS25'!F:H,2,FALSE)</f>
        <v>230407</v>
      </c>
      <c r="H73" s="26" t="s">
        <v>1913</v>
      </c>
      <c r="I73" s="26" t="s">
        <v>1914</v>
      </c>
      <c r="J73" s="26" t="s">
        <v>1915</v>
      </c>
      <c r="K73" s="26" t="s">
        <v>1916</v>
      </c>
      <c r="L73" s="28" t="s">
        <v>519</v>
      </c>
      <c r="M73" s="29" t="s">
        <v>1402</v>
      </c>
      <c r="N73" s="99" t="s">
        <v>1873</v>
      </c>
      <c r="O73" s="99" t="s">
        <v>1917</v>
      </c>
      <c r="P73" s="194" t="s">
        <v>1918</v>
      </c>
      <c r="Q73" s="31" t="s">
        <v>1919</v>
      </c>
      <c r="R73" s="99" t="s">
        <v>1410</v>
      </c>
      <c r="S73" s="99" t="s">
        <v>1410</v>
      </c>
      <c r="T73" s="100" t="s">
        <v>1801</v>
      </c>
      <c r="U73" s="33" t="s">
        <v>1413</v>
      </c>
      <c r="V73" s="33" t="s">
        <v>1413</v>
      </c>
      <c r="W73" s="34">
        <v>0</v>
      </c>
      <c r="X73" s="34">
        <v>0</v>
      </c>
      <c r="Y73" s="34">
        <v>0</v>
      </c>
      <c r="Z73" s="34">
        <v>0</v>
      </c>
      <c r="AA73" s="34">
        <f t="shared" si="1"/>
        <v>1</v>
      </c>
      <c r="AB73" s="34">
        <v>0</v>
      </c>
      <c r="AC73" s="1" t="s">
        <v>383</v>
      </c>
    </row>
    <row r="74" spans="1:29" ht="280">
      <c r="A74" s="101"/>
      <c r="B74" s="148">
        <v>71</v>
      </c>
      <c r="C74" s="26">
        <f>VLOOKUP(D74,'[3]Codes &amp; Descr. SFICS25'!B:C,2,FALSE)</f>
        <v>23</v>
      </c>
      <c r="D74" s="26" t="s">
        <v>1791</v>
      </c>
      <c r="E74" s="26">
        <f>+VLOOKUP(F74,'[3]Codes &amp; Descr. SFICS25'!D:E,2,FALSE)</f>
        <v>2304</v>
      </c>
      <c r="F74" s="26" t="s">
        <v>1868</v>
      </c>
      <c r="G74" s="26">
        <f>VLOOKUP(H74,'[3]Codes &amp; Descr. SFICS25'!F:H,2,FALSE)</f>
        <v>230408</v>
      </c>
      <c r="H74" s="26" t="s">
        <v>1920</v>
      </c>
      <c r="I74" s="26" t="s">
        <v>1921</v>
      </c>
      <c r="J74" s="26" t="s">
        <v>1922</v>
      </c>
      <c r="K74" s="26" t="s">
        <v>1923</v>
      </c>
      <c r="L74" s="28" t="s">
        <v>519</v>
      </c>
      <c r="M74" s="29" t="s">
        <v>1402</v>
      </c>
      <c r="N74" s="99" t="s">
        <v>1873</v>
      </c>
      <c r="O74" s="99" t="s">
        <v>1924</v>
      </c>
      <c r="P74" s="195" t="s">
        <v>1925</v>
      </c>
      <c r="Q74" s="31" t="s">
        <v>1926</v>
      </c>
      <c r="R74" s="99" t="s">
        <v>1410</v>
      </c>
      <c r="S74" s="99" t="s">
        <v>1410</v>
      </c>
      <c r="T74" s="100" t="s">
        <v>1801</v>
      </c>
      <c r="U74" s="33" t="s">
        <v>1413</v>
      </c>
      <c r="V74" s="33" t="s">
        <v>1413</v>
      </c>
      <c r="W74" s="34">
        <v>0</v>
      </c>
      <c r="X74" s="34">
        <v>0</v>
      </c>
      <c r="Y74" s="34">
        <v>0</v>
      </c>
      <c r="Z74" s="34">
        <v>0</v>
      </c>
      <c r="AA74" s="34">
        <f t="shared" si="1"/>
        <v>1</v>
      </c>
      <c r="AB74" s="34">
        <v>0</v>
      </c>
      <c r="AC74" s="1" t="s">
        <v>383</v>
      </c>
    </row>
    <row r="75" spans="1:29" ht="44" customHeight="1">
      <c r="A75" s="101"/>
      <c r="B75" s="148">
        <v>72</v>
      </c>
      <c r="C75" s="26">
        <f>VLOOKUP(D75,'[3]Codes &amp; Descr. SFICS25'!B:C,2,FALSE)</f>
        <v>23</v>
      </c>
      <c r="D75" s="26" t="s">
        <v>1791</v>
      </c>
      <c r="E75" s="26">
        <f>+VLOOKUP(F75,'[3]Codes &amp; Descr. SFICS25'!D:E,2,FALSE)</f>
        <v>2304</v>
      </c>
      <c r="F75" s="26" t="s">
        <v>1868</v>
      </c>
      <c r="G75" s="26">
        <f>VLOOKUP(H75,'[3]Codes &amp; Descr. SFICS25'!F:H,2,FALSE)</f>
        <v>230409</v>
      </c>
      <c r="H75" s="26" t="s">
        <v>1927</v>
      </c>
      <c r="I75" s="26" t="s">
        <v>1928</v>
      </c>
      <c r="J75" s="26" t="s">
        <v>1929</v>
      </c>
      <c r="K75" s="26" t="s">
        <v>1930</v>
      </c>
      <c r="L75" s="28" t="s">
        <v>519</v>
      </c>
      <c r="M75" s="29" t="s">
        <v>1402</v>
      </c>
      <c r="N75" s="99" t="s">
        <v>1931</v>
      </c>
      <c r="O75" s="99" t="s">
        <v>1932</v>
      </c>
      <c r="P75" s="195" t="s">
        <v>1933</v>
      </c>
      <c r="Q75" s="31" t="s">
        <v>1934</v>
      </c>
      <c r="R75" s="99" t="s">
        <v>1410</v>
      </c>
      <c r="S75" s="99" t="s">
        <v>1410</v>
      </c>
      <c r="T75" s="100" t="s">
        <v>1801</v>
      </c>
      <c r="U75" s="33" t="s">
        <v>1413</v>
      </c>
      <c r="V75" s="33" t="s">
        <v>1413</v>
      </c>
      <c r="W75" s="34">
        <v>0</v>
      </c>
      <c r="X75" s="34">
        <v>0</v>
      </c>
      <c r="Y75" s="34">
        <v>0</v>
      </c>
      <c r="Z75" s="34">
        <v>0</v>
      </c>
      <c r="AA75" s="34">
        <f t="shared" si="1"/>
        <v>1</v>
      </c>
      <c r="AB75" s="34">
        <v>0</v>
      </c>
      <c r="AC75" s="1" t="s">
        <v>383</v>
      </c>
    </row>
    <row r="76" spans="1:29" ht="39.75" customHeight="1">
      <c r="B76" s="148">
        <v>73</v>
      </c>
      <c r="C76" s="26">
        <f>VLOOKUP(D76,'[3]Codes &amp; Descr. SFICS25'!B:C,2,FALSE)</f>
        <v>23</v>
      </c>
      <c r="D76" s="26" t="s">
        <v>1791</v>
      </c>
      <c r="E76" s="26">
        <f>+VLOOKUP(F76,'[3]Codes &amp; Descr. SFICS25'!D:E,2,FALSE)</f>
        <v>2306</v>
      </c>
      <c r="F76" s="26" t="s">
        <v>1935</v>
      </c>
      <c r="G76" s="26">
        <f>VLOOKUP(H76,'[3]Codes &amp; Descr. SFICS25'!F:H,2,FALSE)</f>
        <v>230601</v>
      </c>
      <c r="H76" s="26" t="s">
        <v>1936</v>
      </c>
      <c r="I76" s="26" t="s">
        <v>1937</v>
      </c>
      <c r="J76" s="26" t="s">
        <v>1938</v>
      </c>
      <c r="K76" s="26" t="s">
        <v>1939</v>
      </c>
      <c r="L76" s="28" t="s">
        <v>584</v>
      </c>
      <c r="M76" s="29" t="s">
        <v>1402</v>
      </c>
      <c r="N76" s="99" t="s">
        <v>1940</v>
      </c>
      <c r="O76" s="99" t="s">
        <v>1941</v>
      </c>
      <c r="P76" s="31" t="s">
        <v>1410</v>
      </c>
      <c r="Q76" s="31" t="s">
        <v>1942</v>
      </c>
      <c r="R76" s="99" t="s">
        <v>1410</v>
      </c>
      <c r="S76" s="99" t="s">
        <v>1410</v>
      </c>
      <c r="T76" s="100" t="s">
        <v>1801</v>
      </c>
      <c r="U76" s="34">
        <v>0</v>
      </c>
      <c r="V76" s="34">
        <v>0</v>
      </c>
      <c r="W76" s="34">
        <v>0</v>
      </c>
      <c r="X76" s="33" t="s">
        <v>1413</v>
      </c>
      <c r="Y76" s="34">
        <v>0</v>
      </c>
      <c r="Z76" s="34">
        <v>0</v>
      </c>
      <c r="AA76" s="34">
        <f t="shared" si="1"/>
        <v>1</v>
      </c>
      <c r="AB76" s="34">
        <v>0</v>
      </c>
      <c r="AC76" s="41"/>
    </row>
    <row r="77" spans="1:29" ht="39.75" customHeight="1">
      <c r="B77" s="148">
        <v>74</v>
      </c>
      <c r="C77" s="26">
        <f>VLOOKUP(D77,'[3]Codes &amp; Descr. SFICS25'!B:C,2,FALSE)</f>
        <v>23</v>
      </c>
      <c r="D77" s="26" t="s">
        <v>1791</v>
      </c>
      <c r="E77" s="26">
        <f>+VLOOKUP(F77,'[3]Codes &amp; Descr. SFICS25'!D:E,2,FALSE)</f>
        <v>2306</v>
      </c>
      <c r="F77" s="26" t="s">
        <v>1935</v>
      </c>
      <c r="G77" s="26">
        <f>VLOOKUP(H77,'[3]Codes &amp; Descr. SFICS25'!F:H,2,FALSE)</f>
        <v>230602</v>
      </c>
      <c r="H77" s="26" t="s">
        <v>1943</v>
      </c>
      <c r="I77" s="26" t="s">
        <v>1944</v>
      </c>
      <c r="J77" s="26" t="s">
        <v>1944</v>
      </c>
      <c r="K77" s="26" t="s">
        <v>1943</v>
      </c>
      <c r="L77" s="28" t="s">
        <v>589</v>
      </c>
      <c r="M77" s="29" t="s">
        <v>1402</v>
      </c>
      <c r="N77" s="99" t="s">
        <v>1945</v>
      </c>
      <c r="O77" s="99" t="s">
        <v>1946</v>
      </c>
      <c r="P77" s="31" t="s">
        <v>1619</v>
      </c>
      <c r="Q77" s="31" t="s">
        <v>1947</v>
      </c>
      <c r="R77" s="99" t="s">
        <v>1410</v>
      </c>
      <c r="S77" s="99" t="s">
        <v>1410</v>
      </c>
      <c r="T77" s="100" t="s">
        <v>1801</v>
      </c>
      <c r="U77" s="34">
        <v>0</v>
      </c>
      <c r="V77" s="34">
        <v>0</v>
      </c>
      <c r="W77" s="34">
        <v>0</v>
      </c>
      <c r="X77" s="33" t="s">
        <v>1413</v>
      </c>
      <c r="Y77" s="34">
        <v>0</v>
      </c>
      <c r="Z77" s="34">
        <v>0</v>
      </c>
      <c r="AA77" s="34">
        <f t="shared" si="1"/>
        <v>1</v>
      </c>
      <c r="AB77" s="34">
        <v>0</v>
      </c>
      <c r="AC77" s="43"/>
    </row>
    <row r="78" spans="1:29" ht="39.75" customHeight="1">
      <c r="B78" s="148">
        <v>75</v>
      </c>
      <c r="C78" s="26">
        <f>VLOOKUP(D78,'[3]Codes &amp; Descr. SFICS25'!B:C,2,FALSE)</f>
        <v>23</v>
      </c>
      <c r="D78" s="26" t="s">
        <v>1791</v>
      </c>
      <c r="E78" s="26">
        <f>+VLOOKUP(F78,'[3]Codes &amp; Descr. SFICS25'!D:E,2,FALSE)</f>
        <v>2303</v>
      </c>
      <c r="F78" s="26" t="s">
        <v>1948</v>
      </c>
      <c r="G78" s="26">
        <f>VLOOKUP(H78,'[3]Codes &amp; Descr. SFICS25'!F:H,2,FALSE)</f>
        <v>230301</v>
      </c>
      <c r="H78" s="26" t="s">
        <v>1949</v>
      </c>
      <c r="I78" s="26" t="s">
        <v>1950</v>
      </c>
      <c r="J78" s="26" t="s">
        <v>1951</v>
      </c>
      <c r="K78" s="26" t="s">
        <v>1952</v>
      </c>
      <c r="L78" s="28" t="s">
        <v>599</v>
      </c>
      <c r="M78" s="29" t="s">
        <v>1402</v>
      </c>
      <c r="N78" s="99" t="s">
        <v>1953</v>
      </c>
      <c r="O78" s="99" t="s">
        <v>1954</v>
      </c>
      <c r="P78" s="44" t="s">
        <v>1955</v>
      </c>
      <c r="Q78" s="31" t="s">
        <v>1956</v>
      </c>
      <c r="R78" s="99" t="s">
        <v>1410</v>
      </c>
      <c r="S78" s="99" t="s">
        <v>1410</v>
      </c>
      <c r="T78" s="100" t="s">
        <v>1801</v>
      </c>
      <c r="U78" s="33" t="s">
        <v>1546</v>
      </c>
      <c r="V78" s="33" t="s">
        <v>1413</v>
      </c>
      <c r="W78" s="34">
        <v>0</v>
      </c>
      <c r="X78" s="34">
        <v>0</v>
      </c>
      <c r="Y78" s="34">
        <v>0</v>
      </c>
      <c r="Z78" s="34">
        <v>0</v>
      </c>
      <c r="AA78" s="34">
        <f t="shared" si="1"/>
        <v>1</v>
      </c>
      <c r="AB78" s="34">
        <v>0</v>
      </c>
      <c r="AC78" s="43"/>
    </row>
    <row r="79" spans="1:29" ht="39.75" customHeight="1">
      <c r="B79" s="148">
        <v>76</v>
      </c>
      <c r="C79" s="26">
        <f>VLOOKUP(D79,'[3]Codes &amp; Descr. SFICS25'!B:C,2,FALSE)</f>
        <v>23</v>
      </c>
      <c r="D79" s="26" t="s">
        <v>1791</v>
      </c>
      <c r="E79" s="26">
        <f>+VLOOKUP(F79,'[3]Codes &amp; Descr. SFICS25'!D:E,2,FALSE)</f>
        <v>2303</v>
      </c>
      <c r="F79" s="26" t="s">
        <v>1948</v>
      </c>
      <c r="G79" s="26">
        <f>VLOOKUP(H79,'[3]Codes &amp; Descr. SFICS25'!F:H,2,FALSE)</f>
        <v>230302</v>
      </c>
      <c r="H79" s="26" t="s">
        <v>1957</v>
      </c>
      <c r="I79" s="26" t="s">
        <v>1958</v>
      </c>
      <c r="J79" s="26" t="s">
        <v>1959</v>
      </c>
      <c r="K79" s="26" t="s">
        <v>1960</v>
      </c>
      <c r="L79" s="28" t="s">
        <v>608</v>
      </c>
      <c r="M79" s="29" t="s">
        <v>1402</v>
      </c>
      <c r="N79" s="99" t="s">
        <v>1961</v>
      </c>
      <c r="O79" s="99" t="s">
        <v>1962</v>
      </c>
      <c r="P79" s="31" t="s">
        <v>1410</v>
      </c>
      <c r="Q79" s="31" t="s">
        <v>1963</v>
      </c>
      <c r="R79" s="99" t="s">
        <v>1410</v>
      </c>
      <c r="S79" s="99" t="s">
        <v>1410</v>
      </c>
      <c r="T79" s="100" t="s">
        <v>1801</v>
      </c>
      <c r="U79" s="33" t="s">
        <v>1546</v>
      </c>
      <c r="V79" s="33" t="s">
        <v>1413</v>
      </c>
      <c r="W79" s="34">
        <v>0</v>
      </c>
      <c r="X79" s="34">
        <v>0</v>
      </c>
      <c r="Y79" s="34">
        <v>0</v>
      </c>
      <c r="Z79" s="34">
        <v>0</v>
      </c>
      <c r="AA79" s="34">
        <f t="shared" si="1"/>
        <v>1</v>
      </c>
      <c r="AB79" s="34">
        <v>0</v>
      </c>
      <c r="AC79" s="43"/>
    </row>
    <row r="80" spans="1:29" ht="39.75" customHeight="1">
      <c r="A80" s="104"/>
      <c r="B80" s="148">
        <v>77</v>
      </c>
      <c r="C80" s="26">
        <f>VLOOKUP(D80,'[3]Codes &amp; Descr. SFICS25'!B:C,2,FALSE)</f>
        <v>23</v>
      </c>
      <c r="D80" s="26" t="s">
        <v>1791</v>
      </c>
      <c r="E80" s="26">
        <f>+VLOOKUP(F80,'[3]Codes &amp; Descr. SFICS25'!D:E,2,FALSE)</f>
        <v>2303</v>
      </c>
      <c r="F80" s="26" t="s">
        <v>1948</v>
      </c>
      <c r="G80" s="26">
        <f>VLOOKUP(H80,'[3]Codes &amp; Descr. SFICS25'!F:H,2,FALSE)</f>
        <v>230303</v>
      </c>
      <c r="H80" s="26" t="s">
        <v>1964</v>
      </c>
      <c r="I80" s="26" t="s">
        <v>1965</v>
      </c>
      <c r="J80" s="26" t="s">
        <v>1966</v>
      </c>
      <c r="K80" s="26" t="s">
        <v>1967</v>
      </c>
      <c r="L80" s="28" t="s">
        <v>616</v>
      </c>
      <c r="M80" s="29" t="s">
        <v>1402</v>
      </c>
      <c r="N80" s="99" t="s">
        <v>1968</v>
      </c>
      <c r="O80" s="99" t="s">
        <v>1969</v>
      </c>
      <c r="P80" s="31" t="s">
        <v>1410</v>
      </c>
      <c r="Q80" s="31" t="s">
        <v>1970</v>
      </c>
      <c r="R80" s="99" t="s">
        <v>1410</v>
      </c>
      <c r="S80" s="99" t="s">
        <v>1410</v>
      </c>
      <c r="T80" s="100" t="s">
        <v>1801</v>
      </c>
      <c r="U80" s="33" t="s">
        <v>1546</v>
      </c>
      <c r="V80" s="33" t="s">
        <v>1413</v>
      </c>
      <c r="W80" s="34">
        <v>0</v>
      </c>
      <c r="X80" s="34">
        <v>0</v>
      </c>
      <c r="Y80" s="34">
        <v>0</v>
      </c>
      <c r="Z80" s="34">
        <v>0</v>
      </c>
      <c r="AA80" s="34">
        <f t="shared" si="1"/>
        <v>1</v>
      </c>
      <c r="AB80" s="34">
        <v>0</v>
      </c>
      <c r="AC80" s="43"/>
    </row>
    <row r="81" spans="1:29" ht="39.75" customHeight="1">
      <c r="B81" s="148">
        <v>78</v>
      </c>
      <c r="C81" s="26">
        <f>VLOOKUP(D81,'[3]Codes &amp; Descr. SFICS25'!B:C,2,FALSE)</f>
        <v>23</v>
      </c>
      <c r="D81" s="26" t="s">
        <v>1791</v>
      </c>
      <c r="E81" s="26">
        <f>+VLOOKUP(F81,'[3]Codes &amp; Descr. SFICS25'!D:E,2,FALSE)</f>
        <v>2303</v>
      </c>
      <c r="F81" s="26" t="s">
        <v>1948</v>
      </c>
      <c r="G81" s="26">
        <f>VLOOKUP(H81,'[3]Codes &amp; Descr. SFICS25'!F:H,2,FALSE)</f>
        <v>230304</v>
      </c>
      <c r="H81" s="26" t="s">
        <v>1971</v>
      </c>
      <c r="I81" s="26" t="s">
        <v>1972</v>
      </c>
      <c r="J81" s="26" t="s">
        <v>1973</v>
      </c>
      <c r="K81" s="26" t="s">
        <v>1974</v>
      </c>
      <c r="L81" s="28" t="s">
        <v>623</v>
      </c>
      <c r="M81" s="29" t="s">
        <v>1402</v>
      </c>
      <c r="N81" s="99" t="s">
        <v>1975</v>
      </c>
      <c r="O81" s="99" t="s">
        <v>1976</v>
      </c>
      <c r="P81" s="31" t="s">
        <v>1410</v>
      </c>
      <c r="Q81" s="31" t="s">
        <v>1977</v>
      </c>
      <c r="R81" s="99" t="s">
        <v>1410</v>
      </c>
      <c r="S81" s="99" t="s">
        <v>1410</v>
      </c>
      <c r="T81" s="100" t="s">
        <v>1801</v>
      </c>
      <c r="U81" s="33" t="s">
        <v>1546</v>
      </c>
      <c r="V81" s="33" t="s">
        <v>1413</v>
      </c>
      <c r="W81" s="34">
        <v>0</v>
      </c>
      <c r="X81" s="34">
        <v>0</v>
      </c>
      <c r="Y81" s="34">
        <v>0</v>
      </c>
      <c r="Z81" s="34">
        <v>0</v>
      </c>
      <c r="AA81" s="34">
        <f t="shared" si="1"/>
        <v>1</v>
      </c>
      <c r="AB81" s="34">
        <v>0</v>
      </c>
      <c r="AC81" s="43"/>
    </row>
    <row r="82" spans="1:29" ht="39.75" customHeight="1">
      <c r="B82" s="148">
        <v>79</v>
      </c>
      <c r="C82" s="26">
        <f>VLOOKUP(D82,'[3]Codes &amp; Descr. SFICS25'!B:C,2,FALSE)</f>
        <v>23</v>
      </c>
      <c r="D82" s="26" t="s">
        <v>1791</v>
      </c>
      <c r="E82" s="26">
        <f>+VLOOKUP(F82,'[3]Codes &amp; Descr. SFICS25'!D:E,2,FALSE)</f>
        <v>2305</v>
      </c>
      <c r="F82" s="26" t="s">
        <v>1978</v>
      </c>
      <c r="G82" s="26" t="str">
        <f>VLOOKUP(H82,'[3]Codes &amp; Descr. SFICS25'!F:H,2,FALSE)</f>
        <v>-</v>
      </c>
      <c r="H82" s="26" t="s">
        <v>507</v>
      </c>
      <c r="I82" s="26" t="s">
        <v>507</v>
      </c>
      <c r="J82" s="26" t="s">
        <v>1979</v>
      </c>
      <c r="K82" s="26" t="s">
        <v>1980</v>
      </c>
      <c r="L82" s="28" t="s">
        <v>628</v>
      </c>
      <c r="M82" s="29" t="s">
        <v>1402</v>
      </c>
      <c r="N82" s="99" t="s">
        <v>1981</v>
      </c>
      <c r="O82" s="99" t="s">
        <v>1982</v>
      </c>
      <c r="P82" s="31" t="s">
        <v>1983</v>
      </c>
      <c r="Q82" s="31" t="s">
        <v>1984</v>
      </c>
      <c r="R82" s="99" t="s">
        <v>1410</v>
      </c>
      <c r="S82" s="99" t="s">
        <v>1410</v>
      </c>
      <c r="T82" s="100" t="s">
        <v>1801</v>
      </c>
      <c r="U82" s="34">
        <v>0</v>
      </c>
      <c r="V82" s="34">
        <v>0</v>
      </c>
      <c r="W82" s="34">
        <v>0</v>
      </c>
      <c r="X82" s="105" t="s">
        <v>1598</v>
      </c>
      <c r="Y82" s="34">
        <v>0</v>
      </c>
      <c r="Z82" s="34">
        <v>0</v>
      </c>
      <c r="AA82" s="34">
        <f t="shared" si="1"/>
        <v>1</v>
      </c>
      <c r="AB82" s="34">
        <v>0</v>
      </c>
      <c r="AC82" s="41"/>
    </row>
    <row r="83" spans="1:29" ht="39.75" customHeight="1">
      <c r="B83" s="148">
        <v>80</v>
      </c>
      <c r="C83" s="26">
        <f>VLOOKUP(D83,'[3]Codes &amp; Descr. SFICS25'!B:C,2,FALSE)</f>
        <v>26</v>
      </c>
      <c r="D83" s="26" t="s">
        <v>1985</v>
      </c>
      <c r="E83" s="26">
        <f>+VLOOKUP(F83,'[3]Codes &amp; Descr. SFICS25'!D:E,2,FALSE)</f>
        <v>2602</v>
      </c>
      <c r="F83" s="26" t="s">
        <v>1986</v>
      </c>
      <c r="G83" s="26">
        <f>VLOOKUP(H83,'[3]Codes &amp; Descr. SFICS25'!F:H,2,FALSE)</f>
        <v>260201</v>
      </c>
      <c r="H83" s="26" t="s">
        <v>1987</v>
      </c>
      <c r="I83" s="26" t="s">
        <v>1988</v>
      </c>
      <c r="J83" s="26" t="s">
        <v>1989</v>
      </c>
      <c r="K83" s="26" t="s">
        <v>1990</v>
      </c>
      <c r="L83" s="28" t="s">
        <v>637</v>
      </c>
      <c r="M83" s="29" t="s">
        <v>1402</v>
      </c>
      <c r="N83" s="99" t="s">
        <v>1991</v>
      </c>
      <c r="O83" s="99" t="s">
        <v>1992</v>
      </c>
      <c r="P83" s="31" t="s">
        <v>1410</v>
      </c>
      <c r="Q83" s="31" t="s">
        <v>1993</v>
      </c>
      <c r="R83" s="99" t="s">
        <v>1410</v>
      </c>
      <c r="S83" s="99" t="s">
        <v>1410</v>
      </c>
      <c r="T83" s="100" t="s">
        <v>1994</v>
      </c>
      <c r="U83" s="33" t="s">
        <v>1413</v>
      </c>
      <c r="V83" s="33" t="s">
        <v>1413</v>
      </c>
      <c r="W83" s="34">
        <v>0</v>
      </c>
      <c r="X83" s="34">
        <v>0</v>
      </c>
      <c r="Y83" s="34">
        <v>0</v>
      </c>
      <c r="Z83" s="34">
        <v>0</v>
      </c>
      <c r="AA83" s="34">
        <f t="shared" si="1"/>
        <v>1</v>
      </c>
      <c r="AB83" s="34">
        <v>0</v>
      </c>
      <c r="AC83" s="43" t="s">
        <v>383</v>
      </c>
    </row>
    <row r="84" spans="1:29" ht="39.75" customHeight="1">
      <c r="B84" s="148">
        <v>81</v>
      </c>
      <c r="C84" s="26">
        <f>VLOOKUP(D84,'[3]Codes &amp; Descr. SFICS25'!B:C,2,FALSE)</f>
        <v>26</v>
      </c>
      <c r="D84" s="26" t="s">
        <v>1985</v>
      </c>
      <c r="E84" s="26">
        <f>+VLOOKUP(F84,'[3]Codes &amp; Descr. SFICS25'!D:E,2,FALSE)</f>
        <v>2602</v>
      </c>
      <c r="F84" s="26" t="s">
        <v>1986</v>
      </c>
      <c r="G84" s="26">
        <f>VLOOKUP(H84,'[3]Codes &amp; Descr. SFICS25'!F:H,2,FALSE)</f>
        <v>260202</v>
      </c>
      <c r="H84" s="26" t="s">
        <v>1995</v>
      </c>
      <c r="I84" s="26" t="s">
        <v>1996</v>
      </c>
      <c r="J84" s="26" t="s">
        <v>1996</v>
      </c>
      <c r="K84" s="26" t="s">
        <v>1995</v>
      </c>
      <c r="L84" s="28" t="s">
        <v>644</v>
      </c>
      <c r="M84" s="29" t="s">
        <v>1402</v>
      </c>
      <c r="N84" s="99" t="s">
        <v>1997</v>
      </c>
      <c r="O84" s="99" t="s">
        <v>1998</v>
      </c>
      <c r="P84" s="31" t="s">
        <v>1999</v>
      </c>
      <c r="Q84" s="31" t="s">
        <v>2000</v>
      </c>
      <c r="R84" s="99" t="s">
        <v>1410</v>
      </c>
      <c r="S84" s="99" t="s">
        <v>1410</v>
      </c>
      <c r="T84" s="100" t="s">
        <v>1994</v>
      </c>
      <c r="U84" s="34">
        <v>0</v>
      </c>
      <c r="V84" s="34">
        <v>0</v>
      </c>
      <c r="W84" s="33" t="s">
        <v>1413</v>
      </c>
      <c r="X84" s="34">
        <v>0</v>
      </c>
      <c r="Y84" s="34">
        <v>0</v>
      </c>
      <c r="Z84" s="34">
        <v>0</v>
      </c>
      <c r="AA84" s="34">
        <f t="shared" si="1"/>
        <v>1</v>
      </c>
      <c r="AB84" s="34">
        <v>0</v>
      </c>
      <c r="AC84" s="43"/>
    </row>
    <row r="85" spans="1:29" ht="39.75" customHeight="1">
      <c r="B85" s="148">
        <v>82</v>
      </c>
      <c r="C85" s="26">
        <f>VLOOKUP(D85,'[3]Codes &amp; Descr. SFICS25'!B:C,2,FALSE)</f>
        <v>26</v>
      </c>
      <c r="D85" s="26" t="s">
        <v>1985</v>
      </c>
      <c r="E85" s="26">
        <f>+VLOOKUP(F85,'[3]Codes &amp; Descr. SFICS25'!D:E,2,FALSE)</f>
        <v>2602</v>
      </c>
      <c r="F85" s="26" t="s">
        <v>1986</v>
      </c>
      <c r="G85" s="26">
        <f>VLOOKUP(H85,'[3]Codes &amp; Descr. SFICS25'!F:H,2,FALSE)</f>
        <v>260203</v>
      </c>
      <c r="H85" s="26" t="s">
        <v>2001</v>
      </c>
      <c r="I85" s="26" t="s">
        <v>2002</v>
      </c>
      <c r="J85" s="26" t="s">
        <v>2002</v>
      </c>
      <c r="K85" s="26" t="s">
        <v>2003</v>
      </c>
      <c r="L85" s="28" t="s">
        <v>649</v>
      </c>
      <c r="M85" s="29" t="s">
        <v>1402</v>
      </c>
      <c r="N85" s="99" t="s">
        <v>2004</v>
      </c>
      <c r="O85" s="99" t="s">
        <v>2005</v>
      </c>
      <c r="P85" s="31" t="s">
        <v>2006</v>
      </c>
      <c r="Q85" s="31" t="s">
        <v>2007</v>
      </c>
      <c r="R85" s="99" t="s">
        <v>1410</v>
      </c>
      <c r="S85" s="99" t="s">
        <v>1410</v>
      </c>
      <c r="T85" s="100" t="s">
        <v>1994</v>
      </c>
      <c r="U85" s="34">
        <v>0</v>
      </c>
      <c r="V85" s="34">
        <v>0</v>
      </c>
      <c r="W85" s="33" t="s">
        <v>1413</v>
      </c>
      <c r="X85" s="34">
        <v>0</v>
      </c>
      <c r="Y85" s="34">
        <v>0</v>
      </c>
      <c r="Z85" s="34">
        <v>0</v>
      </c>
      <c r="AA85" s="34">
        <f t="shared" si="1"/>
        <v>1</v>
      </c>
      <c r="AB85" s="34">
        <v>0</v>
      </c>
      <c r="AC85" s="43"/>
    </row>
    <row r="86" spans="1:29" ht="39.75" customHeight="1">
      <c r="B86" s="148">
        <v>83</v>
      </c>
      <c r="C86" s="26">
        <f>VLOOKUP(D86,'[3]Codes &amp; Descr. SFICS25'!B:C,2,FALSE)</f>
        <v>26</v>
      </c>
      <c r="D86" s="26" t="s">
        <v>1985</v>
      </c>
      <c r="E86" s="26">
        <f>+VLOOKUP(F86,'[3]Codes &amp; Descr. SFICS25'!D:E,2,FALSE)</f>
        <v>2602</v>
      </c>
      <c r="F86" s="26" t="s">
        <v>1986</v>
      </c>
      <c r="G86" s="26">
        <f>VLOOKUP(H86,'[3]Codes &amp; Descr. SFICS25'!F:H,2,FALSE)</f>
        <v>260204</v>
      </c>
      <c r="H86" s="26" t="s">
        <v>2008</v>
      </c>
      <c r="I86" s="26" t="s">
        <v>2009</v>
      </c>
      <c r="J86" s="26" t="s">
        <v>2009</v>
      </c>
      <c r="K86" s="26" t="s">
        <v>2010</v>
      </c>
      <c r="L86" s="28" t="s">
        <v>655</v>
      </c>
      <c r="M86" s="29" t="s">
        <v>1402</v>
      </c>
      <c r="N86" s="99" t="s">
        <v>2011</v>
      </c>
      <c r="O86" s="99" t="s">
        <v>2012</v>
      </c>
      <c r="P86" s="31" t="s">
        <v>2013</v>
      </c>
      <c r="Q86" s="31" t="s">
        <v>2014</v>
      </c>
      <c r="R86" s="99" t="s">
        <v>1410</v>
      </c>
      <c r="S86" s="99" t="s">
        <v>1410</v>
      </c>
      <c r="T86" s="100" t="s">
        <v>1994</v>
      </c>
      <c r="U86" s="34">
        <v>0</v>
      </c>
      <c r="V86" s="34">
        <v>0</v>
      </c>
      <c r="W86" s="34">
        <v>0</v>
      </c>
      <c r="X86" s="33" t="s">
        <v>1413</v>
      </c>
      <c r="Y86" s="34">
        <v>0</v>
      </c>
      <c r="Z86" s="34">
        <v>0</v>
      </c>
      <c r="AA86" s="34">
        <f t="shared" si="1"/>
        <v>1</v>
      </c>
      <c r="AB86" s="34">
        <v>0</v>
      </c>
      <c r="AC86" s="43"/>
    </row>
    <row r="87" spans="1:29" ht="39.75" customHeight="1">
      <c r="B87" s="148">
        <v>84</v>
      </c>
      <c r="C87" s="26">
        <f>VLOOKUP(D87,'[3]Codes &amp; Descr. SFICS25'!B:C,2,FALSE)</f>
        <v>26</v>
      </c>
      <c r="D87" s="26" t="s">
        <v>1985</v>
      </c>
      <c r="E87" s="26">
        <f>+VLOOKUP(F87,'[3]Codes &amp; Descr. SFICS25'!D:E,2,FALSE)</f>
        <v>2602</v>
      </c>
      <c r="F87" s="26" t="s">
        <v>1986</v>
      </c>
      <c r="G87" s="26">
        <f>VLOOKUP(H87,'[3]Codes &amp; Descr. SFICS25'!F:H,2,FALSE)</f>
        <v>260205</v>
      </c>
      <c r="H87" s="26" t="s">
        <v>2015</v>
      </c>
      <c r="I87" s="26" t="s">
        <v>2016</v>
      </c>
      <c r="J87" s="26" t="s">
        <v>2017</v>
      </c>
      <c r="K87" s="26" t="s">
        <v>2018</v>
      </c>
      <c r="L87" s="28" t="s">
        <v>664</v>
      </c>
      <c r="M87" s="29" t="s">
        <v>1402</v>
      </c>
      <c r="N87" s="102" t="s">
        <v>2019</v>
      </c>
      <c r="O87" s="102" t="s">
        <v>2020</v>
      </c>
      <c r="P87" s="31" t="s">
        <v>2021</v>
      </c>
      <c r="Q87" s="31" t="s">
        <v>2022</v>
      </c>
      <c r="R87" s="99" t="s">
        <v>1410</v>
      </c>
      <c r="S87" s="99" t="s">
        <v>1410</v>
      </c>
      <c r="T87" s="100" t="s">
        <v>1994</v>
      </c>
      <c r="U87" s="34">
        <v>0</v>
      </c>
      <c r="V87" s="34">
        <v>0</v>
      </c>
      <c r="W87" s="34">
        <v>0</v>
      </c>
      <c r="X87" s="33" t="s">
        <v>1413</v>
      </c>
      <c r="Y87" s="34">
        <v>0</v>
      </c>
      <c r="Z87" s="34">
        <v>0</v>
      </c>
      <c r="AA87" s="34">
        <f t="shared" si="1"/>
        <v>1</v>
      </c>
      <c r="AB87" s="34">
        <v>0</v>
      </c>
      <c r="AC87" s="43"/>
    </row>
    <row r="88" spans="1:29" ht="50">
      <c r="A88" s="101"/>
      <c r="B88" s="148">
        <v>85</v>
      </c>
      <c r="C88" s="26">
        <f>VLOOKUP(D88,'[3]Codes &amp; Descr. SFICS25'!B:C,2,FALSE)</f>
        <v>26</v>
      </c>
      <c r="D88" s="26" t="s">
        <v>1985</v>
      </c>
      <c r="E88" s="26">
        <f>+VLOOKUP(F88,'[3]Codes &amp; Descr. SFICS25'!D:E,2,FALSE)</f>
        <v>2604</v>
      </c>
      <c r="F88" s="26" t="s">
        <v>2023</v>
      </c>
      <c r="G88" s="26">
        <f>VLOOKUP(H88,'[3]Codes &amp; Descr. SFICS25'!F:H,2,FALSE)</f>
        <v>260401</v>
      </c>
      <c r="H88" s="26" t="s">
        <v>2024</v>
      </c>
      <c r="I88" s="26" t="s">
        <v>2025</v>
      </c>
      <c r="J88" s="26" t="s">
        <v>2026</v>
      </c>
      <c r="K88" s="26" t="s">
        <v>2027</v>
      </c>
      <c r="L88" s="28" t="s">
        <v>672</v>
      </c>
      <c r="M88" s="29" t="s">
        <v>1402</v>
      </c>
      <c r="N88" s="99" t="s">
        <v>2028</v>
      </c>
      <c r="O88" s="99" t="s">
        <v>2029</v>
      </c>
      <c r="P88" s="196" t="s">
        <v>2030</v>
      </c>
      <c r="Q88" s="31" t="s">
        <v>2031</v>
      </c>
      <c r="R88" s="99" t="s">
        <v>1410</v>
      </c>
      <c r="S88" s="99" t="s">
        <v>1410</v>
      </c>
      <c r="T88" s="100" t="s">
        <v>1994</v>
      </c>
      <c r="U88" s="33" t="s">
        <v>1413</v>
      </c>
      <c r="V88" s="33" t="s">
        <v>1413</v>
      </c>
      <c r="W88" s="34">
        <v>0</v>
      </c>
      <c r="X88" s="34">
        <v>0</v>
      </c>
      <c r="Y88" s="34">
        <v>0</v>
      </c>
      <c r="Z88" s="34">
        <v>0</v>
      </c>
      <c r="AA88" s="34">
        <f t="shared" si="1"/>
        <v>1</v>
      </c>
      <c r="AB88" s="34">
        <v>0</v>
      </c>
      <c r="AC88" s="43"/>
    </row>
    <row r="89" spans="1:29" ht="39.75" customHeight="1">
      <c r="B89" s="148">
        <v>86</v>
      </c>
      <c r="C89" s="26">
        <f>VLOOKUP(D89,'[3]Codes &amp; Descr. SFICS25'!B:C,2,FALSE)</f>
        <v>26</v>
      </c>
      <c r="D89" s="26" t="s">
        <v>1985</v>
      </c>
      <c r="E89" s="26">
        <f>+VLOOKUP(F89,'[3]Codes &amp; Descr. SFICS25'!D:E,2,FALSE)</f>
        <v>2604</v>
      </c>
      <c r="F89" s="26" t="s">
        <v>2023</v>
      </c>
      <c r="G89" s="26">
        <f>VLOOKUP(H89,'[3]Codes &amp; Descr. SFICS25'!F:H,2,FALSE)</f>
        <v>260402</v>
      </c>
      <c r="H89" s="26" t="s">
        <v>2032</v>
      </c>
      <c r="I89" s="26" t="s">
        <v>2033</v>
      </c>
      <c r="J89" s="26" t="s">
        <v>2034</v>
      </c>
      <c r="K89" s="26" t="s">
        <v>2035</v>
      </c>
      <c r="L89" s="28" t="s">
        <v>680</v>
      </c>
      <c r="M89" s="29" t="s">
        <v>1402</v>
      </c>
      <c r="N89" s="99" t="s">
        <v>2036</v>
      </c>
      <c r="O89" s="99" t="s">
        <v>2037</v>
      </c>
      <c r="P89" s="31" t="s">
        <v>2038</v>
      </c>
      <c r="Q89" s="31" t="s">
        <v>2039</v>
      </c>
      <c r="R89" s="99" t="s">
        <v>1410</v>
      </c>
      <c r="S89" s="99" t="s">
        <v>1410</v>
      </c>
      <c r="T89" s="100" t="s">
        <v>1994</v>
      </c>
      <c r="U89" s="33" t="s">
        <v>1413</v>
      </c>
      <c r="V89" s="33" t="s">
        <v>1413</v>
      </c>
      <c r="W89" s="34">
        <v>0</v>
      </c>
      <c r="X89" s="34">
        <v>0</v>
      </c>
      <c r="Y89" s="34">
        <v>0</v>
      </c>
      <c r="Z89" s="34">
        <v>0</v>
      </c>
      <c r="AA89" s="34">
        <f t="shared" si="1"/>
        <v>1</v>
      </c>
      <c r="AB89" s="34">
        <v>0</v>
      </c>
      <c r="AC89" s="43"/>
    </row>
    <row r="90" spans="1:29" ht="39.75" customHeight="1">
      <c r="B90" s="148">
        <v>87</v>
      </c>
      <c r="C90" s="26">
        <f>VLOOKUP(D90,'[3]Codes &amp; Descr. SFICS25'!B:C,2,FALSE)</f>
        <v>26</v>
      </c>
      <c r="D90" s="26" t="s">
        <v>1985</v>
      </c>
      <c r="E90" s="26">
        <f>+VLOOKUP(F90,'[3]Codes &amp; Descr. SFICS25'!D:E,2,FALSE)</f>
        <v>2604</v>
      </c>
      <c r="F90" s="26" t="s">
        <v>2023</v>
      </c>
      <c r="G90" s="26">
        <f>VLOOKUP(H90,'[3]Codes &amp; Descr. SFICS25'!F:H,2,FALSE)</f>
        <v>260403</v>
      </c>
      <c r="H90" s="26" t="s">
        <v>2040</v>
      </c>
      <c r="I90" s="26" t="s">
        <v>2041</v>
      </c>
      <c r="J90" s="26" t="s">
        <v>2042</v>
      </c>
      <c r="K90" s="26" t="s">
        <v>2043</v>
      </c>
      <c r="L90" s="28" t="s">
        <v>688</v>
      </c>
      <c r="M90" s="29" t="s">
        <v>1402</v>
      </c>
      <c r="N90" s="99" t="s">
        <v>2044</v>
      </c>
      <c r="O90" s="99" t="s">
        <v>2045</v>
      </c>
      <c r="P90" s="31" t="s">
        <v>2046</v>
      </c>
      <c r="Q90" s="31" t="s">
        <v>2047</v>
      </c>
      <c r="R90" s="99" t="s">
        <v>1410</v>
      </c>
      <c r="S90" s="99" t="s">
        <v>1410</v>
      </c>
      <c r="T90" s="100" t="s">
        <v>1994</v>
      </c>
      <c r="U90" s="34">
        <v>0</v>
      </c>
      <c r="V90" s="34">
        <v>0</v>
      </c>
      <c r="W90" s="34">
        <v>0</v>
      </c>
      <c r="X90" s="33" t="s">
        <v>1413</v>
      </c>
      <c r="Y90" s="34">
        <v>0</v>
      </c>
      <c r="Z90" s="34">
        <v>0</v>
      </c>
      <c r="AA90" s="34">
        <f t="shared" si="1"/>
        <v>1</v>
      </c>
      <c r="AB90" s="34">
        <v>0</v>
      </c>
      <c r="AC90" s="43"/>
    </row>
    <row r="91" spans="1:29" ht="39.75" customHeight="1">
      <c r="B91" s="148">
        <v>88</v>
      </c>
      <c r="C91" s="26">
        <f>VLOOKUP(D91,'[3]Codes &amp; Descr. SFICS25'!B:C,2,FALSE)</f>
        <v>26</v>
      </c>
      <c r="D91" s="26" t="s">
        <v>1985</v>
      </c>
      <c r="E91" s="26">
        <f>+VLOOKUP(F91,'[3]Codes &amp; Descr. SFICS25'!D:E,2,FALSE)</f>
        <v>2604</v>
      </c>
      <c r="F91" s="26" t="s">
        <v>2023</v>
      </c>
      <c r="G91" s="26">
        <f>VLOOKUP(H91,'[3]Codes &amp; Descr. SFICS25'!F:H,2,FALSE)</f>
        <v>260404</v>
      </c>
      <c r="H91" s="26" t="s">
        <v>2048</v>
      </c>
      <c r="I91" s="26" t="s">
        <v>2049</v>
      </c>
      <c r="J91" s="26" t="s">
        <v>2050</v>
      </c>
      <c r="K91" s="26" t="s">
        <v>2051</v>
      </c>
      <c r="L91" s="28" t="s">
        <v>696</v>
      </c>
      <c r="M91" s="29" t="s">
        <v>1402</v>
      </c>
      <c r="N91" s="99" t="s">
        <v>2052</v>
      </c>
      <c r="O91" s="99" t="s">
        <v>2053</v>
      </c>
      <c r="P91" s="31" t="s">
        <v>1410</v>
      </c>
      <c r="Q91" s="31" t="s">
        <v>2054</v>
      </c>
      <c r="R91" s="99" t="s">
        <v>1410</v>
      </c>
      <c r="S91" s="99" t="s">
        <v>1410</v>
      </c>
      <c r="T91" s="100" t="s">
        <v>1994</v>
      </c>
      <c r="U91" s="34">
        <v>0</v>
      </c>
      <c r="V91" s="34">
        <v>0</v>
      </c>
      <c r="W91" s="34">
        <v>0</v>
      </c>
      <c r="X91" s="33" t="s">
        <v>1413</v>
      </c>
      <c r="Y91" s="33" t="s">
        <v>1413</v>
      </c>
      <c r="Z91" s="34">
        <v>0</v>
      </c>
      <c r="AA91" s="34">
        <f t="shared" si="1"/>
        <v>1</v>
      </c>
      <c r="AB91" s="34">
        <v>0</v>
      </c>
      <c r="AC91" s="43"/>
    </row>
    <row r="92" spans="1:29" ht="39.75" customHeight="1">
      <c r="B92" s="148">
        <v>89</v>
      </c>
      <c r="C92" s="26">
        <f>VLOOKUP(D92,'[3]Codes &amp; Descr. SFICS25'!B:C,2,FALSE)</f>
        <v>26</v>
      </c>
      <c r="D92" s="26" t="s">
        <v>1985</v>
      </c>
      <c r="E92" s="26">
        <f>+VLOOKUP(F92,'[3]Codes &amp; Descr. SFICS25'!D:E,2,FALSE)</f>
        <v>2604</v>
      </c>
      <c r="F92" s="26" t="s">
        <v>2023</v>
      </c>
      <c r="G92" s="26">
        <f>VLOOKUP(H92,'[3]Codes &amp; Descr. SFICS25'!F:H,2,FALSE)</f>
        <v>260405</v>
      </c>
      <c r="H92" s="26" t="s">
        <v>2055</v>
      </c>
      <c r="I92" s="26" t="s">
        <v>2056</v>
      </c>
      <c r="J92" s="26" t="s">
        <v>2057</v>
      </c>
      <c r="K92" s="26" t="s">
        <v>2058</v>
      </c>
      <c r="L92" s="28" t="s">
        <v>703</v>
      </c>
      <c r="M92" s="29" t="s">
        <v>1402</v>
      </c>
      <c r="N92" s="99" t="s">
        <v>2059</v>
      </c>
      <c r="O92" s="99" t="s">
        <v>2060</v>
      </c>
      <c r="P92" s="31" t="s">
        <v>1410</v>
      </c>
      <c r="Q92" s="31" t="s">
        <v>2061</v>
      </c>
      <c r="R92" s="99" t="s">
        <v>1410</v>
      </c>
      <c r="S92" s="99" t="s">
        <v>1410</v>
      </c>
      <c r="T92" s="100" t="s">
        <v>1994</v>
      </c>
      <c r="U92" s="34">
        <v>0</v>
      </c>
      <c r="V92" s="34">
        <v>0</v>
      </c>
      <c r="W92" s="34">
        <v>0</v>
      </c>
      <c r="X92" s="33" t="s">
        <v>1413</v>
      </c>
      <c r="Y92" s="34">
        <v>0</v>
      </c>
      <c r="Z92" s="34">
        <v>0</v>
      </c>
      <c r="AA92" s="34">
        <f t="shared" si="1"/>
        <v>1</v>
      </c>
      <c r="AB92" s="34">
        <v>0</v>
      </c>
      <c r="AC92" s="43"/>
    </row>
    <row r="93" spans="1:29" ht="39.75" customHeight="1">
      <c r="B93" s="148">
        <v>90</v>
      </c>
      <c r="C93" s="26">
        <f>VLOOKUP(D93,'[3]Codes &amp; Descr. SFICS25'!B:C,2,FALSE)</f>
        <v>26</v>
      </c>
      <c r="D93" s="26" t="s">
        <v>1985</v>
      </c>
      <c r="E93" s="26">
        <f>+VLOOKUP(F93,'[3]Codes &amp; Descr. SFICS25'!D:E,2,FALSE)</f>
        <v>2604</v>
      </c>
      <c r="F93" s="26" t="s">
        <v>2023</v>
      </c>
      <c r="G93" s="26">
        <f>VLOOKUP(H93,'[3]Codes &amp; Descr. SFICS25'!F:H,2,FALSE)</f>
        <v>260406</v>
      </c>
      <c r="H93" s="26" t="s">
        <v>2062</v>
      </c>
      <c r="I93" s="26" t="s">
        <v>2063</v>
      </c>
      <c r="J93" s="26" t="s">
        <v>2064</v>
      </c>
      <c r="K93" s="26" t="s">
        <v>2065</v>
      </c>
      <c r="L93" s="28" t="s">
        <v>711</v>
      </c>
      <c r="M93" s="29" t="s">
        <v>1402</v>
      </c>
      <c r="N93" s="99" t="s">
        <v>2066</v>
      </c>
      <c r="O93" s="99" t="s">
        <v>2067</v>
      </c>
      <c r="P93" s="31" t="s">
        <v>1983</v>
      </c>
      <c r="Q93" s="31" t="s">
        <v>2068</v>
      </c>
      <c r="R93" s="99" t="s">
        <v>1410</v>
      </c>
      <c r="S93" s="99" t="s">
        <v>1410</v>
      </c>
      <c r="T93" s="100" t="s">
        <v>1994</v>
      </c>
      <c r="U93" s="34">
        <v>0</v>
      </c>
      <c r="V93" s="34">
        <v>0</v>
      </c>
      <c r="W93" s="34">
        <v>0</v>
      </c>
      <c r="X93" s="33" t="s">
        <v>1413</v>
      </c>
      <c r="Y93" s="34">
        <v>0</v>
      </c>
      <c r="Z93" s="34">
        <v>0</v>
      </c>
      <c r="AA93" s="34">
        <f t="shared" si="1"/>
        <v>1</v>
      </c>
      <c r="AB93" s="34">
        <v>0</v>
      </c>
      <c r="AC93" s="43"/>
    </row>
    <row r="94" spans="1:29" ht="39.75" customHeight="1">
      <c r="B94" s="148">
        <v>91</v>
      </c>
      <c r="C94" s="26">
        <f>VLOOKUP(D94,'[3]Codes &amp; Descr. SFICS25'!B:C,2,FALSE)</f>
        <v>26</v>
      </c>
      <c r="D94" s="26" t="s">
        <v>1985</v>
      </c>
      <c r="E94" s="26">
        <f>+VLOOKUP(F94,'[3]Codes &amp; Descr. SFICS25'!D:E,2,FALSE)</f>
        <v>2604</v>
      </c>
      <c r="F94" s="26" t="s">
        <v>2023</v>
      </c>
      <c r="G94" s="26">
        <f>VLOOKUP(H94,'[3]Codes &amp; Descr. SFICS25'!F:H,2,FALSE)</f>
        <v>260407</v>
      </c>
      <c r="H94" s="26" t="s">
        <v>2069</v>
      </c>
      <c r="I94" s="26" t="s">
        <v>2070</v>
      </c>
      <c r="J94" s="26" t="s">
        <v>2071</v>
      </c>
      <c r="K94" s="26" t="s">
        <v>2072</v>
      </c>
      <c r="L94" s="28" t="s">
        <v>719</v>
      </c>
      <c r="M94" s="29" t="s">
        <v>1402</v>
      </c>
      <c r="N94" s="99" t="s">
        <v>2073</v>
      </c>
      <c r="O94" s="99" t="s">
        <v>2074</v>
      </c>
      <c r="P94" s="31" t="s">
        <v>2075</v>
      </c>
      <c r="Q94" s="31" t="s">
        <v>2076</v>
      </c>
      <c r="R94" s="99" t="s">
        <v>1410</v>
      </c>
      <c r="S94" s="99" t="s">
        <v>1410</v>
      </c>
      <c r="T94" s="100" t="s">
        <v>1994</v>
      </c>
      <c r="U94" s="34">
        <v>0</v>
      </c>
      <c r="V94" s="34">
        <v>0</v>
      </c>
      <c r="W94" s="34">
        <v>0</v>
      </c>
      <c r="X94" s="34">
        <v>0</v>
      </c>
      <c r="Y94" s="33" t="s">
        <v>1413</v>
      </c>
      <c r="Z94" s="34">
        <v>0</v>
      </c>
      <c r="AA94" s="34">
        <f t="shared" si="1"/>
        <v>1</v>
      </c>
      <c r="AB94" s="34">
        <v>0</v>
      </c>
      <c r="AC94" s="43"/>
    </row>
    <row r="95" spans="1:29" ht="39.75" customHeight="1">
      <c r="B95" s="148">
        <v>92</v>
      </c>
      <c r="C95" s="26">
        <f>VLOOKUP(D95,'[3]Codes &amp; Descr. SFICS25'!B:C,2,FALSE)</f>
        <v>26</v>
      </c>
      <c r="D95" s="26" t="s">
        <v>1985</v>
      </c>
      <c r="E95" s="26">
        <f>+VLOOKUP(F95,'[3]Codes &amp; Descr. SFICS25'!D:E,2,FALSE)</f>
        <v>2603</v>
      </c>
      <c r="F95" s="26" t="s">
        <v>2077</v>
      </c>
      <c r="G95" s="26">
        <f>VLOOKUP(H95,'[3]Codes &amp; Descr. SFICS25'!F:H,2,FALSE)</f>
        <v>260301</v>
      </c>
      <c r="H95" s="26" t="s">
        <v>2078</v>
      </c>
      <c r="I95" s="26" t="s">
        <v>2079</v>
      </c>
      <c r="J95" s="26" t="s">
        <v>2080</v>
      </c>
      <c r="K95" s="26" t="s">
        <v>2081</v>
      </c>
      <c r="L95" s="28" t="s">
        <v>728</v>
      </c>
      <c r="M95" s="29" t="s">
        <v>1402</v>
      </c>
      <c r="N95" s="99" t="s">
        <v>2082</v>
      </c>
      <c r="O95" s="99" t="s">
        <v>2083</v>
      </c>
      <c r="P95" s="31" t="s">
        <v>1410</v>
      </c>
      <c r="Q95" s="31" t="s">
        <v>2084</v>
      </c>
      <c r="R95" s="99" t="s">
        <v>1410</v>
      </c>
      <c r="S95" s="99" t="s">
        <v>1410</v>
      </c>
      <c r="T95" s="100" t="s">
        <v>1994</v>
      </c>
      <c r="U95" s="33" t="s">
        <v>1413</v>
      </c>
      <c r="V95" s="33" t="s">
        <v>1413</v>
      </c>
      <c r="W95" s="34">
        <v>0</v>
      </c>
      <c r="X95" s="34">
        <v>0</v>
      </c>
      <c r="Y95" s="34">
        <v>0</v>
      </c>
      <c r="Z95" s="34">
        <v>0</v>
      </c>
      <c r="AA95" s="34">
        <f t="shared" si="1"/>
        <v>1</v>
      </c>
      <c r="AB95" s="34">
        <v>0</v>
      </c>
      <c r="AC95" s="43"/>
    </row>
    <row r="96" spans="1:29" ht="39.75" customHeight="1">
      <c r="B96" s="148">
        <v>93</v>
      </c>
      <c r="C96" s="26">
        <f>VLOOKUP(D96,'[3]Codes &amp; Descr. SFICS25'!B:C,2,FALSE)</f>
        <v>26</v>
      </c>
      <c r="D96" s="26" t="s">
        <v>1985</v>
      </c>
      <c r="E96" s="26">
        <f>+VLOOKUP(F96,'[3]Codes &amp; Descr. SFICS25'!D:E,2,FALSE)</f>
        <v>2603</v>
      </c>
      <c r="F96" s="26" t="s">
        <v>2077</v>
      </c>
      <c r="G96" s="26">
        <f>VLOOKUP(H96,'[3]Codes &amp; Descr. SFICS25'!F:H,2,FALSE)</f>
        <v>260302</v>
      </c>
      <c r="H96" s="26" t="s">
        <v>2085</v>
      </c>
      <c r="I96" s="26" t="s">
        <v>2086</v>
      </c>
      <c r="J96" s="26" t="s">
        <v>2087</v>
      </c>
      <c r="K96" s="26" t="s">
        <v>2088</v>
      </c>
      <c r="L96" s="28" t="s">
        <v>735</v>
      </c>
      <c r="M96" s="29" t="s">
        <v>1402</v>
      </c>
      <c r="N96" s="99" t="s">
        <v>2089</v>
      </c>
      <c r="O96" s="99" t="s">
        <v>2090</v>
      </c>
      <c r="P96" s="31" t="s">
        <v>2091</v>
      </c>
      <c r="Q96" s="31" t="s">
        <v>2092</v>
      </c>
      <c r="R96" s="99" t="s">
        <v>1410</v>
      </c>
      <c r="S96" s="99" t="s">
        <v>1410</v>
      </c>
      <c r="T96" s="100" t="s">
        <v>1994</v>
      </c>
      <c r="U96" s="33" t="s">
        <v>1413</v>
      </c>
      <c r="V96" s="33" t="s">
        <v>1413</v>
      </c>
      <c r="W96" s="34">
        <v>0</v>
      </c>
      <c r="X96" s="34">
        <v>0</v>
      </c>
      <c r="Y96" s="34">
        <v>0</v>
      </c>
      <c r="Z96" s="34">
        <v>0</v>
      </c>
      <c r="AA96" s="34">
        <f t="shared" si="1"/>
        <v>1</v>
      </c>
      <c r="AB96" s="34">
        <v>0</v>
      </c>
      <c r="AC96" s="43"/>
    </row>
    <row r="97" spans="1:29" ht="39.75" customHeight="1">
      <c r="B97" s="148">
        <v>94</v>
      </c>
      <c r="C97" s="26">
        <f>VLOOKUP(D97,'[3]Codes &amp; Descr. SFICS25'!B:C,2,FALSE)</f>
        <v>26</v>
      </c>
      <c r="D97" s="26" t="s">
        <v>1985</v>
      </c>
      <c r="E97" s="26">
        <f>+VLOOKUP(F97,'[3]Codes &amp; Descr. SFICS25'!D:E,2,FALSE)</f>
        <v>2603</v>
      </c>
      <c r="F97" s="26" t="s">
        <v>2077</v>
      </c>
      <c r="G97" s="26">
        <f>VLOOKUP(H97,'[3]Codes &amp; Descr. SFICS25'!F:H,2,FALSE)</f>
        <v>260303</v>
      </c>
      <c r="H97" s="26" t="s">
        <v>2093</v>
      </c>
      <c r="I97" s="26" t="s">
        <v>2094</v>
      </c>
      <c r="J97" s="26" t="s">
        <v>2095</v>
      </c>
      <c r="K97" s="26" t="s">
        <v>2096</v>
      </c>
      <c r="L97" s="28" t="s">
        <v>743</v>
      </c>
      <c r="M97" s="29" t="s">
        <v>1402</v>
      </c>
      <c r="N97" s="99" t="s">
        <v>2097</v>
      </c>
      <c r="O97" s="99" t="s">
        <v>2098</v>
      </c>
      <c r="P97" s="31" t="s">
        <v>2099</v>
      </c>
      <c r="Q97" s="31" t="s">
        <v>2100</v>
      </c>
      <c r="R97" s="99" t="s">
        <v>1410</v>
      </c>
      <c r="S97" s="99" t="s">
        <v>1410</v>
      </c>
      <c r="T97" s="100" t="s">
        <v>1994</v>
      </c>
      <c r="U97" s="33" t="s">
        <v>1413</v>
      </c>
      <c r="V97" s="33" t="s">
        <v>1413</v>
      </c>
      <c r="W97" s="34">
        <v>0</v>
      </c>
      <c r="X97" s="34">
        <v>0</v>
      </c>
      <c r="Y97" s="34">
        <v>0</v>
      </c>
      <c r="Z97" s="34">
        <v>0</v>
      </c>
      <c r="AA97" s="34">
        <f t="shared" si="1"/>
        <v>1</v>
      </c>
      <c r="AB97" s="34">
        <v>0</v>
      </c>
      <c r="AC97" s="43"/>
    </row>
    <row r="98" spans="1:29" ht="39.75" customHeight="1">
      <c r="B98" s="148">
        <v>95</v>
      </c>
      <c r="C98" s="26">
        <f>VLOOKUP(D98,'[3]Codes &amp; Descr. SFICS25'!B:C,2,FALSE)</f>
        <v>26</v>
      </c>
      <c r="D98" s="26" t="s">
        <v>1985</v>
      </c>
      <c r="E98" s="26">
        <f>+VLOOKUP(F98,'[3]Codes &amp; Descr. SFICS25'!D:E,2,FALSE)</f>
        <v>2603</v>
      </c>
      <c r="F98" s="26" t="s">
        <v>2077</v>
      </c>
      <c r="G98" s="26">
        <f>VLOOKUP(H98,'[3]Codes &amp; Descr. SFICS25'!F:H,2,FALSE)</f>
        <v>260304</v>
      </c>
      <c r="H98" s="26" t="s">
        <v>2101</v>
      </c>
      <c r="I98" s="26" t="s">
        <v>2102</v>
      </c>
      <c r="J98" s="26" t="s">
        <v>2103</v>
      </c>
      <c r="K98" s="26" t="s">
        <v>2104</v>
      </c>
      <c r="L98" s="28" t="s">
        <v>751</v>
      </c>
      <c r="M98" s="29" t="s">
        <v>1402</v>
      </c>
      <c r="N98" s="99" t="s">
        <v>2105</v>
      </c>
      <c r="O98" s="99" t="s">
        <v>2106</v>
      </c>
      <c r="P98" s="31" t="s">
        <v>2107</v>
      </c>
      <c r="Q98" s="31" t="s">
        <v>2108</v>
      </c>
      <c r="R98" s="99" t="s">
        <v>1410</v>
      </c>
      <c r="S98" s="99" t="s">
        <v>1410</v>
      </c>
      <c r="T98" s="100" t="s">
        <v>1994</v>
      </c>
      <c r="U98" s="33" t="s">
        <v>1413</v>
      </c>
      <c r="V98" s="33" t="s">
        <v>1413</v>
      </c>
      <c r="W98" s="34">
        <v>0</v>
      </c>
      <c r="X98" s="34">
        <v>0</v>
      </c>
      <c r="Y98" s="34">
        <v>0</v>
      </c>
      <c r="Z98" s="34">
        <v>0</v>
      </c>
      <c r="AA98" s="34">
        <f t="shared" si="1"/>
        <v>1</v>
      </c>
      <c r="AB98" s="34">
        <v>0</v>
      </c>
      <c r="AC98" s="43"/>
    </row>
    <row r="99" spans="1:29" ht="39.75" customHeight="1">
      <c r="B99" s="148">
        <v>96</v>
      </c>
      <c r="C99" s="26">
        <f>VLOOKUP(D99,'[3]Codes &amp; Descr. SFICS25'!B:C,2,FALSE)</f>
        <v>26</v>
      </c>
      <c r="D99" s="26" t="s">
        <v>1985</v>
      </c>
      <c r="E99" s="26">
        <f>+VLOOKUP(F99,'[3]Codes &amp; Descr. SFICS25'!D:E,2,FALSE)</f>
        <v>2603</v>
      </c>
      <c r="F99" s="26" t="s">
        <v>2077</v>
      </c>
      <c r="G99" s="26">
        <f>VLOOKUP(H99,'[3]Codes &amp; Descr. SFICS25'!F:H,2,FALSE)</f>
        <v>260305</v>
      </c>
      <c r="H99" s="26" t="s">
        <v>2109</v>
      </c>
      <c r="I99" s="26" t="s">
        <v>2110</v>
      </c>
      <c r="J99" s="26" t="s">
        <v>2111</v>
      </c>
      <c r="K99" s="26" t="s">
        <v>2112</v>
      </c>
      <c r="L99" s="28" t="s">
        <v>759</v>
      </c>
      <c r="M99" s="29" t="s">
        <v>1402</v>
      </c>
      <c r="N99" s="99" t="s">
        <v>2113</v>
      </c>
      <c r="O99" s="99" t="s">
        <v>2114</v>
      </c>
      <c r="P99" s="31" t="s">
        <v>2115</v>
      </c>
      <c r="Q99" s="31" t="s">
        <v>2116</v>
      </c>
      <c r="R99" s="99" t="s">
        <v>1410</v>
      </c>
      <c r="S99" s="99" t="s">
        <v>1410</v>
      </c>
      <c r="T99" s="100" t="s">
        <v>1994</v>
      </c>
      <c r="U99" s="34">
        <v>0</v>
      </c>
      <c r="V99" s="34">
        <v>0</v>
      </c>
      <c r="W99" s="34">
        <v>0</v>
      </c>
      <c r="X99" s="33" t="s">
        <v>1413</v>
      </c>
      <c r="Y99" s="34">
        <v>0</v>
      </c>
      <c r="Z99" s="34">
        <v>0</v>
      </c>
      <c r="AA99" s="34">
        <f t="shared" si="1"/>
        <v>1</v>
      </c>
      <c r="AB99" s="34">
        <v>0</v>
      </c>
      <c r="AC99" s="43"/>
    </row>
    <row r="100" spans="1:29" ht="39.75" customHeight="1">
      <c r="B100" s="148">
        <v>97</v>
      </c>
      <c r="C100" s="26">
        <f>VLOOKUP(D100,'[3]Codes &amp; Descr. SFICS25'!B:C,2,FALSE)</f>
        <v>26</v>
      </c>
      <c r="D100" s="26" t="s">
        <v>1985</v>
      </c>
      <c r="E100" s="26">
        <f>+VLOOKUP(F100,'[3]Codes &amp; Descr. SFICS25'!D:E,2,FALSE)</f>
        <v>2601</v>
      </c>
      <c r="F100" s="26" t="s">
        <v>2117</v>
      </c>
      <c r="G100" s="26">
        <f>VLOOKUP(H100,'[3]Codes &amp; Descr. SFICS25'!F:H,2,FALSE)</f>
        <v>260101</v>
      </c>
      <c r="H100" s="26" t="s">
        <v>2118</v>
      </c>
      <c r="I100" s="26" t="s">
        <v>2119</v>
      </c>
      <c r="J100" s="26" t="s">
        <v>2120</v>
      </c>
      <c r="K100" s="26" t="s">
        <v>2121</v>
      </c>
      <c r="L100" s="28" t="s">
        <v>767</v>
      </c>
      <c r="M100" s="29" t="s">
        <v>1402</v>
      </c>
      <c r="N100" s="99" t="s">
        <v>2122</v>
      </c>
      <c r="O100" s="99" t="s">
        <v>2123</v>
      </c>
      <c r="P100" s="31" t="s">
        <v>2124</v>
      </c>
      <c r="Q100" s="31" t="s">
        <v>2125</v>
      </c>
      <c r="R100" s="99" t="s">
        <v>1410</v>
      </c>
      <c r="S100" s="99" t="s">
        <v>1410</v>
      </c>
      <c r="T100" s="100" t="s">
        <v>1994</v>
      </c>
      <c r="U100" s="33" t="s">
        <v>1413</v>
      </c>
      <c r="V100" s="33" t="s">
        <v>1413</v>
      </c>
      <c r="W100" s="34">
        <v>0</v>
      </c>
      <c r="X100" s="34">
        <v>0</v>
      </c>
      <c r="Y100" s="34">
        <v>0</v>
      </c>
      <c r="Z100" s="34">
        <v>0</v>
      </c>
      <c r="AA100" s="34">
        <f t="shared" si="1"/>
        <v>1</v>
      </c>
      <c r="AB100" s="34">
        <v>0</v>
      </c>
      <c r="AC100" s="43"/>
    </row>
    <row r="101" spans="1:29" ht="120">
      <c r="A101" s="101"/>
      <c r="B101" s="148">
        <v>98</v>
      </c>
      <c r="C101" s="26">
        <f>VLOOKUP(D101,'[3]Codes &amp; Descr. SFICS25'!B:C,2,FALSE)</f>
        <v>26</v>
      </c>
      <c r="D101" s="26" t="s">
        <v>1985</v>
      </c>
      <c r="E101" s="26">
        <f>+VLOOKUP(F101,'[3]Codes &amp; Descr. SFICS25'!D:E,2,FALSE)</f>
        <v>2601</v>
      </c>
      <c r="F101" s="26" t="s">
        <v>2117</v>
      </c>
      <c r="G101" s="26">
        <f>VLOOKUP(H101,'[3]Codes &amp; Descr. SFICS25'!F:H,2,FALSE)</f>
        <v>260102</v>
      </c>
      <c r="H101" s="26" t="s">
        <v>2126</v>
      </c>
      <c r="I101" s="26" t="s">
        <v>2127</v>
      </c>
      <c r="J101" s="26" t="s">
        <v>2127</v>
      </c>
      <c r="K101" s="26" t="s">
        <v>2128</v>
      </c>
      <c r="L101" s="28" t="s">
        <v>774</v>
      </c>
      <c r="M101" s="29" t="s">
        <v>1402</v>
      </c>
      <c r="N101" s="99" t="s">
        <v>2129</v>
      </c>
      <c r="O101" s="99" t="s">
        <v>2130</v>
      </c>
      <c r="P101" s="197" t="s">
        <v>2131</v>
      </c>
      <c r="Q101" s="197" t="s">
        <v>2132</v>
      </c>
      <c r="R101" s="99" t="s">
        <v>1410</v>
      </c>
      <c r="S101" s="99" t="s">
        <v>1410</v>
      </c>
      <c r="T101" s="100" t="s">
        <v>1994</v>
      </c>
      <c r="U101" s="34">
        <v>0</v>
      </c>
      <c r="V101" s="33" t="s">
        <v>1546</v>
      </c>
      <c r="W101" s="34">
        <v>0</v>
      </c>
      <c r="X101" s="34">
        <v>0</v>
      </c>
      <c r="Y101" s="34">
        <v>0</v>
      </c>
      <c r="Z101" s="34">
        <v>0</v>
      </c>
      <c r="AA101" s="34">
        <f t="shared" si="1"/>
        <v>1</v>
      </c>
      <c r="AB101" s="34">
        <v>0</v>
      </c>
      <c r="AC101" s="43"/>
    </row>
    <row r="102" spans="1:29" ht="39.75" customHeight="1">
      <c r="B102" s="148">
        <v>99</v>
      </c>
      <c r="C102" s="26">
        <f>VLOOKUP(D102,'[3]Codes &amp; Descr. SFICS25'!B:C,2,FALSE)</f>
        <v>26</v>
      </c>
      <c r="D102" s="26" t="s">
        <v>1985</v>
      </c>
      <c r="E102" s="26">
        <f>+VLOOKUP(F102,'[3]Codes &amp; Descr. SFICS25'!D:E,2,FALSE)</f>
        <v>2601</v>
      </c>
      <c r="F102" s="26" t="s">
        <v>2117</v>
      </c>
      <c r="G102" s="26">
        <f>VLOOKUP(H102,'[3]Codes &amp; Descr. SFICS25'!F:H,2,FALSE)</f>
        <v>260103</v>
      </c>
      <c r="H102" s="26" t="s">
        <v>2133</v>
      </c>
      <c r="I102" s="26" t="s">
        <v>2134</v>
      </c>
      <c r="J102" s="26" t="s">
        <v>2135</v>
      </c>
      <c r="K102" s="26" t="s">
        <v>2136</v>
      </c>
      <c r="L102" s="28" t="s">
        <v>764</v>
      </c>
      <c r="M102" s="29" t="s">
        <v>1402</v>
      </c>
      <c r="N102" s="99" t="s">
        <v>2137</v>
      </c>
      <c r="O102" s="99" t="s">
        <v>2138</v>
      </c>
      <c r="P102" s="31" t="s">
        <v>2013</v>
      </c>
      <c r="Q102" s="31" t="s">
        <v>2139</v>
      </c>
      <c r="R102" s="99" t="s">
        <v>1410</v>
      </c>
      <c r="S102" s="99" t="s">
        <v>1410</v>
      </c>
      <c r="T102" s="100" t="s">
        <v>1994</v>
      </c>
      <c r="U102" s="34">
        <v>0</v>
      </c>
      <c r="V102" s="34">
        <v>0</v>
      </c>
      <c r="W102" s="33" t="s">
        <v>1413</v>
      </c>
      <c r="X102" s="34">
        <v>0</v>
      </c>
      <c r="Y102" s="34">
        <v>0</v>
      </c>
      <c r="Z102" s="34">
        <v>0</v>
      </c>
      <c r="AA102" s="34">
        <f t="shared" si="1"/>
        <v>1</v>
      </c>
      <c r="AB102" s="34">
        <v>0</v>
      </c>
      <c r="AC102" s="43"/>
    </row>
    <row r="103" spans="1:29" ht="39.75" customHeight="1">
      <c r="B103" s="148">
        <v>100</v>
      </c>
      <c r="C103" s="26">
        <f>VLOOKUP(D103,'[3]Codes &amp; Descr. SFICS25'!B:C,2,FALSE)</f>
        <v>26</v>
      </c>
      <c r="D103" s="26" t="s">
        <v>1985</v>
      </c>
      <c r="E103" s="26">
        <f>+VLOOKUP(F103,'[3]Codes &amp; Descr. SFICS25'!D:E,2,FALSE)</f>
        <v>2601</v>
      </c>
      <c r="F103" s="26" t="s">
        <v>2117</v>
      </c>
      <c r="G103" s="26">
        <f>VLOOKUP(H103,'[3]Codes &amp; Descr. SFICS25'!F:H,2,FALSE)</f>
        <v>260104</v>
      </c>
      <c r="H103" s="26" t="s">
        <v>2140</v>
      </c>
      <c r="I103" s="26" t="s">
        <v>2141</v>
      </c>
      <c r="J103" s="26" t="s">
        <v>2141</v>
      </c>
      <c r="K103" s="26" t="s">
        <v>2142</v>
      </c>
      <c r="L103" s="28" t="s">
        <v>281</v>
      </c>
      <c r="M103" s="29" t="s">
        <v>1402</v>
      </c>
      <c r="N103" s="99" t="s">
        <v>2143</v>
      </c>
      <c r="O103" s="99" t="s">
        <v>2144</v>
      </c>
      <c r="P103" s="31" t="s">
        <v>2145</v>
      </c>
      <c r="Q103" s="31" t="s">
        <v>1410</v>
      </c>
      <c r="R103" s="99" t="s">
        <v>1410</v>
      </c>
      <c r="S103" s="99" t="s">
        <v>1410</v>
      </c>
      <c r="T103" s="100" t="s">
        <v>1994</v>
      </c>
      <c r="U103" s="34">
        <v>0</v>
      </c>
      <c r="V103" s="34">
        <v>0</v>
      </c>
      <c r="W103" s="34">
        <v>0</v>
      </c>
      <c r="X103" s="34">
        <v>0</v>
      </c>
      <c r="Y103" s="34">
        <v>0</v>
      </c>
      <c r="Z103" s="34">
        <v>0</v>
      </c>
      <c r="AA103" s="34">
        <f t="shared" si="1"/>
        <v>1</v>
      </c>
      <c r="AB103" s="34">
        <v>0</v>
      </c>
      <c r="AC103" s="43"/>
    </row>
    <row r="104" spans="1:29" ht="39.75" customHeight="1">
      <c r="B104" s="148">
        <v>101</v>
      </c>
      <c r="C104" s="26">
        <f>VLOOKUP(D104,'[3]Codes &amp; Descr. SFICS25'!B:C,2,FALSE)</f>
        <v>26</v>
      </c>
      <c r="D104" s="26" t="s">
        <v>1985</v>
      </c>
      <c r="E104" s="26">
        <f>+VLOOKUP(F104,'[3]Codes &amp; Descr. SFICS25'!D:E,2,FALSE)</f>
        <v>2605</v>
      </c>
      <c r="F104" s="26" t="s">
        <v>2146</v>
      </c>
      <c r="G104" s="26">
        <f>VLOOKUP(H104,'[3]Codes &amp; Descr. SFICS25'!F:H,2,FALSE)</f>
        <v>260501</v>
      </c>
      <c r="H104" s="26" t="s">
        <v>2147</v>
      </c>
      <c r="I104" s="26" t="s">
        <v>2148</v>
      </c>
      <c r="J104" s="26" t="s">
        <v>2149</v>
      </c>
      <c r="K104" s="26" t="s">
        <v>2150</v>
      </c>
      <c r="L104" s="28" t="s">
        <v>794</v>
      </c>
      <c r="M104" s="29" t="s">
        <v>1402</v>
      </c>
      <c r="N104" s="99" t="s">
        <v>2151</v>
      </c>
      <c r="O104" s="99" t="s">
        <v>2152</v>
      </c>
      <c r="P104" s="31" t="s">
        <v>1410</v>
      </c>
      <c r="Q104" s="31" t="s">
        <v>2153</v>
      </c>
      <c r="R104" s="99" t="s">
        <v>1410</v>
      </c>
      <c r="S104" s="99" t="s">
        <v>1410</v>
      </c>
      <c r="T104" s="100" t="s">
        <v>1994</v>
      </c>
      <c r="U104" s="34">
        <v>0</v>
      </c>
      <c r="V104" s="34">
        <v>0</v>
      </c>
      <c r="W104" s="34">
        <v>0</v>
      </c>
      <c r="X104" s="34">
        <v>0</v>
      </c>
      <c r="Y104" s="33" t="s">
        <v>1413</v>
      </c>
      <c r="Z104" s="34">
        <v>0</v>
      </c>
      <c r="AA104" s="34">
        <f t="shared" si="1"/>
        <v>1</v>
      </c>
      <c r="AB104" s="34">
        <v>0</v>
      </c>
      <c r="AC104" s="43"/>
    </row>
    <row r="105" spans="1:29" ht="39.75" customHeight="1">
      <c r="B105" s="148">
        <v>102</v>
      </c>
      <c r="C105" s="26">
        <f>VLOOKUP(D105,'[3]Codes &amp; Descr. SFICS25'!B:C,2,FALSE)</f>
        <v>26</v>
      </c>
      <c r="D105" s="26" t="s">
        <v>1985</v>
      </c>
      <c r="E105" s="26">
        <f>+VLOOKUP(F105,'[3]Codes &amp; Descr. SFICS25'!D:E,2,FALSE)</f>
        <v>2605</v>
      </c>
      <c r="F105" s="26" t="s">
        <v>2146</v>
      </c>
      <c r="G105" s="26">
        <f>VLOOKUP(H105,'[3]Codes &amp; Descr. SFICS25'!F:H,2,FALSE)</f>
        <v>260502</v>
      </c>
      <c r="H105" s="26" t="s">
        <v>2154</v>
      </c>
      <c r="I105" s="26" t="s">
        <v>2155</v>
      </c>
      <c r="J105" s="26" t="s">
        <v>2156</v>
      </c>
      <c r="K105" s="26" t="s">
        <v>2157</v>
      </c>
      <c r="L105" s="28" t="s">
        <v>801</v>
      </c>
      <c r="M105" s="29" t="s">
        <v>1402</v>
      </c>
      <c r="N105" s="99" t="s">
        <v>2158</v>
      </c>
      <c r="O105" s="99" t="s">
        <v>2159</v>
      </c>
      <c r="P105" s="31" t="s">
        <v>1410</v>
      </c>
      <c r="Q105" s="31" t="s">
        <v>2160</v>
      </c>
      <c r="R105" s="99" t="s">
        <v>1410</v>
      </c>
      <c r="S105" s="99" t="s">
        <v>1410</v>
      </c>
      <c r="T105" s="100" t="s">
        <v>1994</v>
      </c>
      <c r="U105" s="34">
        <v>0</v>
      </c>
      <c r="V105" s="34">
        <v>0</v>
      </c>
      <c r="W105" s="34">
        <v>0</v>
      </c>
      <c r="X105" s="34">
        <v>0</v>
      </c>
      <c r="Y105" s="33" t="s">
        <v>1413</v>
      </c>
      <c r="Z105" s="34">
        <v>0</v>
      </c>
      <c r="AA105" s="34">
        <f t="shared" si="1"/>
        <v>1</v>
      </c>
      <c r="AB105" s="34">
        <v>0</v>
      </c>
      <c r="AC105" s="43"/>
    </row>
    <row r="106" spans="1:29" ht="39.75" customHeight="1">
      <c r="B106" s="148">
        <v>103</v>
      </c>
      <c r="C106" s="26">
        <f>VLOOKUP(D106,'[3]Codes &amp; Descr. SFICS25'!B:C,2,FALSE)</f>
        <v>26</v>
      </c>
      <c r="D106" s="26" t="s">
        <v>1985</v>
      </c>
      <c r="E106" s="26">
        <f>+VLOOKUP(F106,'[3]Codes &amp; Descr. SFICS25'!D:E,2,FALSE)</f>
        <v>2606</v>
      </c>
      <c r="F106" s="26" t="s">
        <v>2161</v>
      </c>
      <c r="G106" s="26">
        <f>VLOOKUP(H106,'[3]Codes &amp; Descr. SFICS25'!F:H,2,FALSE)</f>
        <v>260601</v>
      </c>
      <c r="H106" s="26" t="s">
        <v>2162</v>
      </c>
      <c r="I106" s="26" t="s">
        <v>2163</v>
      </c>
      <c r="J106" s="26" t="s">
        <v>2163</v>
      </c>
      <c r="K106" s="26" t="s">
        <v>2162</v>
      </c>
      <c r="L106" s="28" t="s">
        <v>806</v>
      </c>
      <c r="M106" s="29" t="s">
        <v>1402</v>
      </c>
      <c r="N106" s="99" t="s">
        <v>2164</v>
      </c>
      <c r="O106" s="99" t="s">
        <v>2165</v>
      </c>
      <c r="P106" s="31" t="s">
        <v>2166</v>
      </c>
      <c r="Q106" s="31" t="s">
        <v>2167</v>
      </c>
      <c r="R106" s="99" t="s">
        <v>1410</v>
      </c>
      <c r="S106" s="99" t="s">
        <v>1410</v>
      </c>
      <c r="T106" s="100" t="s">
        <v>1994</v>
      </c>
      <c r="U106" s="33" t="s">
        <v>1546</v>
      </c>
      <c r="V106" s="33" t="s">
        <v>1413</v>
      </c>
      <c r="W106" s="34">
        <v>0</v>
      </c>
      <c r="X106" s="34">
        <v>0</v>
      </c>
      <c r="Y106" s="34">
        <v>0</v>
      </c>
      <c r="Z106" s="34">
        <v>0</v>
      </c>
      <c r="AA106" s="34">
        <f t="shared" si="1"/>
        <v>1</v>
      </c>
      <c r="AB106" s="34">
        <v>0</v>
      </c>
      <c r="AC106" s="43"/>
    </row>
    <row r="107" spans="1:29" ht="39.75" customHeight="1">
      <c r="B107" s="148">
        <v>104</v>
      </c>
      <c r="C107" s="26">
        <f>VLOOKUP(D107,'[3]Codes &amp; Descr. SFICS25'!B:C,2,FALSE)</f>
        <v>26</v>
      </c>
      <c r="D107" s="26" t="s">
        <v>1985</v>
      </c>
      <c r="E107" s="26">
        <f>+VLOOKUP(F107,'[3]Codes &amp; Descr. SFICS25'!D:E,2,FALSE)</f>
        <v>2606</v>
      </c>
      <c r="F107" s="26" t="s">
        <v>2161</v>
      </c>
      <c r="G107" s="26">
        <f>VLOOKUP(H107,'[3]Codes &amp; Descr. SFICS25'!F:H,2,FALSE)</f>
        <v>260602</v>
      </c>
      <c r="H107" s="26" t="s">
        <v>2168</v>
      </c>
      <c r="I107" s="26" t="s">
        <v>2169</v>
      </c>
      <c r="J107" s="26" t="s">
        <v>2169</v>
      </c>
      <c r="K107" s="26" t="s">
        <v>2168</v>
      </c>
      <c r="L107" s="28" t="s">
        <v>815</v>
      </c>
      <c r="M107" s="29" t="s">
        <v>1402</v>
      </c>
      <c r="N107" s="99" t="s">
        <v>2170</v>
      </c>
      <c r="O107" s="99" t="s">
        <v>2171</v>
      </c>
      <c r="P107" s="31" t="s">
        <v>1410</v>
      </c>
      <c r="Q107" s="31" t="s">
        <v>2172</v>
      </c>
      <c r="R107" s="99" t="s">
        <v>1410</v>
      </c>
      <c r="S107" s="99" t="s">
        <v>1410</v>
      </c>
      <c r="T107" s="100" t="s">
        <v>1994</v>
      </c>
      <c r="U107" s="33" t="s">
        <v>1413</v>
      </c>
      <c r="V107" s="33" t="s">
        <v>1413</v>
      </c>
      <c r="W107" s="34">
        <v>0</v>
      </c>
      <c r="X107" s="34">
        <v>0</v>
      </c>
      <c r="Y107" s="34">
        <v>0</v>
      </c>
      <c r="Z107" s="34">
        <v>0</v>
      </c>
      <c r="AA107" s="34">
        <f t="shared" si="1"/>
        <v>1</v>
      </c>
      <c r="AB107" s="34">
        <v>0</v>
      </c>
      <c r="AC107" s="43"/>
    </row>
    <row r="108" spans="1:29" ht="39.75" customHeight="1">
      <c r="B108" s="148">
        <v>105</v>
      </c>
      <c r="C108" s="26">
        <f>VLOOKUP(D108,'[3]Codes &amp; Descr. SFICS25'!B:C,2,FALSE)</f>
        <v>26</v>
      </c>
      <c r="D108" s="26" t="s">
        <v>1985</v>
      </c>
      <c r="E108" s="26">
        <f>+VLOOKUP(F108,'[3]Codes &amp; Descr. SFICS25'!D:E,2,FALSE)</f>
        <v>2604</v>
      </c>
      <c r="F108" s="26" t="s">
        <v>2023</v>
      </c>
      <c r="G108" s="26">
        <f>VLOOKUP(H108,'[3]Codes &amp; Descr. SFICS25'!F:H,2,FALSE)</f>
        <v>260408</v>
      </c>
      <c r="H108" s="26" t="s">
        <v>2173</v>
      </c>
      <c r="I108" s="26" t="s">
        <v>2174</v>
      </c>
      <c r="J108" s="26" t="s">
        <v>2174</v>
      </c>
      <c r="K108" s="26" t="s">
        <v>2173</v>
      </c>
      <c r="L108" s="28"/>
      <c r="M108" s="29" t="s">
        <v>1402</v>
      </c>
      <c r="N108" s="99" t="s">
        <v>2175</v>
      </c>
      <c r="O108" s="102" t="s">
        <v>2176</v>
      </c>
      <c r="P108" s="31" t="s">
        <v>2177</v>
      </c>
      <c r="Q108" s="31" t="s">
        <v>1410</v>
      </c>
      <c r="R108" s="99" t="s">
        <v>1410</v>
      </c>
      <c r="S108" s="99" t="s">
        <v>1410</v>
      </c>
      <c r="T108" s="100" t="s">
        <v>1994</v>
      </c>
      <c r="U108" s="33">
        <v>0</v>
      </c>
      <c r="V108" s="33">
        <v>0</v>
      </c>
      <c r="W108" s="33">
        <v>0</v>
      </c>
      <c r="X108" s="33">
        <v>0</v>
      </c>
      <c r="Y108" s="33">
        <v>0</v>
      </c>
      <c r="Z108" s="33">
        <v>0</v>
      </c>
      <c r="AA108" s="34">
        <f t="shared" si="1"/>
        <v>1</v>
      </c>
      <c r="AB108" s="34">
        <v>0</v>
      </c>
      <c r="AC108" s="43"/>
    </row>
    <row r="109" spans="1:29" ht="409.5">
      <c r="A109" s="101"/>
      <c r="B109" s="148">
        <v>106</v>
      </c>
      <c r="C109" s="26">
        <f>VLOOKUP(D109,'[3]Codes &amp; Descr. SFICS25'!B:C,2,FALSE)</f>
        <v>27</v>
      </c>
      <c r="D109" s="26" t="s">
        <v>2178</v>
      </c>
      <c r="E109" s="26">
        <f>+VLOOKUP(F109,'[3]Codes &amp; Descr. SFICS25'!D:E,2,FALSE)</f>
        <v>2703</v>
      </c>
      <c r="F109" s="26" t="s">
        <v>2179</v>
      </c>
      <c r="G109" s="26">
        <f>VLOOKUP(H109,'[3]Codes &amp; Descr. SFICS25'!F:H,2,FALSE)</f>
        <v>270301</v>
      </c>
      <c r="H109" s="26" t="s">
        <v>2180</v>
      </c>
      <c r="I109" s="26" t="s">
        <v>2181</v>
      </c>
      <c r="J109" s="26" t="s">
        <v>2182</v>
      </c>
      <c r="K109" s="26" t="s">
        <v>2183</v>
      </c>
      <c r="L109" s="28" t="s">
        <v>281</v>
      </c>
      <c r="M109" s="29" t="s">
        <v>1402</v>
      </c>
      <c r="N109" s="99" t="s">
        <v>2184</v>
      </c>
      <c r="O109" s="99" t="s">
        <v>2185</v>
      </c>
      <c r="P109" s="193" t="s">
        <v>2186</v>
      </c>
      <c r="Q109" s="31" t="s">
        <v>1410</v>
      </c>
      <c r="R109" s="99" t="s">
        <v>1410</v>
      </c>
      <c r="S109" s="99" t="s">
        <v>1410</v>
      </c>
      <c r="T109" s="100" t="s">
        <v>2187</v>
      </c>
      <c r="U109" s="33">
        <v>0</v>
      </c>
      <c r="V109" s="34">
        <v>0</v>
      </c>
      <c r="W109" s="34">
        <v>0</v>
      </c>
      <c r="X109" s="34">
        <v>0</v>
      </c>
      <c r="Y109" s="34">
        <v>0</v>
      </c>
      <c r="Z109" s="34">
        <v>0</v>
      </c>
      <c r="AA109" s="34">
        <f t="shared" si="1"/>
        <v>1</v>
      </c>
      <c r="AB109" s="34">
        <v>0</v>
      </c>
      <c r="AC109" s="43"/>
    </row>
    <row r="110" spans="1:29" ht="39.75" customHeight="1">
      <c r="B110" s="148">
        <v>107</v>
      </c>
      <c r="C110" s="26">
        <f>VLOOKUP(D110,'[3]Codes &amp; Descr. SFICS25'!B:C,2,FALSE)</f>
        <v>27</v>
      </c>
      <c r="D110" s="26" t="s">
        <v>2178</v>
      </c>
      <c r="E110" s="26">
        <f>+VLOOKUP(F110,'[3]Codes &amp; Descr. SFICS25'!D:E,2,FALSE)</f>
        <v>2703</v>
      </c>
      <c r="F110" s="26" t="s">
        <v>2179</v>
      </c>
      <c r="G110" s="26">
        <f>VLOOKUP(H110,'[3]Codes &amp; Descr. SFICS25'!F:H,2,FALSE)</f>
        <v>270302</v>
      </c>
      <c r="H110" s="26" t="s">
        <v>2188</v>
      </c>
      <c r="I110" s="26" t="s">
        <v>2189</v>
      </c>
      <c r="J110" s="26" t="s">
        <v>2190</v>
      </c>
      <c r="K110" s="26" t="s">
        <v>2191</v>
      </c>
      <c r="L110" s="28" t="s">
        <v>281</v>
      </c>
      <c r="M110" s="29" t="s">
        <v>1402</v>
      </c>
      <c r="N110" s="99" t="s">
        <v>2192</v>
      </c>
      <c r="O110" s="99" t="s">
        <v>2193</v>
      </c>
      <c r="P110" s="31" t="s">
        <v>2194</v>
      </c>
      <c r="Q110" s="31" t="s">
        <v>1410</v>
      </c>
      <c r="R110" s="99" t="s">
        <v>1410</v>
      </c>
      <c r="S110" s="99" t="s">
        <v>1410</v>
      </c>
      <c r="T110" s="100" t="s">
        <v>2187</v>
      </c>
      <c r="U110" s="33">
        <v>0</v>
      </c>
      <c r="V110" s="34">
        <v>0</v>
      </c>
      <c r="W110" s="34">
        <v>0</v>
      </c>
      <c r="X110" s="34">
        <v>0</v>
      </c>
      <c r="Y110" s="34">
        <v>0</v>
      </c>
      <c r="Z110" s="34">
        <v>0</v>
      </c>
      <c r="AA110" s="34">
        <f t="shared" si="1"/>
        <v>1</v>
      </c>
      <c r="AB110" s="34">
        <v>0</v>
      </c>
      <c r="AC110" s="43"/>
    </row>
    <row r="111" spans="1:29" ht="39.75" customHeight="1">
      <c r="B111" s="148">
        <v>108</v>
      </c>
      <c r="C111" s="26">
        <f>VLOOKUP(D111,'[3]Codes &amp; Descr. SFICS25'!B:C,2,FALSE)</f>
        <v>27</v>
      </c>
      <c r="D111" s="26" t="s">
        <v>2178</v>
      </c>
      <c r="E111" s="26">
        <f>+VLOOKUP(F111,'[3]Codes &amp; Descr. SFICS25'!D:E,2,FALSE)</f>
        <v>2703</v>
      </c>
      <c r="F111" s="26" t="s">
        <v>2179</v>
      </c>
      <c r="G111" s="26">
        <f>VLOOKUP(H111,'[3]Codes &amp; Descr. SFICS25'!F:H,2,FALSE)</f>
        <v>270303</v>
      </c>
      <c r="H111" s="26" t="s">
        <v>2195</v>
      </c>
      <c r="I111" s="26" t="s">
        <v>2196</v>
      </c>
      <c r="J111" s="26" t="s">
        <v>2197</v>
      </c>
      <c r="K111" s="26" t="s">
        <v>2198</v>
      </c>
      <c r="L111" s="28" t="s">
        <v>281</v>
      </c>
      <c r="M111" s="29" t="s">
        <v>1402</v>
      </c>
      <c r="N111" s="99" t="s">
        <v>2199</v>
      </c>
      <c r="O111" s="99" t="s">
        <v>2200</v>
      </c>
      <c r="P111" s="31" t="s">
        <v>2201</v>
      </c>
      <c r="Q111" s="31" t="s">
        <v>1410</v>
      </c>
      <c r="R111" s="99" t="s">
        <v>1410</v>
      </c>
      <c r="S111" s="99" t="s">
        <v>1410</v>
      </c>
      <c r="T111" s="100" t="s">
        <v>2187</v>
      </c>
      <c r="U111" s="33">
        <v>0</v>
      </c>
      <c r="V111" s="34">
        <v>0</v>
      </c>
      <c r="W111" s="34">
        <v>0</v>
      </c>
      <c r="X111" s="34">
        <v>0</v>
      </c>
      <c r="Y111" s="34">
        <v>0</v>
      </c>
      <c r="Z111" s="34">
        <v>0</v>
      </c>
      <c r="AA111" s="34">
        <f t="shared" si="1"/>
        <v>1</v>
      </c>
      <c r="AB111" s="34">
        <v>0</v>
      </c>
      <c r="AC111" s="43"/>
    </row>
    <row r="112" spans="1:29" ht="39.75" customHeight="1">
      <c r="B112" s="148">
        <v>109</v>
      </c>
      <c r="C112" s="26">
        <f>VLOOKUP(D112,'[3]Codes &amp; Descr. SFICS25'!B:C,2,FALSE)</f>
        <v>27</v>
      </c>
      <c r="D112" s="26" t="s">
        <v>2178</v>
      </c>
      <c r="E112" s="26">
        <f>+VLOOKUP(F112,'[3]Codes &amp; Descr. SFICS25'!D:E,2,FALSE)</f>
        <v>2703</v>
      </c>
      <c r="F112" s="26" t="s">
        <v>2179</v>
      </c>
      <c r="G112" s="26">
        <f>VLOOKUP(H112,'[3]Codes &amp; Descr. SFICS25'!F:H,2,FALSE)</f>
        <v>270304</v>
      </c>
      <c r="H112" s="26" t="s">
        <v>2202</v>
      </c>
      <c r="I112" s="26" t="s">
        <v>2203</v>
      </c>
      <c r="J112" s="26" t="s">
        <v>2204</v>
      </c>
      <c r="K112" s="26" t="s">
        <v>2205</v>
      </c>
      <c r="L112" s="28" t="s">
        <v>281</v>
      </c>
      <c r="M112" s="29" t="s">
        <v>1402</v>
      </c>
      <c r="N112" s="99" t="s">
        <v>2206</v>
      </c>
      <c r="O112" s="99" t="s">
        <v>2207</v>
      </c>
      <c r="P112" s="31" t="s">
        <v>2208</v>
      </c>
      <c r="Q112" s="31" t="s">
        <v>1410</v>
      </c>
      <c r="R112" s="99" t="s">
        <v>1410</v>
      </c>
      <c r="S112" s="99" t="s">
        <v>1410</v>
      </c>
      <c r="T112" s="100" t="s">
        <v>2187</v>
      </c>
      <c r="U112" s="33">
        <v>0</v>
      </c>
      <c r="V112" s="34">
        <v>0</v>
      </c>
      <c r="W112" s="34">
        <v>0</v>
      </c>
      <c r="X112" s="34">
        <v>0</v>
      </c>
      <c r="Y112" s="34">
        <v>0</v>
      </c>
      <c r="Z112" s="34">
        <v>0</v>
      </c>
      <c r="AA112" s="34">
        <f t="shared" si="1"/>
        <v>1</v>
      </c>
      <c r="AB112" s="34">
        <v>0</v>
      </c>
      <c r="AC112" s="43"/>
    </row>
    <row r="113" spans="1:29" ht="149" customHeight="1">
      <c r="A113" s="101"/>
      <c r="B113" s="148">
        <v>110</v>
      </c>
      <c r="C113" s="26">
        <f>VLOOKUP(D113,'[3]Codes &amp; Descr. SFICS25'!B:C,2,FALSE)</f>
        <v>27</v>
      </c>
      <c r="D113" s="26" t="s">
        <v>2178</v>
      </c>
      <c r="E113" s="26">
        <f>+VLOOKUP(F113,'[3]Codes &amp; Descr. SFICS25'!D:E,2,FALSE)</f>
        <v>2703</v>
      </c>
      <c r="F113" s="26" t="s">
        <v>2179</v>
      </c>
      <c r="G113" s="26">
        <f>VLOOKUP(H113,'[3]Codes &amp; Descr. SFICS25'!F:H,2,FALSE)</f>
        <v>270305</v>
      </c>
      <c r="H113" s="26" t="s">
        <v>2209</v>
      </c>
      <c r="I113" s="26" t="s">
        <v>2210</v>
      </c>
      <c r="J113" s="26" t="s">
        <v>2210</v>
      </c>
      <c r="K113" s="26" t="s">
        <v>2209</v>
      </c>
      <c r="L113" s="28" t="s">
        <v>281</v>
      </c>
      <c r="M113" s="29" t="s">
        <v>1402</v>
      </c>
      <c r="N113" s="99" t="s">
        <v>2211</v>
      </c>
      <c r="O113" s="99" t="s">
        <v>2212</v>
      </c>
      <c r="P113" s="193" t="s">
        <v>2213</v>
      </c>
      <c r="Q113" s="31" t="s">
        <v>1410</v>
      </c>
      <c r="R113" s="99" t="s">
        <v>1410</v>
      </c>
      <c r="S113" s="99" t="s">
        <v>1410</v>
      </c>
      <c r="T113" s="100" t="s">
        <v>2187</v>
      </c>
      <c r="U113" s="33">
        <v>0</v>
      </c>
      <c r="V113" s="34">
        <v>0</v>
      </c>
      <c r="W113" s="34">
        <v>0</v>
      </c>
      <c r="X113" s="34">
        <v>0</v>
      </c>
      <c r="Y113" s="34">
        <v>0</v>
      </c>
      <c r="Z113" s="34">
        <v>0</v>
      </c>
      <c r="AA113" s="34">
        <f t="shared" si="1"/>
        <v>1</v>
      </c>
      <c r="AB113" s="34">
        <v>0</v>
      </c>
      <c r="AC113" s="43"/>
    </row>
    <row r="114" spans="1:29" ht="39.75" customHeight="1">
      <c r="B114" s="148">
        <v>111</v>
      </c>
      <c r="C114" s="26">
        <f>VLOOKUP(D114,'[3]Codes &amp; Descr. SFICS25'!B:C,2,FALSE)</f>
        <v>27</v>
      </c>
      <c r="D114" s="26" t="s">
        <v>2178</v>
      </c>
      <c r="E114" s="26">
        <f>+VLOOKUP(F114,'[3]Codes &amp; Descr. SFICS25'!D:E,2,FALSE)</f>
        <v>2703</v>
      </c>
      <c r="F114" s="26" t="s">
        <v>2179</v>
      </c>
      <c r="G114" s="26">
        <f>VLOOKUP(H114,'[3]Codes &amp; Descr. SFICS25'!F:H,2,FALSE)</f>
        <v>270306</v>
      </c>
      <c r="H114" s="26" t="s">
        <v>2214</v>
      </c>
      <c r="I114" s="26" t="s">
        <v>2215</v>
      </c>
      <c r="J114" s="26" t="s">
        <v>2215</v>
      </c>
      <c r="K114" s="26" t="s">
        <v>2214</v>
      </c>
      <c r="L114" s="28" t="s">
        <v>281</v>
      </c>
      <c r="M114" s="29" t="s">
        <v>1402</v>
      </c>
      <c r="N114" s="99" t="s">
        <v>2216</v>
      </c>
      <c r="O114" s="99" t="s">
        <v>2217</v>
      </c>
      <c r="P114" s="31" t="s">
        <v>2218</v>
      </c>
      <c r="Q114" s="31" t="s">
        <v>1410</v>
      </c>
      <c r="R114" s="99" t="s">
        <v>1410</v>
      </c>
      <c r="S114" s="99" t="s">
        <v>1410</v>
      </c>
      <c r="T114" s="100" t="s">
        <v>2187</v>
      </c>
      <c r="U114" s="33">
        <v>0</v>
      </c>
      <c r="V114" s="34">
        <v>0</v>
      </c>
      <c r="W114" s="34">
        <v>0</v>
      </c>
      <c r="X114" s="34">
        <v>0</v>
      </c>
      <c r="Y114" s="34">
        <v>0</v>
      </c>
      <c r="Z114" s="34">
        <v>0</v>
      </c>
      <c r="AA114" s="34">
        <f t="shared" si="1"/>
        <v>1</v>
      </c>
      <c r="AB114" s="34">
        <v>0</v>
      </c>
      <c r="AC114" s="43"/>
    </row>
    <row r="115" spans="1:29" ht="39.75" customHeight="1">
      <c r="B115" s="148">
        <v>112</v>
      </c>
      <c r="C115" s="26">
        <f>VLOOKUP(D115,'[3]Codes &amp; Descr. SFICS25'!B:C,2,FALSE)</f>
        <v>27</v>
      </c>
      <c r="D115" s="26" t="s">
        <v>2178</v>
      </c>
      <c r="E115" s="26">
        <f>+VLOOKUP(F115,'[3]Codes &amp; Descr. SFICS25'!D:E,2,FALSE)</f>
        <v>2703</v>
      </c>
      <c r="F115" s="26" t="s">
        <v>2179</v>
      </c>
      <c r="G115" s="26">
        <f>VLOOKUP(H115,'[3]Codes &amp; Descr. SFICS25'!F:H,2,FALSE)</f>
        <v>270307</v>
      </c>
      <c r="H115" s="26" t="s">
        <v>863</v>
      </c>
      <c r="I115" s="26" t="s">
        <v>864</v>
      </c>
      <c r="J115" s="26" t="s">
        <v>2219</v>
      </c>
      <c r="K115" s="26" t="s">
        <v>2220</v>
      </c>
      <c r="L115" s="28" t="s">
        <v>281</v>
      </c>
      <c r="M115" s="29" t="s">
        <v>1402</v>
      </c>
      <c r="N115" s="99" t="s">
        <v>2221</v>
      </c>
      <c r="O115" s="99" t="s">
        <v>2222</v>
      </c>
      <c r="P115" s="31" t="s">
        <v>2223</v>
      </c>
      <c r="Q115" s="31" t="s">
        <v>1410</v>
      </c>
      <c r="R115" s="99" t="s">
        <v>1410</v>
      </c>
      <c r="S115" s="99" t="s">
        <v>1410</v>
      </c>
      <c r="T115" s="100" t="s">
        <v>2187</v>
      </c>
      <c r="U115" s="34">
        <v>0</v>
      </c>
      <c r="V115" s="34">
        <v>0</v>
      </c>
      <c r="W115" s="34">
        <v>0</v>
      </c>
      <c r="X115" s="34">
        <v>0</v>
      </c>
      <c r="Y115" s="34">
        <v>0</v>
      </c>
      <c r="Z115" s="34">
        <v>0</v>
      </c>
      <c r="AA115" s="34">
        <f t="shared" si="1"/>
        <v>1</v>
      </c>
      <c r="AB115" s="34">
        <v>0</v>
      </c>
      <c r="AC115" s="43"/>
    </row>
    <row r="116" spans="1:29" ht="39.75" customHeight="1">
      <c r="B116" s="148">
        <v>113</v>
      </c>
      <c r="C116" s="26">
        <f>VLOOKUP(D116,'[3]Codes &amp; Descr. SFICS25'!B:C,2,FALSE)</f>
        <v>27</v>
      </c>
      <c r="D116" s="26" t="s">
        <v>2178</v>
      </c>
      <c r="E116" s="26">
        <f>+VLOOKUP(F116,'[3]Codes &amp; Descr. SFICS25'!D:E,2,FALSE)</f>
        <v>2703</v>
      </c>
      <c r="F116" s="26" t="s">
        <v>2179</v>
      </c>
      <c r="G116" s="26">
        <f>VLOOKUP(H116,'[3]Codes &amp; Descr. SFICS25'!F:H,2,FALSE)</f>
        <v>270308</v>
      </c>
      <c r="H116" s="26" t="s">
        <v>2224</v>
      </c>
      <c r="I116" s="26" t="s">
        <v>2225</v>
      </c>
      <c r="J116" s="26" t="s">
        <v>2226</v>
      </c>
      <c r="K116" s="26" t="s">
        <v>2227</v>
      </c>
      <c r="L116" s="28" t="s">
        <v>281</v>
      </c>
      <c r="M116" s="29" t="s">
        <v>1402</v>
      </c>
      <c r="N116" s="99" t="s">
        <v>2228</v>
      </c>
      <c r="O116" s="99" t="s">
        <v>2229</v>
      </c>
      <c r="P116" s="31" t="s">
        <v>2230</v>
      </c>
      <c r="Q116" s="31" t="s">
        <v>1410</v>
      </c>
      <c r="R116" s="99" t="s">
        <v>1410</v>
      </c>
      <c r="S116" s="99" t="s">
        <v>1410</v>
      </c>
      <c r="T116" s="100" t="s">
        <v>2187</v>
      </c>
      <c r="U116" s="33">
        <v>0</v>
      </c>
      <c r="V116" s="34">
        <v>0</v>
      </c>
      <c r="W116" s="34">
        <v>0</v>
      </c>
      <c r="X116" s="34">
        <v>0</v>
      </c>
      <c r="Y116" s="34">
        <v>0</v>
      </c>
      <c r="Z116" s="34">
        <v>0</v>
      </c>
      <c r="AA116" s="34">
        <f t="shared" si="1"/>
        <v>1</v>
      </c>
      <c r="AB116" s="34">
        <v>0</v>
      </c>
      <c r="AC116" s="43"/>
    </row>
    <row r="117" spans="1:29" ht="409.5">
      <c r="A117" s="101"/>
      <c r="B117" s="148">
        <v>114</v>
      </c>
      <c r="C117" s="26">
        <f>VLOOKUP(D117,'[3]Codes &amp; Descr. SFICS25'!B:C,2,FALSE)</f>
        <v>27</v>
      </c>
      <c r="D117" s="26" t="s">
        <v>2178</v>
      </c>
      <c r="E117" s="26">
        <f>+VLOOKUP(F117,'[3]Codes &amp; Descr. SFICS25'!D:E,2,FALSE)</f>
        <v>2703</v>
      </c>
      <c r="F117" s="26" t="s">
        <v>2179</v>
      </c>
      <c r="G117" s="26">
        <f>VLOOKUP(H117,'[3]Codes &amp; Descr. SFICS25'!F:H,2,FALSE)</f>
        <v>270309</v>
      </c>
      <c r="H117" s="26" t="s">
        <v>2231</v>
      </c>
      <c r="I117" s="26" t="s">
        <v>2232</v>
      </c>
      <c r="J117" s="26" t="s">
        <v>2232</v>
      </c>
      <c r="K117" s="26" t="s">
        <v>2233</v>
      </c>
      <c r="L117" s="28" t="s">
        <v>281</v>
      </c>
      <c r="M117" s="29" t="s">
        <v>1402</v>
      </c>
      <c r="N117" s="99" t="s">
        <v>2234</v>
      </c>
      <c r="O117" s="99" t="s">
        <v>2235</v>
      </c>
      <c r="P117" s="193" t="s">
        <v>2236</v>
      </c>
      <c r="Q117" s="31" t="s">
        <v>1410</v>
      </c>
      <c r="R117" s="99" t="s">
        <v>1410</v>
      </c>
      <c r="S117" s="99" t="s">
        <v>1410</v>
      </c>
      <c r="T117" s="100" t="s">
        <v>2187</v>
      </c>
      <c r="U117" s="33">
        <v>0</v>
      </c>
      <c r="V117" s="34">
        <v>0</v>
      </c>
      <c r="W117" s="34">
        <v>0</v>
      </c>
      <c r="X117" s="34">
        <v>0</v>
      </c>
      <c r="Y117" s="34">
        <v>0</v>
      </c>
      <c r="Z117" s="34">
        <v>0</v>
      </c>
      <c r="AA117" s="34">
        <f t="shared" si="1"/>
        <v>1</v>
      </c>
      <c r="AB117" s="34">
        <v>0</v>
      </c>
      <c r="AC117" s="43"/>
    </row>
    <row r="118" spans="1:29" ht="39.75" customHeight="1">
      <c r="B118" s="148">
        <v>115</v>
      </c>
      <c r="C118" s="26">
        <f>VLOOKUP(D118,'[3]Codes &amp; Descr. SFICS25'!B:C,2,FALSE)</f>
        <v>27</v>
      </c>
      <c r="D118" s="26" t="s">
        <v>2178</v>
      </c>
      <c r="E118" s="26">
        <f>+VLOOKUP(F118,'[3]Codes &amp; Descr. SFICS25'!D:E,2,FALSE)</f>
        <v>2703</v>
      </c>
      <c r="F118" s="26" t="s">
        <v>2179</v>
      </c>
      <c r="G118" s="26">
        <f>VLOOKUP(H118,'[3]Codes &amp; Descr. SFICS25'!F:H,2,FALSE)</f>
        <v>270310</v>
      </c>
      <c r="H118" s="26" t="s">
        <v>2237</v>
      </c>
      <c r="I118" s="26" t="s">
        <v>2238</v>
      </c>
      <c r="J118" s="26" t="s">
        <v>2238</v>
      </c>
      <c r="K118" s="26" t="s">
        <v>2239</v>
      </c>
      <c r="L118" s="28" t="s">
        <v>281</v>
      </c>
      <c r="M118" s="29" t="s">
        <v>1402</v>
      </c>
      <c r="N118" s="99" t="s">
        <v>2240</v>
      </c>
      <c r="O118" s="99" t="s">
        <v>2241</v>
      </c>
      <c r="P118" s="31" t="s">
        <v>2242</v>
      </c>
      <c r="Q118" s="31" t="s">
        <v>1410</v>
      </c>
      <c r="R118" s="99" t="s">
        <v>1410</v>
      </c>
      <c r="S118" s="99" t="s">
        <v>1410</v>
      </c>
      <c r="T118" s="100" t="s">
        <v>2187</v>
      </c>
      <c r="U118" s="33">
        <v>0</v>
      </c>
      <c r="V118" s="34">
        <v>0</v>
      </c>
      <c r="W118" s="34">
        <v>0</v>
      </c>
      <c r="X118" s="34">
        <v>0</v>
      </c>
      <c r="Y118" s="34">
        <v>0</v>
      </c>
      <c r="Z118" s="34">
        <v>0</v>
      </c>
      <c r="AA118" s="34">
        <f t="shared" si="1"/>
        <v>1</v>
      </c>
      <c r="AB118" s="34">
        <v>0</v>
      </c>
      <c r="AC118" s="43"/>
    </row>
    <row r="119" spans="1:29" ht="39.75" customHeight="1">
      <c r="B119" s="148">
        <v>116</v>
      </c>
      <c r="C119" s="26">
        <f>VLOOKUP(D119,'[3]Codes &amp; Descr. SFICS25'!B:C,2,FALSE)</f>
        <v>27</v>
      </c>
      <c r="D119" s="26" t="s">
        <v>2178</v>
      </c>
      <c r="E119" s="26">
        <f>+VLOOKUP(F119,'[3]Codes &amp; Descr. SFICS25'!D:E,2,FALSE)</f>
        <v>2703</v>
      </c>
      <c r="F119" s="26" t="s">
        <v>2179</v>
      </c>
      <c r="G119" s="26">
        <f>VLOOKUP(H119,'[3]Codes &amp; Descr. SFICS25'!F:H,2,FALSE)</f>
        <v>270311</v>
      </c>
      <c r="H119" s="26" t="s">
        <v>2243</v>
      </c>
      <c r="I119" s="26" t="s">
        <v>2244</v>
      </c>
      <c r="J119" s="26" t="s">
        <v>2244</v>
      </c>
      <c r="K119" s="26" t="s">
        <v>2245</v>
      </c>
      <c r="L119" s="28" t="s">
        <v>281</v>
      </c>
      <c r="M119" s="29" t="s">
        <v>1402</v>
      </c>
      <c r="N119" s="99" t="s">
        <v>2246</v>
      </c>
      <c r="O119" s="99" t="s">
        <v>2247</v>
      </c>
      <c r="P119" s="31" t="s">
        <v>2248</v>
      </c>
      <c r="Q119" s="31" t="s">
        <v>1410</v>
      </c>
      <c r="R119" s="99" t="s">
        <v>1410</v>
      </c>
      <c r="S119" s="99" t="s">
        <v>1410</v>
      </c>
      <c r="T119" s="100" t="s">
        <v>2187</v>
      </c>
      <c r="U119" s="33">
        <v>0</v>
      </c>
      <c r="V119" s="34">
        <v>0</v>
      </c>
      <c r="W119" s="34">
        <v>0</v>
      </c>
      <c r="X119" s="34">
        <v>0</v>
      </c>
      <c r="Y119" s="34">
        <v>0</v>
      </c>
      <c r="Z119" s="34">
        <v>0</v>
      </c>
      <c r="AA119" s="34">
        <f t="shared" si="1"/>
        <v>1</v>
      </c>
      <c r="AB119" s="34">
        <v>0</v>
      </c>
      <c r="AC119" s="43"/>
    </row>
    <row r="120" spans="1:29" ht="409.5">
      <c r="A120" s="101"/>
      <c r="B120" s="148">
        <v>117</v>
      </c>
      <c r="C120" s="26">
        <f>VLOOKUP(D120,'[3]Codes &amp; Descr. SFICS25'!B:C,2,FALSE)</f>
        <v>27</v>
      </c>
      <c r="D120" s="26" t="s">
        <v>2178</v>
      </c>
      <c r="E120" s="26">
        <f>+VLOOKUP(F120,'[3]Codes &amp; Descr. SFICS25'!D:E,2,FALSE)</f>
        <v>2701</v>
      </c>
      <c r="F120" s="26" t="s">
        <v>2249</v>
      </c>
      <c r="G120" s="26">
        <f>VLOOKUP(H120,'[3]Codes &amp; Descr. SFICS25'!F:H,2,FALSE)</f>
        <v>270101</v>
      </c>
      <c r="H120" s="26" t="s">
        <v>2250</v>
      </c>
      <c r="I120" s="26" t="s">
        <v>2251</v>
      </c>
      <c r="J120" s="26" t="s">
        <v>2251</v>
      </c>
      <c r="K120" s="26" t="s">
        <v>2252</v>
      </c>
      <c r="L120" s="28" t="s">
        <v>890</v>
      </c>
      <c r="M120" s="29" t="s">
        <v>1402</v>
      </c>
      <c r="N120" s="99" t="s">
        <v>2253</v>
      </c>
      <c r="O120" s="99" t="s">
        <v>2254</v>
      </c>
      <c r="P120" s="193" t="s">
        <v>2255</v>
      </c>
      <c r="Q120" s="31" t="s">
        <v>2256</v>
      </c>
      <c r="R120" s="99" t="s">
        <v>1410</v>
      </c>
      <c r="S120" s="99" t="s">
        <v>1410</v>
      </c>
      <c r="T120" s="100" t="s">
        <v>2187</v>
      </c>
      <c r="U120" s="33" t="s">
        <v>1413</v>
      </c>
      <c r="V120" s="33" t="s">
        <v>1546</v>
      </c>
      <c r="W120" s="34">
        <v>0</v>
      </c>
      <c r="X120" s="34">
        <v>0</v>
      </c>
      <c r="Y120" s="34">
        <v>0</v>
      </c>
      <c r="Z120" s="34">
        <v>0</v>
      </c>
      <c r="AA120" s="34">
        <f t="shared" si="1"/>
        <v>1</v>
      </c>
      <c r="AB120" s="34">
        <v>0</v>
      </c>
      <c r="AC120" s="43"/>
    </row>
    <row r="121" spans="1:29" ht="39.75" customHeight="1">
      <c r="B121" s="148">
        <v>118</v>
      </c>
      <c r="C121" s="26">
        <f>VLOOKUP(D121,'[3]Codes &amp; Descr. SFICS25'!B:C,2,FALSE)</f>
        <v>27</v>
      </c>
      <c r="D121" s="26" t="s">
        <v>2178</v>
      </c>
      <c r="E121" s="26">
        <f>+VLOOKUP(F121,'[3]Codes &amp; Descr. SFICS25'!D:E,2,FALSE)</f>
        <v>2701</v>
      </c>
      <c r="F121" s="26" t="s">
        <v>2249</v>
      </c>
      <c r="G121" s="26">
        <f>VLOOKUP(H121,'[3]Codes &amp; Descr. SFICS25'!F:H,2,FALSE)</f>
        <v>270102</v>
      </c>
      <c r="H121" s="26" t="s">
        <v>2257</v>
      </c>
      <c r="I121" s="26" t="s">
        <v>2258</v>
      </c>
      <c r="J121" s="26" t="s">
        <v>2259</v>
      </c>
      <c r="K121" s="26" t="s">
        <v>2260</v>
      </c>
      <c r="L121" s="28" t="s">
        <v>896</v>
      </c>
      <c r="M121" s="29" t="s">
        <v>1402</v>
      </c>
      <c r="N121" s="99" t="s">
        <v>2261</v>
      </c>
      <c r="O121" s="99" t="s">
        <v>2262</v>
      </c>
      <c r="P121" s="31" t="s">
        <v>2263</v>
      </c>
      <c r="Q121" s="31" t="s">
        <v>2264</v>
      </c>
      <c r="R121" s="99" t="s">
        <v>1410</v>
      </c>
      <c r="S121" s="99" t="s">
        <v>1410</v>
      </c>
      <c r="T121" s="100" t="s">
        <v>2187</v>
      </c>
      <c r="U121" s="33" t="s">
        <v>1413</v>
      </c>
      <c r="V121" s="33" t="s">
        <v>1546</v>
      </c>
      <c r="W121" s="34">
        <v>0</v>
      </c>
      <c r="X121" s="34">
        <v>0</v>
      </c>
      <c r="Y121" s="34">
        <v>0</v>
      </c>
      <c r="Z121" s="34">
        <v>0</v>
      </c>
      <c r="AA121" s="34">
        <f t="shared" si="1"/>
        <v>1</v>
      </c>
      <c r="AB121" s="34">
        <v>0</v>
      </c>
      <c r="AC121" s="43"/>
    </row>
    <row r="122" spans="1:29" ht="39.75" customHeight="1">
      <c r="B122" s="148">
        <v>119</v>
      </c>
      <c r="C122" s="26">
        <f>VLOOKUP(D122,'[3]Codes &amp; Descr. SFICS25'!B:C,2,FALSE)</f>
        <v>27</v>
      </c>
      <c r="D122" s="26" t="s">
        <v>2178</v>
      </c>
      <c r="E122" s="26">
        <f>+VLOOKUP(F122,'[3]Codes &amp; Descr. SFICS25'!D:E,2,FALSE)</f>
        <v>2702</v>
      </c>
      <c r="F122" s="26" t="s">
        <v>2265</v>
      </c>
      <c r="G122" s="26">
        <f>VLOOKUP(H122,'[3]Codes &amp; Descr. SFICS25'!F:H,2,FALSE)</f>
        <v>270201</v>
      </c>
      <c r="H122" s="26" t="s">
        <v>2266</v>
      </c>
      <c r="I122" s="26" t="s">
        <v>2267</v>
      </c>
      <c r="J122" s="26" t="s">
        <v>2268</v>
      </c>
      <c r="K122" s="26" t="s">
        <v>2269</v>
      </c>
      <c r="L122" s="28" t="s">
        <v>906</v>
      </c>
      <c r="M122" s="29" t="s">
        <v>1402</v>
      </c>
      <c r="N122" s="99" t="s">
        <v>2270</v>
      </c>
      <c r="O122" s="99" t="s">
        <v>2271</v>
      </c>
      <c r="P122" s="31" t="s">
        <v>1619</v>
      </c>
      <c r="Q122" s="31" t="s">
        <v>2272</v>
      </c>
      <c r="R122" s="99" t="s">
        <v>1410</v>
      </c>
      <c r="S122" s="99" t="s">
        <v>1410</v>
      </c>
      <c r="T122" s="100" t="s">
        <v>2187</v>
      </c>
      <c r="U122" s="33" t="s">
        <v>1413</v>
      </c>
      <c r="V122" s="33" t="s">
        <v>1546</v>
      </c>
      <c r="W122" s="34">
        <v>0</v>
      </c>
      <c r="X122" s="34">
        <v>0</v>
      </c>
      <c r="Y122" s="34">
        <v>0</v>
      </c>
      <c r="Z122" s="34">
        <v>0</v>
      </c>
      <c r="AA122" s="34">
        <f t="shared" si="1"/>
        <v>1</v>
      </c>
      <c r="AB122" s="34">
        <v>0</v>
      </c>
      <c r="AC122" s="43"/>
    </row>
    <row r="123" spans="1:29" ht="39.75" customHeight="1">
      <c r="B123" s="148">
        <v>120</v>
      </c>
      <c r="C123" s="26">
        <f>VLOOKUP(D123,'[3]Codes &amp; Descr. SFICS25'!B:C,2,FALSE)</f>
        <v>27</v>
      </c>
      <c r="D123" s="26" t="s">
        <v>2178</v>
      </c>
      <c r="E123" s="26">
        <f>+VLOOKUP(F123,'[3]Codes &amp; Descr. SFICS25'!D:E,2,FALSE)</f>
        <v>2702</v>
      </c>
      <c r="F123" s="26" t="s">
        <v>2265</v>
      </c>
      <c r="G123" s="26">
        <f>VLOOKUP(H123,'[3]Codes &amp; Descr. SFICS25'!F:H,2,FALSE)</f>
        <v>270202</v>
      </c>
      <c r="H123" s="26" t="s">
        <v>2273</v>
      </c>
      <c r="I123" s="26" t="s">
        <v>2274</v>
      </c>
      <c r="J123" s="26" t="s">
        <v>2275</v>
      </c>
      <c r="K123" s="26" t="s">
        <v>2276</v>
      </c>
      <c r="L123" s="28" t="s">
        <v>910</v>
      </c>
      <c r="M123" s="29" t="s">
        <v>1402</v>
      </c>
      <c r="N123" s="99" t="s">
        <v>2277</v>
      </c>
      <c r="O123" s="99" t="s">
        <v>2278</v>
      </c>
      <c r="P123" s="31" t="s">
        <v>2279</v>
      </c>
      <c r="Q123" s="31" t="s">
        <v>2280</v>
      </c>
      <c r="R123" s="99" t="s">
        <v>1410</v>
      </c>
      <c r="S123" s="99" t="s">
        <v>1410</v>
      </c>
      <c r="T123" s="100" t="s">
        <v>2187</v>
      </c>
      <c r="U123" s="33" t="s">
        <v>1413</v>
      </c>
      <c r="V123" s="33" t="s">
        <v>1546</v>
      </c>
      <c r="W123" s="34">
        <v>0</v>
      </c>
      <c r="X123" s="34">
        <v>0</v>
      </c>
      <c r="Y123" s="34">
        <v>0</v>
      </c>
      <c r="Z123" s="34">
        <v>0</v>
      </c>
      <c r="AA123" s="34">
        <f t="shared" si="1"/>
        <v>1</v>
      </c>
      <c r="AB123" s="34">
        <v>0</v>
      </c>
      <c r="AC123" s="43"/>
    </row>
    <row r="124" spans="1:29" ht="39.75" customHeight="1">
      <c r="B124" s="148">
        <v>121</v>
      </c>
      <c r="C124" s="26">
        <f>VLOOKUP(D124,'[3]Codes &amp; Descr. SFICS25'!B:C,2,FALSE)</f>
        <v>27</v>
      </c>
      <c r="D124" s="26" t="s">
        <v>2178</v>
      </c>
      <c r="E124" s="26">
        <f>+VLOOKUP(F124,'[3]Codes &amp; Descr. SFICS25'!D:E,2,FALSE)</f>
        <v>2702</v>
      </c>
      <c r="F124" s="26" t="s">
        <v>2265</v>
      </c>
      <c r="G124" s="26">
        <f>VLOOKUP(H124,'[3]Codes &amp; Descr. SFICS25'!F:H,2,FALSE)</f>
        <v>270203</v>
      </c>
      <c r="H124" s="26" t="s">
        <v>2281</v>
      </c>
      <c r="I124" s="26" t="s">
        <v>2282</v>
      </c>
      <c r="J124" s="26" t="s">
        <v>2282</v>
      </c>
      <c r="K124" s="26" t="s">
        <v>2283</v>
      </c>
      <c r="L124" s="28" t="s">
        <v>916</v>
      </c>
      <c r="M124" s="29" t="s">
        <v>1402</v>
      </c>
      <c r="N124" s="99" t="s">
        <v>2284</v>
      </c>
      <c r="O124" s="99" t="s">
        <v>2285</v>
      </c>
      <c r="P124" s="31" t="s">
        <v>2013</v>
      </c>
      <c r="Q124" s="31" t="s">
        <v>2286</v>
      </c>
      <c r="R124" s="99" t="s">
        <v>1410</v>
      </c>
      <c r="S124" s="99" t="s">
        <v>1410</v>
      </c>
      <c r="T124" s="100" t="s">
        <v>2187</v>
      </c>
      <c r="U124" s="33" t="s">
        <v>1413</v>
      </c>
      <c r="V124" s="33" t="s">
        <v>1546</v>
      </c>
      <c r="W124" s="34">
        <v>0</v>
      </c>
      <c r="X124" s="34">
        <v>0</v>
      </c>
      <c r="Y124" s="34">
        <v>0</v>
      </c>
      <c r="Z124" s="34">
        <v>0</v>
      </c>
      <c r="AA124" s="34">
        <f t="shared" si="1"/>
        <v>1</v>
      </c>
      <c r="AB124" s="34">
        <v>0</v>
      </c>
      <c r="AC124" s="43"/>
    </row>
    <row r="125" spans="1:29" ht="39.75" customHeight="1">
      <c r="B125" s="148">
        <v>122</v>
      </c>
      <c r="C125" s="26">
        <f>VLOOKUP(D125,'[3]Codes &amp; Descr. SFICS25'!B:C,2,FALSE)</f>
        <v>27</v>
      </c>
      <c r="D125" s="26" t="s">
        <v>2178</v>
      </c>
      <c r="E125" s="26">
        <f>+VLOOKUP(F125,'[3]Codes &amp; Descr. SFICS25'!D:E,2,FALSE)</f>
        <v>2702</v>
      </c>
      <c r="F125" s="26" t="s">
        <v>2265</v>
      </c>
      <c r="G125" s="26">
        <f>VLOOKUP(H125,'[3]Codes &amp; Descr. SFICS25'!F:H,2,FALSE)</f>
        <v>270204</v>
      </c>
      <c r="H125" s="26" t="s">
        <v>2287</v>
      </c>
      <c r="I125" s="26" t="s">
        <v>2288</v>
      </c>
      <c r="J125" s="26" t="s">
        <v>2289</v>
      </c>
      <c r="K125" s="26" t="s">
        <v>2290</v>
      </c>
      <c r="L125" s="28" t="s">
        <v>925</v>
      </c>
      <c r="M125" s="29" t="s">
        <v>1402</v>
      </c>
      <c r="N125" s="99" t="s">
        <v>2291</v>
      </c>
      <c r="O125" s="99" t="s">
        <v>2292</v>
      </c>
      <c r="P125" s="31" t="s">
        <v>1410</v>
      </c>
      <c r="Q125" s="31" t="s">
        <v>2293</v>
      </c>
      <c r="R125" s="99" t="s">
        <v>1410</v>
      </c>
      <c r="S125" s="99" t="s">
        <v>1410</v>
      </c>
      <c r="T125" s="100" t="s">
        <v>2187</v>
      </c>
      <c r="U125" s="34">
        <v>0</v>
      </c>
      <c r="V125" s="34">
        <v>0</v>
      </c>
      <c r="W125" s="34">
        <v>0</v>
      </c>
      <c r="X125" s="34">
        <v>0</v>
      </c>
      <c r="Y125" s="34">
        <v>0</v>
      </c>
      <c r="Z125" s="33" t="s">
        <v>1413</v>
      </c>
      <c r="AA125" s="34">
        <f t="shared" si="1"/>
        <v>1</v>
      </c>
      <c r="AB125" s="34">
        <v>0</v>
      </c>
      <c r="AC125" s="43"/>
    </row>
    <row r="126" spans="1:29" ht="39.75" customHeight="1">
      <c r="B126" s="148">
        <v>123</v>
      </c>
      <c r="C126" s="26">
        <f>VLOOKUP(D126,'[3]Codes &amp; Descr. SFICS25'!B:C,2,FALSE)</f>
        <v>27</v>
      </c>
      <c r="D126" s="26" t="s">
        <v>2178</v>
      </c>
      <c r="E126" s="26">
        <f>+VLOOKUP(F126,'[3]Codes &amp; Descr. SFICS25'!D:E,2,FALSE)</f>
        <v>2706</v>
      </c>
      <c r="F126" s="26" t="s">
        <v>2294</v>
      </c>
      <c r="G126" s="26" t="str">
        <f>VLOOKUP(H126,'[3]Codes &amp; Descr. SFICS25'!F:H,2,FALSE)</f>
        <v>-</v>
      </c>
      <c r="H126" s="26" t="s">
        <v>507</v>
      </c>
      <c r="I126" s="26" t="s">
        <v>507</v>
      </c>
      <c r="J126" s="26" t="s">
        <v>2294</v>
      </c>
      <c r="K126" s="26" t="s">
        <v>2295</v>
      </c>
      <c r="L126" s="28" t="s">
        <v>281</v>
      </c>
      <c r="M126" s="29" t="s">
        <v>1402</v>
      </c>
      <c r="N126" s="99" t="s">
        <v>2296</v>
      </c>
      <c r="O126" s="99" t="s">
        <v>2297</v>
      </c>
      <c r="P126" s="31" t="s">
        <v>2298</v>
      </c>
      <c r="Q126" s="31" t="s">
        <v>1410</v>
      </c>
      <c r="R126" s="99" t="s">
        <v>1410</v>
      </c>
      <c r="S126" s="99" t="s">
        <v>1410</v>
      </c>
      <c r="T126" s="100" t="s">
        <v>2187</v>
      </c>
      <c r="U126" s="33">
        <v>0</v>
      </c>
      <c r="V126" s="34">
        <v>0</v>
      </c>
      <c r="W126" s="34">
        <v>0</v>
      </c>
      <c r="X126" s="34">
        <v>0</v>
      </c>
      <c r="Y126" s="34">
        <v>0</v>
      </c>
      <c r="Z126" s="34">
        <v>0</v>
      </c>
      <c r="AA126" s="34">
        <f t="shared" si="1"/>
        <v>1</v>
      </c>
      <c r="AB126" s="34">
        <v>0</v>
      </c>
      <c r="AC126" s="43"/>
    </row>
    <row r="127" spans="1:29" ht="280">
      <c r="A127" s="103"/>
      <c r="B127" s="148">
        <v>124</v>
      </c>
      <c r="C127" s="26">
        <f>VLOOKUP(D127,'[3]Codes &amp; Descr. SFICS25'!B:C,2,FALSE)</f>
        <v>27</v>
      </c>
      <c r="D127" s="26" t="s">
        <v>2178</v>
      </c>
      <c r="E127" s="26">
        <f>+VLOOKUP(F127,'[3]Codes &amp; Descr. SFICS25'!D:E,2,FALSE)</f>
        <v>2704</v>
      </c>
      <c r="F127" s="26" t="s">
        <v>2299</v>
      </c>
      <c r="G127" s="26" t="str">
        <f>VLOOKUP(H127,'[3]Codes &amp; Descr. SFICS25'!F:H,2,FALSE)</f>
        <v>-</v>
      </c>
      <c r="H127" s="26" t="s">
        <v>507</v>
      </c>
      <c r="I127" s="26" t="s">
        <v>507</v>
      </c>
      <c r="J127" s="26" t="s">
        <v>2299</v>
      </c>
      <c r="K127" s="26" t="s">
        <v>2300</v>
      </c>
      <c r="L127" s="28" t="s">
        <v>281</v>
      </c>
      <c r="M127" s="29" t="s">
        <v>1402</v>
      </c>
      <c r="N127" s="99" t="s">
        <v>2301</v>
      </c>
      <c r="O127" s="99" t="s">
        <v>2302</v>
      </c>
      <c r="P127" s="193" t="s">
        <v>2303</v>
      </c>
      <c r="Q127" s="31" t="s">
        <v>1410</v>
      </c>
      <c r="R127" s="99" t="s">
        <v>1410</v>
      </c>
      <c r="S127" s="99" t="s">
        <v>1410</v>
      </c>
      <c r="T127" s="100" t="s">
        <v>2187</v>
      </c>
      <c r="U127" s="33">
        <v>0</v>
      </c>
      <c r="V127" s="34">
        <v>0</v>
      </c>
      <c r="W127" s="34">
        <v>0</v>
      </c>
      <c r="X127" s="34">
        <v>0</v>
      </c>
      <c r="Y127" s="34">
        <v>0</v>
      </c>
      <c r="Z127" s="34">
        <v>0</v>
      </c>
      <c r="AA127" s="34">
        <f t="shared" si="1"/>
        <v>1</v>
      </c>
      <c r="AB127" s="34">
        <v>0</v>
      </c>
      <c r="AC127" s="43"/>
    </row>
    <row r="128" spans="1:29" ht="39.75" customHeight="1">
      <c r="B128" s="148">
        <v>125</v>
      </c>
      <c r="C128" s="26">
        <f>VLOOKUP(D128,'[3]Codes &amp; Descr. SFICS25'!B:C,2,FALSE)</f>
        <v>27</v>
      </c>
      <c r="D128" s="26" t="s">
        <v>2178</v>
      </c>
      <c r="E128" s="26">
        <f>+VLOOKUP(F128,'[3]Codes &amp; Descr. SFICS25'!D:E,2,FALSE)</f>
        <v>2705</v>
      </c>
      <c r="F128" s="26" t="s">
        <v>2304</v>
      </c>
      <c r="G128" s="26" t="str">
        <f>VLOOKUP(H128,'[3]Codes &amp; Descr. SFICS25'!F:H,2,FALSE)</f>
        <v>-</v>
      </c>
      <c r="H128" s="26" t="s">
        <v>507</v>
      </c>
      <c r="I128" s="26" t="s">
        <v>507</v>
      </c>
      <c r="J128" s="26" t="s">
        <v>2304</v>
      </c>
      <c r="K128" s="26" t="s">
        <v>2305</v>
      </c>
      <c r="L128" s="28" t="s">
        <v>281</v>
      </c>
      <c r="M128" s="29" t="s">
        <v>1402</v>
      </c>
      <c r="N128" s="99" t="s">
        <v>2306</v>
      </c>
      <c r="O128" s="99" t="s">
        <v>2307</v>
      </c>
      <c r="P128" s="31" t="s">
        <v>2308</v>
      </c>
      <c r="Q128" s="31" t="s">
        <v>1410</v>
      </c>
      <c r="R128" s="99" t="s">
        <v>1410</v>
      </c>
      <c r="S128" s="99" t="s">
        <v>1410</v>
      </c>
      <c r="T128" s="100" t="s">
        <v>2187</v>
      </c>
      <c r="U128" s="33">
        <v>0</v>
      </c>
      <c r="V128" s="34">
        <v>0</v>
      </c>
      <c r="W128" s="34">
        <v>0</v>
      </c>
      <c r="X128" s="34">
        <v>0</v>
      </c>
      <c r="Y128" s="34">
        <v>0</v>
      </c>
      <c r="Z128" s="34">
        <v>0</v>
      </c>
      <c r="AA128" s="34">
        <f t="shared" si="1"/>
        <v>1</v>
      </c>
      <c r="AB128" s="34">
        <v>0</v>
      </c>
      <c r="AC128" s="43"/>
    </row>
    <row r="129" spans="2:29" ht="39.75" customHeight="1">
      <c r="B129" s="148">
        <v>126</v>
      </c>
      <c r="C129" s="26">
        <f>VLOOKUP(D129,'[3]Codes &amp; Descr. SFICS25'!B:C,2,FALSE)</f>
        <v>28</v>
      </c>
      <c r="D129" s="26" t="s">
        <v>2309</v>
      </c>
      <c r="E129" s="26">
        <f>+VLOOKUP(F129,'[3]Codes &amp; Descr. SFICS25'!D:E,2,FALSE)</f>
        <v>2803</v>
      </c>
      <c r="F129" s="26" t="s">
        <v>1641</v>
      </c>
      <c r="G129" s="26">
        <f>VLOOKUP(H129,'[3]Codes &amp; Descr. SFICS25'!F:H,2,FALSE)</f>
        <v>280301</v>
      </c>
      <c r="H129" s="26" t="s">
        <v>2310</v>
      </c>
      <c r="I129" s="26" t="s">
        <v>2311</v>
      </c>
      <c r="J129" s="26" t="s">
        <v>2312</v>
      </c>
      <c r="K129" s="26" t="s">
        <v>2313</v>
      </c>
      <c r="L129" s="28" t="s">
        <v>950</v>
      </c>
      <c r="M129" s="29" t="s">
        <v>1402</v>
      </c>
      <c r="N129" s="99" t="s">
        <v>2314</v>
      </c>
      <c r="O129" s="99" t="s">
        <v>2315</v>
      </c>
      <c r="P129" s="31" t="s">
        <v>2316</v>
      </c>
      <c r="Q129" s="31" t="s">
        <v>2317</v>
      </c>
      <c r="R129" s="99" t="s">
        <v>1410</v>
      </c>
      <c r="S129" s="99" t="s">
        <v>1410</v>
      </c>
      <c r="T129" s="106" t="s">
        <v>2318</v>
      </c>
      <c r="U129" s="33" t="s">
        <v>1546</v>
      </c>
      <c r="V129" s="33" t="s">
        <v>1413</v>
      </c>
      <c r="W129" s="34">
        <v>0</v>
      </c>
      <c r="X129" s="34">
        <v>0</v>
      </c>
      <c r="Y129" s="34">
        <v>0</v>
      </c>
      <c r="Z129" s="34">
        <v>0</v>
      </c>
      <c r="AA129" s="34">
        <f t="shared" si="1"/>
        <v>1</v>
      </c>
      <c r="AB129" s="34">
        <v>0</v>
      </c>
      <c r="AC129" s="43"/>
    </row>
    <row r="130" spans="2:29" ht="39.75" customHeight="1">
      <c r="B130" s="148">
        <v>127</v>
      </c>
      <c r="C130" s="26">
        <f>VLOOKUP(D130,'[3]Codes &amp; Descr. SFICS25'!B:C,2,FALSE)</f>
        <v>28</v>
      </c>
      <c r="D130" s="26" t="s">
        <v>2309</v>
      </c>
      <c r="E130" s="26">
        <f>+VLOOKUP(F130,'[3]Codes &amp; Descr. SFICS25'!D:E,2,FALSE)</f>
        <v>2803</v>
      </c>
      <c r="F130" s="26" t="s">
        <v>1641</v>
      </c>
      <c r="G130" s="26">
        <f>VLOOKUP(H130,'[3]Codes &amp; Descr. SFICS25'!F:H,2,FALSE)</f>
        <v>280302</v>
      </c>
      <c r="H130" s="26" t="s">
        <v>2319</v>
      </c>
      <c r="I130" s="26" t="s">
        <v>2320</v>
      </c>
      <c r="J130" s="26" t="s">
        <v>2321</v>
      </c>
      <c r="K130" s="26" t="s">
        <v>2322</v>
      </c>
      <c r="L130" s="28" t="s">
        <v>959</v>
      </c>
      <c r="M130" s="29" t="s">
        <v>1402</v>
      </c>
      <c r="N130" s="99" t="s">
        <v>1410</v>
      </c>
      <c r="O130" s="99" t="s">
        <v>2323</v>
      </c>
      <c r="P130" s="31" t="s">
        <v>2324</v>
      </c>
      <c r="Q130" s="31" t="s">
        <v>2325</v>
      </c>
      <c r="R130" s="99" t="s">
        <v>1410</v>
      </c>
      <c r="S130" s="99" t="s">
        <v>1410</v>
      </c>
      <c r="T130" s="106" t="s">
        <v>2318</v>
      </c>
      <c r="U130" s="33" t="s">
        <v>1546</v>
      </c>
      <c r="V130" s="33">
        <v>0</v>
      </c>
      <c r="W130" s="34">
        <v>0</v>
      </c>
      <c r="X130" s="34">
        <v>0</v>
      </c>
      <c r="Y130" s="34">
        <v>0</v>
      </c>
      <c r="Z130" s="34">
        <v>0</v>
      </c>
      <c r="AA130" s="34">
        <f t="shared" si="1"/>
        <v>1</v>
      </c>
      <c r="AB130" s="34">
        <v>0</v>
      </c>
      <c r="AC130" s="43"/>
    </row>
    <row r="131" spans="2:29" ht="39.75" customHeight="1">
      <c r="B131" s="148">
        <v>128</v>
      </c>
      <c r="C131" s="26">
        <f>VLOOKUP(D131,'[3]Codes &amp; Descr. SFICS25'!B:C,2,FALSE)</f>
        <v>28</v>
      </c>
      <c r="D131" s="26" t="s">
        <v>2309</v>
      </c>
      <c r="E131" s="26">
        <f>+VLOOKUP(F131,'[3]Codes &amp; Descr. SFICS25'!D:E,2,FALSE)</f>
        <v>2803</v>
      </c>
      <c r="F131" s="26" t="s">
        <v>1641</v>
      </c>
      <c r="G131" s="26">
        <f>VLOOKUP(H131,'[3]Codes &amp; Descr. SFICS25'!F:H,2,FALSE)</f>
        <v>280303</v>
      </c>
      <c r="H131" s="26" t="s">
        <v>2326</v>
      </c>
      <c r="I131" s="26" t="s">
        <v>2327</v>
      </c>
      <c r="J131" s="26" t="s">
        <v>2327</v>
      </c>
      <c r="K131" s="26" t="s">
        <v>2328</v>
      </c>
      <c r="L131" s="28" t="s">
        <v>966</v>
      </c>
      <c r="M131" s="29" t="s">
        <v>1402</v>
      </c>
      <c r="N131" s="99" t="s">
        <v>2329</v>
      </c>
      <c r="O131" s="99" t="s">
        <v>2330</v>
      </c>
      <c r="P131" s="31" t="s">
        <v>2331</v>
      </c>
      <c r="Q131" s="31" t="s">
        <v>2332</v>
      </c>
      <c r="R131" s="99" t="s">
        <v>1410</v>
      </c>
      <c r="S131" s="99" t="s">
        <v>1410</v>
      </c>
      <c r="T131" s="106" t="s">
        <v>2318</v>
      </c>
      <c r="U131" s="33" t="s">
        <v>1546</v>
      </c>
      <c r="V131" s="34">
        <v>0</v>
      </c>
      <c r="W131" s="34">
        <v>0</v>
      </c>
      <c r="X131" s="34">
        <v>0</v>
      </c>
      <c r="Y131" s="34">
        <v>0</v>
      </c>
      <c r="Z131" s="34">
        <v>0</v>
      </c>
      <c r="AA131" s="34">
        <f t="shared" si="1"/>
        <v>1</v>
      </c>
      <c r="AB131" s="34">
        <v>0</v>
      </c>
      <c r="AC131" s="43"/>
    </row>
    <row r="132" spans="2:29" ht="39.75" customHeight="1">
      <c r="B132" s="148">
        <v>129</v>
      </c>
      <c r="C132" s="26">
        <f>VLOOKUP(D132,'[3]Codes &amp; Descr. SFICS25'!B:C,2,FALSE)</f>
        <v>28</v>
      </c>
      <c r="D132" s="26" t="s">
        <v>2309</v>
      </c>
      <c r="E132" s="26">
        <f>+VLOOKUP(F132,'[3]Codes &amp; Descr. SFICS25'!D:E,2,FALSE)</f>
        <v>2803</v>
      </c>
      <c r="F132" s="26" t="s">
        <v>1641</v>
      </c>
      <c r="G132" s="26">
        <f>VLOOKUP(H132,'[3]Codes &amp; Descr. SFICS25'!F:H,2,FALSE)</f>
        <v>280304</v>
      </c>
      <c r="H132" s="26" t="s">
        <v>2333</v>
      </c>
      <c r="I132" s="26" t="s">
        <v>2334</v>
      </c>
      <c r="J132" s="26" t="s">
        <v>2334</v>
      </c>
      <c r="K132" s="26" t="s">
        <v>2335</v>
      </c>
      <c r="L132" s="28" t="s">
        <v>974</v>
      </c>
      <c r="M132" s="29" t="s">
        <v>1402</v>
      </c>
      <c r="N132" s="99" t="s">
        <v>2336</v>
      </c>
      <c r="O132" s="99" t="s">
        <v>2337</v>
      </c>
      <c r="P132" s="31" t="s">
        <v>2338</v>
      </c>
      <c r="Q132" s="31" t="s">
        <v>2339</v>
      </c>
      <c r="R132" s="99" t="s">
        <v>1410</v>
      </c>
      <c r="S132" s="99" t="s">
        <v>1410</v>
      </c>
      <c r="T132" s="106" t="s">
        <v>2318</v>
      </c>
      <c r="U132" s="33" t="s">
        <v>1598</v>
      </c>
      <c r="V132" s="69">
        <v>0</v>
      </c>
      <c r="W132" s="34">
        <v>0</v>
      </c>
      <c r="X132" s="34">
        <v>0</v>
      </c>
      <c r="Y132" s="34">
        <v>0</v>
      </c>
      <c r="Z132" s="34">
        <v>0</v>
      </c>
      <c r="AA132" s="34">
        <f t="shared" ref="AA132:AA152" si="2">IF(P132="Not applicable",0,1)</f>
        <v>1</v>
      </c>
      <c r="AB132" s="34">
        <v>0</v>
      </c>
      <c r="AC132" s="41" t="s">
        <v>383</v>
      </c>
    </row>
    <row r="133" spans="2:29" ht="39.75" customHeight="1">
      <c r="B133" s="148">
        <v>130</v>
      </c>
      <c r="C133" s="26">
        <f>VLOOKUP(D133,'[3]Codes &amp; Descr. SFICS25'!B:C,2,FALSE)</f>
        <v>28</v>
      </c>
      <c r="D133" s="26" t="s">
        <v>2309</v>
      </c>
      <c r="E133" s="26">
        <f>+VLOOKUP(F133,'[3]Codes &amp; Descr. SFICS25'!D:E,2,FALSE)</f>
        <v>2802</v>
      </c>
      <c r="F133" s="26" t="s">
        <v>2340</v>
      </c>
      <c r="G133" s="26">
        <f>VLOOKUP(H133,'[3]Codes &amp; Descr. SFICS25'!F:H,2,FALSE)</f>
        <v>280201</v>
      </c>
      <c r="H133" s="26" t="s">
        <v>2341</v>
      </c>
      <c r="I133" s="26" t="s">
        <v>2342</v>
      </c>
      <c r="J133" s="26" t="s">
        <v>2342</v>
      </c>
      <c r="K133" s="26" t="s">
        <v>2343</v>
      </c>
      <c r="L133" s="28" t="s">
        <v>982</v>
      </c>
      <c r="M133" s="29" t="s">
        <v>1402</v>
      </c>
      <c r="N133" s="99" t="s">
        <v>2341</v>
      </c>
      <c r="O133" s="99" t="s">
        <v>2344</v>
      </c>
      <c r="P133" s="31" t="s">
        <v>1410</v>
      </c>
      <c r="Q133" s="31" t="s">
        <v>2345</v>
      </c>
      <c r="R133" s="99" t="s">
        <v>1410</v>
      </c>
      <c r="S133" s="99" t="s">
        <v>1410</v>
      </c>
      <c r="T133" s="106" t="s">
        <v>2318</v>
      </c>
      <c r="U133" s="33" t="s">
        <v>1546</v>
      </c>
      <c r="V133" s="33" t="s">
        <v>1413</v>
      </c>
      <c r="W133" s="34">
        <v>0</v>
      </c>
      <c r="X133" s="34">
        <v>0</v>
      </c>
      <c r="Y133" s="34">
        <v>0</v>
      </c>
      <c r="Z133" s="34">
        <v>0</v>
      </c>
      <c r="AA133" s="34">
        <f t="shared" si="2"/>
        <v>1</v>
      </c>
      <c r="AB133" s="34">
        <v>0</v>
      </c>
      <c r="AC133" s="41"/>
    </row>
    <row r="134" spans="2:29" ht="39.75" customHeight="1">
      <c r="B134" s="148">
        <v>131</v>
      </c>
      <c r="C134" s="26">
        <f>VLOOKUP(D134,'[3]Codes &amp; Descr. SFICS25'!B:C,2,FALSE)</f>
        <v>28</v>
      </c>
      <c r="D134" s="26" t="s">
        <v>2309</v>
      </c>
      <c r="E134" s="26">
        <f>+VLOOKUP(F134,'[3]Codes &amp; Descr. SFICS25'!D:E,2,FALSE)</f>
        <v>2802</v>
      </c>
      <c r="F134" s="26" t="s">
        <v>2340</v>
      </c>
      <c r="G134" s="26">
        <f>VLOOKUP(H134,'[3]Codes &amp; Descr. SFICS25'!F:H,2,FALSE)</f>
        <v>280202</v>
      </c>
      <c r="H134" s="26" t="s">
        <v>2346</v>
      </c>
      <c r="I134" s="26" t="s">
        <v>2347</v>
      </c>
      <c r="J134" s="26" t="s">
        <v>2348</v>
      </c>
      <c r="K134" s="26" t="s">
        <v>2349</v>
      </c>
      <c r="L134" s="28" t="s">
        <v>989</v>
      </c>
      <c r="M134" s="29" t="s">
        <v>1402</v>
      </c>
      <c r="N134" s="99" t="s">
        <v>2350</v>
      </c>
      <c r="O134" s="99" t="s">
        <v>2351</v>
      </c>
      <c r="P134" s="31" t="s">
        <v>1410</v>
      </c>
      <c r="Q134" s="31" t="s">
        <v>2352</v>
      </c>
      <c r="R134" s="99" t="s">
        <v>1410</v>
      </c>
      <c r="S134" s="99" t="s">
        <v>1410</v>
      </c>
      <c r="T134" s="106" t="s">
        <v>2318</v>
      </c>
      <c r="U134" s="33" t="s">
        <v>1546</v>
      </c>
      <c r="V134" s="33" t="s">
        <v>1413</v>
      </c>
      <c r="W134" s="34">
        <v>0</v>
      </c>
      <c r="X134" s="34">
        <v>0</v>
      </c>
      <c r="Y134" s="34">
        <v>0</v>
      </c>
      <c r="Z134" s="34">
        <v>0</v>
      </c>
      <c r="AA134" s="34">
        <f t="shared" si="2"/>
        <v>1</v>
      </c>
      <c r="AB134" s="34">
        <v>0</v>
      </c>
      <c r="AC134" s="43"/>
    </row>
    <row r="135" spans="2:29" ht="39.75" customHeight="1">
      <c r="B135" s="148">
        <v>132</v>
      </c>
      <c r="C135" s="26">
        <f>VLOOKUP(D135,'[3]Codes &amp; Descr. SFICS25'!B:C,2,FALSE)</f>
        <v>28</v>
      </c>
      <c r="D135" s="26" t="s">
        <v>2309</v>
      </c>
      <c r="E135" s="26">
        <f>+VLOOKUP(F135,'[3]Codes &amp; Descr. SFICS25'!D:E,2,FALSE)</f>
        <v>2802</v>
      </c>
      <c r="F135" s="26" t="s">
        <v>2340</v>
      </c>
      <c r="G135" s="26">
        <f>VLOOKUP(H135,'[3]Codes &amp; Descr. SFICS25'!F:H,2,FALSE)</f>
        <v>280203</v>
      </c>
      <c r="H135" s="26" t="s">
        <v>2353</v>
      </c>
      <c r="I135" s="26" t="s">
        <v>2354</v>
      </c>
      <c r="J135" s="26" t="s">
        <v>2354</v>
      </c>
      <c r="K135" s="26" t="s">
        <v>2355</v>
      </c>
      <c r="L135" s="28" t="s">
        <v>993</v>
      </c>
      <c r="M135" s="29" t="s">
        <v>1402</v>
      </c>
      <c r="N135" s="99" t="s">
        <v>2356</v>
      </c>
      <c r="O135" s="99" t="s">
        <v>2357</v>
      </c>
      <c r="P135" s="31" t="s">
        <v>1410</v>
      </c>
      <c r="Q135" s="31" t="s">
        <v>2352</v>
      </c>
      <c r="R135" s="99" t="s">
        <v>1410</v>
      </c>
      <c r="S135" s="99" t="s">
        <v>1410</v>
      </c>
      <c r="T135" s="106" t="s">
        <v>2318</v>
      </c>
      <c r="U135" s="33" t="s">
        <v>1413</v>
      </c>
      <c r="V135" s="33" t="s">
        <v>1413</v>
      </c>
      <c r="W135" s="34">
        <v>0</v>
      </c>
      <c r="X135" s="34">
        <v>0</v>
      </c>
      <c r="Y135" s="34">
        <v>0</v>
      </c>
      <c r="Z135" s="34">
        <v>0</v>
      </c>
      <c r="AA135" s="34">
        <f t="shared" si="2"/>
        <v>1</v>
      </c>
      <c r="AB135" s="34">
        <v>0</v>
      </c>
      <c r="AC135" s="43"/>
    </row>
    <row r="136" spans="2:29" ht="39.75" customHeight="1">
      <c r="B136" s="148">
        <v>133</v>
      </c>
      <c r="C136" s="26">
        <f>VLOOKUP(D136,'[3]Codes &amp; Descr. SFICS25'!B:C,2,FALSE)</f>
        <v>28</v>
      </c>
      <c r="D136" s="26" t="s">
        <v>2309</v>
      </c>
      <c r="E136" s="26">
        <f>+VLOOKUP(F136,'[3]Codes &amp; Descr. SFICS25'!D:E,2,FALSE)</f>
        <v>2805</v>
      </c>
      <c r="F136" s="26" t="s">
        <v>2358</v>
      </c>
      <c r="G136" s="26">
        <f>VLOOKUP(H136,'[3]Codes &amp; Descr. SFICS25'!F:H,2,FALSE)</f>
        <v>280501</v>
      </c>
      <c r="H136" s="26" t="s">
        <v>2359</v>
      </c>
      <c r="I136" s="26" t="s">
        <v>2360</v>
      </c>
      <c r="J136" s="26" t="s">
        <v>2361</v>
      </c>
      <c r="K136" s="26" t="s">
        <v>2362</v>
      </c>
      <c r="L136" s="28" t="s">
        <v>1002</v>
      </c>
      <c r="M136" s="29" t="s">
        <v>1402</v>
      </c>
      <c r="N136" s="99" t="s">
        <v>2363</v>
      </c>
      <c r="O136" s="99" t="s">
        <v>2364</v>
      </c>
      <c r="P136" s="31" t="s">
        <v>2365</v>
      </c>
      <c r="Q136" s="31" t="s">
        <v>2366</v>
      </c>
      <c r="R136" s="99" t="s">
        <v>1410</v>
      </c>
      <c r="S136" s="99" t="s">
        <v>1410</v>
      </c>
      <c r="T136" s="106" t="s">
        <v>2318</v>
      </c>
      <c r="U136" s="33" t="s">
        <v>1546</v>
      </c>
      <c r="V136" s="33" t="s">
        <v>1413</v>
      </c>
      <c r="W136" s="34">
        <v>0</v>
      </c>
      <c r="X136" s="34">
        <v>0</v>
      </c>
      <c r="Y136" s="34">
        <v>0</v>
      </c>
      <c r="Z136" s="34">
        <v>0</v>
      </c>
      <c r="AA136" s="34">
        <f t="shared" si="2"/>
        <v>1</v>
      </c>
      <c r="AB136" s="34">
        <v>0</v>
      </c>
      <c r="AC136" s="43"/>
    </row>
    <row r="137" spans="2:29" ht="39.75" customHeight="1">
      <c r="B137" s="148">
        <v>134</v>
      </c>
      <c r="C137" s="26">
        <f>VLOOKUP(D137,'[3]Codes &amp; Descr. SFICS25'!B:C,2,FALSE)</f>
        <v>28</v>
      </c>
      <c r="D137" s="26" t="s">
        <v>2309</v>
      </c>
      <c r="E137" s="26">
        <f>+VLOOKUP(F137,'[3]Codes &amp; Descr. SFICS25'!D:E,2,FALSE)</f>
        <v>2805</v>
      </c>
      <c r="F137" s="26" t="s">
        <v>2358</v>
      </c>
      <c r="G137" s="26">
        <f>VLOOKUP(H137,'[3]Codes &amp; Descr. SFICS25'!F:H,2,FALSE)</f>
        <v>280502</v>
      </c>
      <c r="H137" s="26" t="s">
        <v>2367</v>
      </c>
      <c r="I137" s="26" t="s">
        <v>2368</v>
      </c>
      <c r="J137" s="26" t="s">
        <v>2369</v>
      </c>
      <c r="K137" s="26" t="s">
        <v>2370</v>
      </c>
      <c r="L137" s="28" t="s">
        <v>1009</v>
      </c>
      <c r="M137" s="29" t="s">
        <v>1402</v>
      </c>
      <c r="N137" s="99" t="s">
        <v>2371</v>
      </c>
      <c r="O137" s="99" t="s">
        <v>2372</v>
      </c>
      <c r="P137" s="31" t="s">
        <v>1410</v>
      </c>
      <c r="Q137" s="31" t="s">
        <v>2373</v>
      </c>
      <c r="R137" s="99" t="s">
        <v>1410</v>
      </c>
      <c r="S137" s="99" t="s">
        <v>1410</v>
      </c>
      <c r="T137" s="106" t="s">
        <v>2318</v>
      </c>
      <c r="U137" s="33" t="s">
        <v>1546</v>
      </c>
      <c r="V137" s="33" t="s">
        <v>1413</v>
      </c>
      <c r="W137" s="34">
        <v>0</v>
      </c>
      <c r="X137" s="34">
        <v>0</v>
      </c>
      <c r="Y137" s="34">
        <v>0</v>
      </c>
      <c r="Z137" s="34">
        <v>0</v>
      </c>
      <c r="AA137" s="34">
        <f t="shared" si="2"/>
        <v>1</v>
      </c>
      <c r="AB137" s="34">
        <v>0</v>
      </c>
      <c r="AC137" s="43"/>
    </row>
    <row r="138" spans="2:29" ht="39.75" customHeight="1">
      <c r="B138" s="148">
        <v>135</v>
      </c>
      <c r="C138" s="26">
        <f>VLOOKUP(D138,'[3]Codes &amp; Descr. SFICS25'!B:C,2,FALSE)</f>
        <v>28</v>
      </c>
      <c r="D138" s="26" t="s">
        <v>2309</v>
      </c>
      <c r="E138" s="26">
        <f>+VLOOKUP(F138,'[3]Codes &amp; Descr. SFICS25'!D:E,2,FALSE)</f>
        <v>2805</v>
      </c>
      <c r="F138" s="26" t="s">
        <v>2358</v>
      </c>
      <c r="G138" s="26">
        <f>VLOOKUP(H138,'[3]Codes &amp; Descr. SFICS25'!F:H,2,FALSE)</f>
        <v>280503</v>
      </c>
      <c r="H138" s="26" t="s">
        <v>2374</v>
      </c>
      <c r="I138" s="26" t="s">
        <v>2375</v>
      </c>
      <c r="J138" s="26" t="s">
        <v>2376</v>
      </c>
      <c r="K138" s="26" t="s">
        <v>2377</v>
      </c>
      <c r="L138" s="28" t="s">
        <v>1016</v>
      </c>
      <c r="M138" s="29" t="s">
        <v>1402</v>
      </c>
      <c r="N138" s="99" t="s">
        <v>2378</v>
      </c>
      <c r="O138" s="99" t="s">
        <v>2379</v>
      </c>
      <c r="P138" s="31" t="s">
        <v>2380</v>
      </c>
      <c r="Q138" s="31" t="s">
        <v>2381</v>
      </c>
      <c r="R138" s="99" t="s">
        <v>1410</v>
      </c>
      <c r="S138" s="99" t="s">
        <v>1410</v>
      </c>
      <c r="T138" s="106" t="s">
        <v>2318</v>
      </c>
      <c r="U138" s="107" t="s">
        <v>1546</v>
      </c>
      <c r="V138" s="69">
        <v>0</v>
      </c>
      <c r="W138" s="34">
        <v>0</v>
      </c>
      <c r="X138" s="69">
        <v>0</v>
      </c>
      <c r="Y138" s="34">
        <v>0</v>
      </c>
      <c r="Z138" s="34">
        <v>0</v>
      </c>
      <c r="AA138" s="34">
        <f t="shared" si="2"/>
        <v>1</v>
      </c>
      <c r="AB138" s="34">
        <v>0</v>
      </c>
      <c r="AC138" s="41"/>
    </row>
    <row r="139" spans="2:29" ht="39.75" customHeight="1">
      <c r="B139" s="148">
        <v>136</v>
      </c>
      <c r="C139" s="26">
        <f>VLOOKUP(D139,'[3]Codes &amp; Descr. SFICS25'!B:C,2,FALSE)</f>
        <v>28</v>
      </c>
      <c r="D139" s="26" t="s">
        <v>2309</v>
      </c>
      <c r="E139" s="26">
        <f>+VLOOKUP(F139,'[3]Codes &amp; Descr. SFICS25'!D:E,2,FALSE)</f>
        <v>2805</v>
      </c>
      <c r="F139" s="26" t="s">
        <v>2358</v>
      </c>
      <c r="G139" s="26">
        <f>VLOOKUP(H139,'[3]Codes &amp; Descr. SFICS25'!F:H,2,FALSE)</f>
        <v>280504</v>
      </c>
      <c r="H139" s="26" t="s">
        <v>2382</v>
      </c>
      <c r="I139" s="26" t="s">
        <v>2383</v>
      </c>
      <c r="J139" s="26" t="s">
        <v>2384</v>
      </c>
      <c r="K139" s="26" t="s">
        <v>2385</v>
      </c>
      <c r="L139" s="28" t="s">
        <v>281</v>
      </c>
      <c r="M139" s="29" t="s">
        <v>1402</v>
      </c>
      <c r="N139" s="99" t="s">
        <v>2386</v>
      </c>
      <c r="O139" s="99" t="s">
        <v>2387</v>
      </c>
      <c r="P139" s="31" t="s">
        <v>2388</v>
      </c>
      <c r="Q139" s="31" t="s">
        <v>1410</v>
      </c>
      <c r="R139" s="99" t="s">
        <v>1410</v>
      </c>
      <c r="S139" s="99" t="s">
        <v>1410</v>
      </c>
      <c r="T139" s="106" t="s">
        <v>2318</v>
      </c>
      <c r="U139" s="33">
        <v>0</v>
      </c>
      <c r="V139" s="34">
        <v>0</v>
      </c>
      <c r="W139" s="34">
        <v>0</v>
      </c>
      <c r="X139" s="34">
        <v>0</v>
      </c>
      <c r="Y139" s="34">
        <v>0</v>
      </c>
      <c r="Z139" s="34">
        <v>0</v>
      </c>
      <c r="AA139" s="34">
        <f t="shared" si="2"/>
        <v>1</v>
      </c>
      <c r="AB139" s="34">
        <v>0</v>
      </c>
      <c r="AC139" s="43"/>
    </row>
    <row r="140" spans="2:29" ht="39.75" customHeight="1">
      <c r="B140" s="148">
        <v>137</v>
      </c>
      <c r="C140" s="26">
        <f>VLOOKUP(D140,'[3]Codes &amp; Descr. SFICS25'!B:C,2,FALSE)</f>
        <v>28</v>
      </c>
      <c r="D140" s="26" t="s">
        <v>2309</v>
      </c>
      <c r="E140" s="26">
        <f>+VLOOKUP(F140,'[3]Codes &amp; Descr. SFICS25'!D:E,2,FALSE)</f>
        <v>2805</v>
      </c>
      <c r="F140" s="26" t="s">
        <v>2358</v>
      </c>
      <c r="G140" s="26">
        <f>VLOOKUP(H140,'[3]Codes &amp; Descr. SFICS25'!F:H,2,FALSE)</f>
        <v>280505</v>
      </c>
      <c r="H140" s="26" t="s">
        <v>2389</v>
      </c>
      <c r="I140" s="26" t="s">
        <v>2390</v>
      </c>
      <c r="J140" s="26" t="s">
        <v>2391</v>
      </c>
      <c r="K140" s="26" t="s">
        <v>2392</v>
      </c>
      <c r="L140" s="28" t="s">
        <v>1031</v>
      </c>
      <c r="M140" s="29" t="s">
        <v>1402</v>
      </c>
      <c r="N140" s="99" t="s">
        <v>2393</v>
      </c>
      <c r="O140" s="99" t="s">
        <v>2394</v>
      </c>
      <c r="P140" s="31" t="s">
        <v>2395</v>
      </c>
      <c r="Q140" s="31" t="s">
        <v>2396</v>
      </c>
      <c r="R140" s="99" t="s">
        <v>1410</v>
      </c>
      <c r="S140" s="99" t="s">
        <v>1410</v>
      </c>
      <c r="T140" s="106" t="s">
        <v>2318</v>
      </c>
      <c r="U140" s="33">
        <v>0</v>
      </c>
      <c r="V140" s="34">
        <v>0</v>
      </c>
      <c r="W140" s="107" t="s">
        <v>1546</v>
      </c>
      <c r="X140" s="34">
        <v>0</v>
      </c>
      <c r="Y140" s="34">
        <v>0</v>
      </c>
      <c r="Z140" s="34">
        <v>0</v>
      </c>
      <c r="AA140" s="34">
        <f t="shared" si="2"/>
        <v>1</v>
      </c>
      <c r="AB140" s="34">
        <v>0</v>
      </c>
      <c r="AC140" s="41"/>
    </row>
    <row r="141" spans="2:29" ht="39.75" customHeight="1">
      <c r="B141" s="148">
        <v>138</v>
      </c>
      <c r="C141" s="26">
        <f>VLOOKUP(D141,'[3]Codes &amp; Descr. SFICS25'!B:C,2,FALSE)</f>
        <v>28</v>
      </c>
      <c r="D141" s="26" t="s">
        <v>2309</v>
      </c>
      <c r="E141" s="26">
        <f>+VLOOKUP(F141,'[3]Codes &amp; Descr. SFICS25'!D:E,2,FALSE)</f>
        <v>2801</v>
      </c>
      <c r="F141" s="26" t="s">
        <v>26</v>
      </c>
      <c r="G141" s="26">
        <f>VLOOKUP(H141,'[3]Codes &amp; Descr. SFICS25'!F:H,2,FALSE)</f>
        <v>280101</v>
      </c>
      <c r="H141" s="26" t="s">
        <v>2397</v>
      </c>
      <c r="I141" s="26" t="s">
        <v>2398</v>
      </c>
      <c r="J141" s="26" t="s">
        <v>2399</v>
      </c>
      <c r="K141" s="26" t="s">
        <v>2400</v>
      </c>
      <c r="L141" s="28" t="s">
        <v>1037</v>
      </c>
      <c r="M141" s="29" t="s">
        <v>1402</v>
      </c>
      <c r="N141" s="99" t="s">
        <v>2401</v>
      </c>
      <c r="O141" s="99" t="s">
        <v>2402</v>
      </c>
      <c r="P141" s="31" t="s">
        <v>1410</v>
      </c>
      <c r="Q141" s="31" t="s">
        <v>2403</v>
      </c>
      <c r="R141" s="99" t="s">
        <v>1410</v>
      </c>
      <c r="S141" s="99" t="s">
        <v>1410</v>
      </c>
      <c r="T141" s="106" t="s">
        <v>2318</v>
      </c>
      <c r="U141" s="34">
        <v>0</v>
      </c>
      <c r="V141" s="34">
        <v>0</v>
      </c>
      <c r="W141" s="34">
        <v>0</v>
      </c>
      <c r="X141" s="33" t="s">
        <v>1413</v>
      </c>
      <c r="Y141" s="34">
        <v>0</v>
      </c>
      <c r="Z141" s="34">
        <v>0</v>
      </c>
      <c r="AA141" s="34">
        <f t="shared" si="2"/>
        <v>1</v>
      </c>
      <c r="AB141" s="34">
        <v>0</v>
      </c>
      <c r="AC141" s="43"/>
    </row>
    <row r="142" spans="2:29" ht="39.75" customHeight="1">
      <c r="B142" s="148">
        <v>139</v>
      </c>
      <c r="C142" s="26">
        <f>VLOOKUP(D142,'[3]Codes &amp; Descr. SFICS25'!B:C,2,FALSE)</f>
        <v>28</v>
      </c>
      <c r="D142" s="26" t="s">
        <v>2309</v>
      </c>
      <c r="E142" s="26">
        <f>+VLOOKUP(F142,'[3]Codes &amp; Descr. SFICS25'!D:E,2,FALSE)</f>
        <v>2801</v>
      </c>
      <c r="F142" s="26" t="s">
        <v>26</v>
      </c>
      <c r="G142" s="26">
        <f>VLOOKUP(H142,'[3]Codes &amp; Descr. SFICS25'!F:H,2,FALSE)</f>
        <v>280102</v>
      </c>
      <c r="H142" s="26" t="s">
        <v>2404</v>
      </c>
      <c r="I142" s="26" t="s">
        <v>2405</v>
      </c>
      <c r="J142" s="26" t="s">
        <v>2406</v>
      </c>
      <c r="K142" s="26" t="s">
        <v>2407</v>
      </c>
      <c r="L142" s="28" t="s">
        <v>1042</v>
      </c>
      <c r="M142" s="29" t="s">
        <v>1402</v>
      </c>
      <c r="N142" s="99" t="s">
        <v>2408</v>
      </c>
      <c r="O142" s="99" t="s">
        <v>2409</v>
      </c>
      <c r="P142" s="31" t="s">
        <v>1410</v>
      </c>
      <c r="Q142" s="31" t="s">
        <v>2410</v>
      </c>
      <c r="R142" s="99" t="s">
        <v>1410</v>
      </c>
      <c r="S142" s="99" t="s">
        <v>1410</v>
      </c>
      <c r="T142" s="106" t="s">
        <v>2318</v>
      </c>
      <c r="U142" s="34">
        <v>0</v>
      </c>
      <c r="V142" s="34">
        <v>0</v>
      </c>
      <c r="W142" s="34">
        <v>0</v>
      </c>
      <c r="X142" s="33" t="s">
        <v>1413</v>
      </c>
      <c r="Y142" s="34">
        <v>0</v>
      </c>
      <c r="Z142" s="34">
        <v>0</v>
      </c>
      <c r="AA142" s="34">
        <f t="shared" si="2"/>
        <v>1</v>
      </c>
      <c r="AB142" s="34">
        <v>0</v>
      </c>
      <c r="AC142" s="43"/>
    </row>
    <row r="143" spans="2:29" ht="39.75" customHeight="1">
      <c r="B143" s="148">
        <v>140</v>
      </c>
      <c r="C143" s="26">
        <f>VLOOKUP(D143,'[3]Codes &amp; Descr. SFICS25'!B:C,2,FALSE)</f>
        <v>28</v>
      </c>
      <c r="D143" s="26" t="s">
        <v>2309</v>
      </c>
      <c r="E143" s="26">
        <f>+VLOOKUP(F143,'[3]Codes &amp; Descr. SFICS25'!D:E,2,FALSE)</f>
        <v>2801</v>
      </c>
      <c r="F143" s="26" t="s">
        <v>26</v>
      </c>
      <c r="G143" s="26">
        <f>VLOOKUP(H143,'[3]Codes &amp; Descr. SFICS25'!F:H,2,FALSE)</f>
        <v>280103</v>
      </c>
      <c r="H143" s="26" t="s">
        <v>2411</v>
      </c>
      <c r="I143" s="26" t="s">
        <v>2412</v>
      </c>
      <c r="J143" s="26" t="s">
        <v>2413</v>
      </c>
      <c r="K143" s="26" t="s">
        <v>2414</v>
      </c>
      <c r="L143" s="28" t="s">
        <v>1050</v>
      </c>
      <c r="M143" s="29" t="s">
        <v>1402</v>
      </c>
      <c r="N143" s="99" t="s">
        <v>1410</v>
      </c>
      <c r="O143" s="99" t="s">
        <v>1410</v>
      </c>
      <c r="P143" s="31" t="s">
        <v>1410</v>
      </c>
      <c r="Q143" s="31" t="s">
        <v>2415</v>
      </c>
      <c r="R143" s="99" t="s">
        <v>1410</v>
      </c>
      <c r="S143" s="99" t="s">
        <v>1410</v>
      </c>
      <c r="T143" s="106" t="s">
        <v>2318</v>
      </c>
      <c r="U143" s="34">
        <v>0</v>
      </c>
      <c r="V143" s="34">
        <v>0</v>
      </c>
      <c r="W143" s="34">
        <v>0</v>
      </c>
      <c r="X143" s="33" t="s">
        <v>1413</v>
      </c>
      <c r="Y143" s="34">
        <v>0</v>
      </c>
      <c r="Z143" s="34">
        <v>0</v>
      </c>
      <c r="AA143" s="34">
        <f t="shared" si="2"/>
        <v>1</v>
      </c>
      <c r="AB143" s="34">
        <v>0</v>
      </c>
    </row>
    <row r="144" spans="2:29" ht="39.75" customHeight="1">
      <c r="B144" s="148">
        <v>141</v>
      </c>
      <c r="C144" s="26">
        <f>VLOOKUP(D144,'[3]Codes &amp; Descr. SFICS25'!B:C,2,FALSE)</f>
        <v>28</v>
      </c>
      <c r="D144" s="26" t="s">
        <v>2309</v>
      </c>
      <c r="E144" s="26">
        <f>+VLOOKUP(F144,'[3]Codes &amp; Descr. SFICS25'!D:E,2,FALSE)</f>
        <v>2801</v>
      </c>
      <c r="F144" s="26" t="s">
        <v>26</v>
      </c>
      <c r="G144" s="26">
        <f>VLOOKUP(H144,'[3]Codes &amp; Descr. SFICS25'!F:H,2,FALSE)</f>
        <v>280104</v>
      </c>
      <c r="H144" s="26" t="s">
        <v>2416</v>
      </c>
      <c r="I144" s="26" t="s">
        <v>2417</v>
      </c>
      <c r="J144" s="26" t="s">
        <v>2418</v>
      </c>
      <c r="K144" s="26" t="s">
        <v>2419</v>
      </c>
      <c r="L144" s="28" t="s">
        <v>1052</v>
      </c>
      <c r="M144" s="29" t="s">
        <v>1402</v>
      </c>
      <c r="N144" s="99" t="s">
        <v>1410</v>
      </c>
      <c r="O144" s="99" t="s">
        <v>1410</v>
      </c>
      <c r="P144" s="31" t="s">
        <v>1410</v>
      </c>
      <c r="Q144" s="31" t="s">
        <v>2420</v>
      </c>
      <c r="R144" s="99" t="s">
        <v>1410</v>
      </c>
      <c r="S144" s="99" t="s">
        <v>1410</v>
      </c>
      <c r="T144" s="106" t="s">
        <v>2318</v>
      </c>
      <c r="U144" s="34">
        <v>0</v>
      </c>
      <c r="V144" s="34">
        <v>0</v>
      </c>
      <c r="W144" s="34">
        <v>0</v>
      </c>
      <c r="X144" s="33" t="s">
        <v>1413</v>
      </c>
      <c r="Y144" s="34">
        <v>0</v>
      </c>
      <c r="Z144" s="34">
        <v>0</v>
      </c>
      <c r="AA144" s="34">
        <f t="shared" si="2"/>
        <v>1</v>
      </c>
      <c r="AB144" s="34">
        <v>0</v>
      </c>
    </row>
    <row r="145" spans="2:29" ht="39.75" customHeight="1">
      <c r="B145" s="148">
        <v>142</v>
      </c>
      <c r="C145" s="26">
        <f>VLOOKUP(D145,'[3]Codes &amp; Descr. SFICS25'!B:C,2,FALSE)</f>
        <v>28</v>
      </c>
      <c r="D145" s="26" t="s">
        <v>2309</v>
      </c>
      <c r="E145" s="26">
        <f>+VLOOKUP(F145,'[3]Codes &amp; Descr. SFICS25'!D:E,2,FALSE)</f>
        <v>2801</v>
      </c>
      <c r="F145" s="26" t="s">
        <v>26</v>
      </c>
      <c r="G145" s="26">
        <f>VLOOKUP(H145,'[3]Codes &amp; Descr. SFICS25'!F:H,2,FALSE)</f>
        <v>280105</v>
      </c>
      <c r="H145" s="26" t="s">
        <v>2421</v>
      </c>
      <c r="I145" s="26" t="s">
        <v>2422</v>
      </c>
      <c r="J145" s="26" t="s">
        <v>2423</v>
      </c>
      <c r="K145" s="26" t="s">
        <v>2424</v>
      </c>
      <c r="L145" s="28" t="s">
        <v>1058</v>
      </c>
      <c r="M145" s="29" t="s">
        <v>1402</v>
      </c>
      <c r="N145" s="99" t="s">
        <v>2425</v>
      </c>
      <c r="O145" s="99" t="s">
        <v>2426</v>
      </c>
      <c r="P145" s="31" t="s">
        <v>1410</v>
      </c>
      <c r="Q145" s="31" t="s">
        <v>2427</v>
      </c>
      <c r="R145" s="99" t="s">
        <v>1410</v>
      </c>
      <c r="S145" s="99" t="s">
        <v>1410</v>
      </c>
      <c r="T145" s="106" t="s">
        <v>2318</v>
      </c>
      <c r="U145" s="34">
        <v>0</v>
      </c>
      <c r="V145" s="34">
        <v>0</v>
      </c>
      <c r="W145" s="34">
        <v>0</v>
      </c>
      <c r="X145" s="33" t="s">
        <v>1413</v>
      </c>
      <c r="Y145" s="34">
        <v>0</v>
      </c>
      <c r="Z145" s="34">
        <v>0</v>
      </c>
      <c r="AA145" s="34">
        <f t="shared" si="2"/>
        <v>1</v>
      </c>
      <c r="AB145" s="34">
        <v>0</v>
      </c>
    </row>
    <row r="146" spans="2:29" ht="39.75" customHeight="1">
      <c r="B146" s="148">
        <v>143</v>
      </c>
      <c r="C146" s="26">
        <f>VLOOKUP(D146,'[3]Codes &amp; Descr. SFICS25'!B:C,2,FALSE)</f>
        <v>28</v>
      </c>
      <c r="D146" s="26" t="s">
        <v>2309</v>
      </c>
      <c r="E146" s="26">
        <f>+VLOOKUP(F146,'[3]Codes &amp; Descr. SFICS25'!D:E,2,FALSE)</f>
        <v>2801</v>
      </c>
      <c r="F146" s="26" t="s">
        <v>26</v>
      </c>
      <c r="G146" s="26">
        <f>VLOOKUP(H146,'[3]Codes &amp; Descr. SFICS25'!F:H,2,FALSE)</f>
        <v>280106</v>
      </c>
      <c r="H146" s="26" t="s">
        <v>2428</v>
      </c>
      <c r="I146" s="26" t="s">
        <v>2429</v>
      </c>
      <c r="J146" s="26" t="s">
        <v>2430</v>
      </c>
      <c r="K146" s="26" t="s">
        <v>2431</v>
      </c>
      <c r="L146" s="28" t="s">
        <v>1066</v>
      </c>
      <c r="M146" s="29" t="s">
        <v>1402</v>
      </c>
      <c r="N146" s="99" t="s">
        <v>2432</v>
      </c>
      <c r="O146" s="99" t="s">
        <v>2433</v>
      </c>
      <c r="P146" s="31" t="s">
        <v>1983</v>
      </c>
      <c r="Q146" s="31" t="s">
        <v>2434</v>
      </c>
      <c r="R146" s="99" t="s">
        <v>1410</v>
      </c>
      <c r="S146" s="99" t="s">
        <v>1410</v>
      </c>
      <c r="T146" s="106" t="s">
        <v>2318</v>
      </c>
      <c r="U146" s="34">
        <v>0</v>
      </c>
      <c r="V146" s="34">
        <v>0</v>
      </c>
      <c r="W146" s="34">
        <v>0</v>
      </c>
      <c r="X146" s="33" t="s">
        <v>1546</v>
      </c>
      <c r="Y146" s="34">
        <v>0</v>
      </c>
      <c r="Z146" s="34">
        <v>0</v>
      </c>
      <c r="AA146" s="34">
        <f t="shared" si="2"/>
        <v>1</v>
      </c>
      <c r="AB146" s="34">
        <v>0</v>
      </c>
    </row>
    <row r="147" spans="2:29" ht="39.75" customHeight="1">
      <c r="B147" s="148">
        <v>144</v>
      </c>
      <c r="C147" s="26">
        <f>VLOOKUP(D147,'[3]Codes &amp; Descr. SFICS25'!B:C,2,FALSE)</f>
        <v>28</v>
      </c>
      <c r="D147" s="26" t="s">
        <v>2309</v>
      </c>
      <c r="E147" s="26">
        <f>+VLOOKUP(F147,'[3]Codes &amp; Descr. SFICS25'!D:E,2,FALSE)</f>
        <v>2807</v>
      </c>
      <c r="F147" s="26" t="s">
        <v>2435</v>
      </c>
      <c r="G147" s="26">
        <f>VLOOKUP(H147,'[3]Codes &amp; Descr. SFICS25'!F:H,2,FALSE)</f>
        <v>280701</v>
      </c>
      <c r="H147" s="26" t="s">
        <v>2436</v>
      </c>
      <c r="I147" s="26" t="s">
        <v>2437</v>
      </c>
      <c r="J147" s="26" t="s">
        <v>2438</v>
      </c>
      <c r="K147" s="26" t="s">
        <v>2439</v>
      </c>
      <c r="L147" s="28" t="s">
        <v>1074</v>
      </c>
      <c r="M147" s="29" t="s">
        <v>1402</v>
      </c>
      <c r="N147" s="99" t="s">
        <v>1410</v>
      </c>
      <c r="O147" s="99" t="s">
        <v>1410</v>
      </c>
      <c r="P147" s="31" t="s">
        <v>1410</v>
      </c>
      <c r="Q147" s="31" t="s">
        <v>2440</v>
      </c>
      <c r="R147" s="99" t="s">
        <v>1410</v>
      </c>
      <c r="S147" s="99" t="s">
        <v>1410</v>
      </c>
      <c r="T147" s="106" t="s">
        <v>2318</v>
      </c>
      <c r="U147" s="33" t="s">
        <v>1598</v>
      </c>
      <c r="V147" s="33" t="s">
        <v>1413</v>
      </c>
      <c r="W147" s="34">
        <v>0</v>
      </c>
      <c r="X147" s="34">
        <v>0</v>
      </c>
      <c r="Y147" s="34">
        <v>0</v>
      </c>
      <c r="Z147" s="34">
        <v>0</v>
      </c>
      <c r="AA147" s="34">
        <f t="shared" si="2"/>
        <v>1</v>
      </c>
      <c r="AB147" s="34">
        <v>0</v>
      </c>
    </row>
    <row r="148" spans="2:29" ht="39.75" customHeight="1">
      <c r="B148" s="148">
        <v>145</v>
      </c>
      <c r="C148" s="26">
        <f>VLOOKUP(D148,'[3]Codes &amp; Descr. SFICS25'!B:C,2,FALSE)</f>
        <v>28</v>
      </c>
      <c r="D148" s="26" t="s">
        <v>2309</v>
      </c>
      <c r="E148" s="26">
        <f>+VLOOKUP(F148,'[3]Codes &amp; Descr. SFICS25'!D:E,2,FALSE)</f>
        <v>2807</v>
      </c>
      <c r="F148" s="26" t="s">
        <v>2435</v>
      </c>
      <c r="G148" s="26">
        <f>VLOOKUP(H148,'[3]Codes &amp; Descr. SFICS25'!F:H,2,FALSE)</f>
        <v>280702</v>
      </c>
      <c r="H148" s="26" t="s">
        <v>2441</v>
      </c>
      <c r="I148" s="26" t="s">
        <v>2442</v>
      </c>
      <c r="J148" s="26" t="s">
        <v>2443</v>
      </c>
      <c r="K148" s="26" t="s">
        <v>2444</v>
      </c>
      <c r="L148" s="28" t="s">
        <v>1079</v>
      </c>
      <c r="M148" s="29" t="s">
        <v>1402</v>
      </c>
      <c r="N148" s="99" t="s">
        <v>1410</v>
      </c>
      <c r="O148" s="99" t="s">
        <v>1410</v>
      </c>
      <c r="P148" s="31" t="s">
        <v>2445</v>
      </c>
      <c r="Q148" s="31" t="s">
        <v>2446</v>
      </c>
      <c r="R148" s="99" t="s">
        <v>1410</v>
      </c>
      <c r="S148" s="99" t="s">
        <v>1410</v>
      </c>
      <c r="T148" s="106" t="s">
        <v>2318</v>
      </c>
      <c r="U148" s="33" t="s">
        <v>1598</v>
      </c>
      <c r="V148" s="33" t="s">
        <v>1413</v>
      </c>
      <c r="W148" s="34">
        <v>0</v>
      </c>
      <c r="X148" s="34">
        <v>0</v>
      </c>
      <c r="Y148" s="34">
        <v>0</v>
      </c>
      <c r="Z148" s="34">
        <v>0</v>
      </c>
      <c r="AA148" s="34">
        <f t="shared" si="2"/>
        <v>1</v>
      </c>
      <c r="AB148" s="34">
        <v>0</v>
      </c>
      <c r="AC148" s="41"/>
    </row>
    <row r="149" spans="2:29" ht="39.75" customHeight="1">
      <c r="B149" s="148">
        <v>146</v>
      </c>
      <c r="C149" s="26">
        <f>VLOOKUP(D149,'[3]Codes &amp; Descr. SFICS25'!B:C,2,FALSE)</f>
        <v>28</v>
      </c>
      <c r="D149" s="26" t="s">
        <v>2309</v>
      </c>
      <c r="E149" s="26">
        <f>+VLOOKUP(F149,'[3]Codes &amp; Descr. SFICS25'!D:E,2,FALSE)</f>
        <v>2807</v>
      </c>
      <c r="F149" s="26" t="s">
        <v>2435</v>
      </c>
      <c r="G149" s="26">
        <f>VLOOKUP(H149,'[3]Codes &amp; Descr. SFICS25'!F:H,2,FALSE)</f>
        <v>280703</v>
      </c>
      <c r="H149" s="26" t="s">
        <v>2447</v>
      </c>
      <c r="I149" s="26" t="s">
        <v>2448</v>
      </c>
      <c r="J149" s="26" t="s">
        <v>2449</v>
      </c>
      <c r="K149" s="26" t="s">
        <v>2450</v>
      </c>
      <c r="L149" s="28" t="s">
        <v>1086</v>
      </c>
      <c r="M149" s="29" t="s">
        <v>1402</v>
      </c>
      <c r="N149" s="99" t="s">
        <v>2451</v>
      </c>
      <c r="O149" s="99" t="s">
        <v>2452</v>
      </c>
      <c r="P149" s="31" t="s">
        <v>2453</v>
      </c>
      <c r="Q149" s="31" t="s">
        <v>2454</v>
      </c>
      <c r="R149" s="99" t="s">
        <v>1410</v>
      </c>
      <c r="S149" s="99" t="s">
        <v>1410</v>
      </c>
      <c r="T149" s="106" t="s">
        <v>2318</v>
      </c>
      <c r="U149" s="33" t="s">
        <v>1598</v>
      </c>
      <c r="V149" s="33" t="s">
        <v>1413</v>
      </c>
      <c r="W149" s="34">
        <v>0</v>
      </c>
      <c r="X149" s="34">
        <v>0</v>
      </c>
      <c r="Y149" s="34">
        <v>0</v>
      </c>
      <c r="Z149" s="34">
        <v>0</v>
      </c>
      <c r="AA149" s="34">
        <f t="shared" si="2"/>
        <v>1</v>
      </c>
      <c r="AB149" s="34">
        <v>0</v>
      </c>
      <c r="AC149" s="43"/>
    </row>
    <row r="150" spans="2:29" ht="39.75" customHeight="1">
      <c r="B150" s="148">
        <v>147</v>
      </c>
      <c r="C150" s="26">
        <f>VLOOKUP(D150,'[3]Codes &amp; Descr. SFICS25'!B:C,2,FALSE)</f>
        <v>28</v>
      </c>
      <c r="D150" s="26" t="s">
        <v>2309</v>
      </c>
      <c r="E150" s="26">
        <f>+VLOOKUP(F150,'[3]Codes &amp; Descr. SFICS25'!D:E,2,FALSE)</f>
        <v>2807</v>
      </c>
      <c r="F150" s="26" t="s">
        <v>2435</v>
      </c>
      <c r="G150" s="26">
        <f>VLOOKUP(H150,'[3]Codes &amp; Descr. SFICS25'!F:H,2,FALSE)</f>
        <v>280704</v>
      </c>
      <c r="H150" s="26" t="s">
        <v>2455</v>
      </c>
      <c r="I150" s="26" t="s">
        <v>2456</v>
      </c>
      <c r="J150" s="26" t="s">
        <v>2457</v>
      </c>
      <c r="K150" s="26" t="s">
        <v>2458</v>
      </c>
      <c r="L150" s="28" t="s">
        <v>1094</v>
      </c>
      <c r="M150" s="29" t="s">
        <v>1402</v>
      </c>
      <c r="N150" s="99" t="s">
        <v>1410</v>
      </c>
      <c r="O150" s="99" t="s">
        <v>1410</v>
      </c>
      <c r="P150" s="31" t="s">
        <v>2459</v>
      </c>
      <c r="Q150" s="31" t="s">
        <v>2460</v>
      </c>
      <c r="R150" s="99" t="s">
        <v>1410</v>
      </c>
      <c r="S150" s="99" t="s">
        <v>1410</v>
      </c>
      <c r="T150" s="106" t="s">
        <v>2318</v>
      </c>
      <c r="U150" s="33" t="s">
        <v>1413</v>
      </c>
      <c r="V150" s="33" t="s">
        <v>1413</v>
      </c>
      <c r="W150" s="34">
        <v>0</v>
      </c>
      <c r="X150" s="34">
        <v>0</v>
      </c>
      <c r="Y150" s="34">
        <v>0</v>
      </c>
      <c r="Z150" s="34">
        <v>0</v>
      </c>
      <c r="AA150" s="34">
        <f t="shared" si="2"/>
        <v>1</v>
      </c>
      <c r="AB150" s="34">
        <v>0</v>
      </c>
      <c r="AC150" s="43"/>
    </row>
    <row r="151" spans="2:29" ht="39.75" customHeight="1">
      <c r="B151" s="148">
        <v>148</v>
      </c>
      <c r="C151" s="26">
        <f>VLOOKUP(D151,'[3]Codes &amp; Descr. SFICS25'!B:C,2,FALSE)</f>
        <v>28</v>
      </c>
      <c r="D151" s="26" t="s">
        <v>2309</v>
      </c>
      <c r="E151" s="26">
        <f>+VLOOKUP(F151,'[3]Codes &amp; Descr. SFICS25'!D:E,2,FALSE)</f>
        <v>2807</v>
      </c>
      <c r="F151" s="26" t="s">
        <v>2435</v>
      </c>
      <c r="G151" s="26">
        <f>VLOOKUP(H151,'[3]Codes &amp; Descr. SFICS25'!F:H,2,FALSE)</f>
        <v>280705</v>
      </c>
      <c r="H151" s="26" t="s">
        <v>2461</v>
      </c>
      <c r="I151" s="26" t="s">
        <v>2462</v>
      </c>
      <c r="J151" s="26" t="s">
        <v>2463</v>
      </c>
      <c r="K151" s="26" t="s">
        <v>2464</v>
      </c>
      <c r="L151" s="28" t="s">
        <v>1100</v>
      </c>
      <c r="M151" s="29" t="s">
        <v>1402</v>
      </c>
      <c r="N151" s="99" t="s">
        <v>1410</v>
      </c>
      <c r="O151" s="99" t="s">
        <v>1410</v>
      </c>
      <c r="P151" s="31" t="s">
        <v>1410</v>
      </c>
      <c r="Q151" s="31" t="s">
        <v>2465</v>
      </c>
      <c r="R151" s="99" t="s">
        <v>1410</v>
      </c>
      <c r="S151" s="99" t="s">
        <v>1410</v>
      </c>
      <c r="T151" s="106" t="s">
        <v>2318</v>
      </c>
      <c r="U151" s="33" t="s">
        <v>1598</v>
      </c>
      <c r="V151" s="33" t="s">
        <v>1413</v>
      </c>
      <c r="W151" s="34">
        <v>0</v>
      </c>
      <c r="X151" s="34">
        <v>0</v>
      </c>
      <c r="Y151" s="34">
        <v>0</v>
      </c>
      <c r="Z151" s="34">
        <v>0</v>
      </c>
      <c r="AA151" s="34">
        <f t="shared" si="2"/>
        <v>1</v>
      </c>
      <c r="AB151" s="34">
        <v>0</v>
      </c>
      <c r="AC151" s="43"/>
    </row>
    <row r="152" spans="2:29" ht="39.75" customHeight="1">
      <c r="B152" s="148">
        <v>149</v>
      </c>
      <c r="C152" s="26">
        <f>VLOOKUP(D152,'[3]Codes &amp; Descr. SFICS25'!B:C,2,FALSE)</f>
        <v>28</v>
      </c>
      <c r="D152" s="26" t="s">
        <v>2309</v>
      </c>
      <c r="E152" s="26">
        <f>+VLOOKUP(F152,'[3]Codes &amp; Descr. SFICS25'!D:E,2,FALSE)</f>
        <v>2807</v>
      </c>
      <c r="F152" s="26" t="s">
        <v>2435</v>
      </c>
      <c r="G152" s="26">
        <f>VLOOKUP(H152,'[3]Codes &amp; Descr. SFICS25'!F:H,2,FALSE)</f>
        <v>280706</v>
      </c>
      <c r="H152" s="26" t="s">
        <v>2466</v>
      </c>
      <c r="I152" s="26" t="s">
        <v>2467</v>
      </c>
      <c r="J152" s="26" t="s">
        <v>2468</v>
      </c>
      <c r="K152" s="26" t="s">
        <v>2469</v>
      </c>
      <c r="L152" s="28" t="s">
        <v>281</v>
      </c>
      <c r="M152" s="29" t="s">
        <v>1402</v>
      </c>
      <c r="N152" s="99" t="s">
        <v>1410</v>
      </c>
      <c r="O152" s="99" t="s">
        <v>1410</v>
      </c>
      <c r="P152" s="31" t="s">
        <v>2470</v>
      </c>
      <c r="Q152" s="31" t="s">
        <v>1410</v>
      </c>
      <c r="R152" s="99" t="s">
        <v>1410</v>
      </c>
      <c r="S152" s="99" t="s">
        <v>1410</v>
      </c>
      <c r="T152" s="106" t="s">
        <v>2318</v>
      </c>
      <c r="U152" s="33">
        <v>0</v>
      </c>
      <c r="V152" s="34">
        <v>0</v>
      </c>
      <c r="W152" s="34">
        <v>0</v>
      </c>
      <c r="X152" s="34">
        <v>0</v>
      </c>
      <c r="Y152" s="34">
        <v>0</v>
      </c>
      <c r="Z152" s="34">
        <v>0</v>
      </c>
      <c r="AA152" s="34">
        <f t="shared" si="2"/>
        <v>1</v>
      </c>
      <c r="AB152" s="34">
        <v>0</v>
      </c>
      <c r="AC152" s="43"/>
    </row>
    <row r="153" spans="2:29" ht="39.75" customHeight="1">
      <c r="B153" s="148">
        <v>150</v>
      </c>
      <c r="C153" s="26">
        <f>VLOOKUP(D153,'[3]Codes &amp; Descr. SFICS25'!B:C,2,FALSE)</f>
        <v>28</v>
      </c>
      <c r="D153" s="26" t="s">
        <v>2309</v>
      </c>
      <c r="E153" s="26">
        <f>+VLOOKUP(F153,'[3]Codes &amp; Descr. SFICS25'!D:E,2,FALSE)</f>
        <v>2801</v>
      </c>
      <c r="F153" s="26" t="s">
        <v>26</v>
      </c>
      <c r="G153" s="26">
        <f>VLOOKUP(H153,'[3]Codes &amp; Descr. SFICS25'!F:H,2,FALSE)</f>
        <v>280107</v>
      </c>
      <c r="H153" s="26" t="s">
        <v>2471</v>
      </c>
      <c r="I153" s="26" t="s">
        <v>2472</v>
      </c>
      <c r="J153" s="26" t="s">
        <v>2473</v>
      </c>
      <c r="K153" s="26" t="s">
        <v>2474</v>
      </c>
      <c r="L153" s="28"/>
      <c r="M153" s="108" t="s">
        <v>1402</v>
      </c>
      <c r="N153" s="102" t="s">
        <v>2475</v>
      </c>
      <c r="O153" s="102" t="s">
        <v>2476</v>
      </c>
      <c r="P153" s="31" t="s">
        <v>1410</v>
      </c>
      <c r="Q153" s="31" t="s">
        <v>2477</v>
      </c>
      <c r="R153" s="99" t="s">
        <v>1410</v>
      </c>
      <c r="S153" s="99" t="s">
        <v>1410</v>
      </c>
      <c r="T153" s="106" t="s">
        <v>2318</v>
      </c>
      <c r="U153" s="33">
        <v>0</v>
      </c>
      <c r="V153" s="33">
        <v>0</v>
      </c>
      <c r="W153" s="33">
        <v>0</v>
      </c>
      <c r="X153" s="105" t="s">
        <v>1413</v>
      </c>
      <c r="Y153" s="33">
        <v>0</v>
      </c>
      <c r="Z153" s="33">
        <v>0</v>
      </c>
      <c r="AA153" s="34">
        <v>0</v>
      </c>
      <c r="AB153" s="34">
        <v>0</v>
      </c>
      <c r="AC153" s="43"/>
    </row>
    <row r="154" spans="2:29" ht="39.75" customHeight="1">
      <c r="B154" s="148">
        <v>151</v>
      </c>
      <c r="C154" s="26">
        <f>VLOOKUP(D154,'[3]Codes &amp; Descr. SFICS25'!B:C,2,FALSE)</f>
        <v>28</v>
      </c>
      <c r="D154" s="26" t="s">
        <v>2309</v>
      </c>
      <c r="E154" s="26">
        <f>+VLOOKUP(F154,'[3]Codes &amp; Descr. SFICS25'!D:E,2,FALSE)</f>
        <v>2806</v>
      </c>
      <c r="F154" s="26" t="s">
        <v>2478</v>
      </c>
      <c r="G154" s="26">
        <f>VLOOKUP(H154,'[3]Codes &amp; Descr. SFICS25'!F:H,2,FALSE)</f>
        <v>280601</v>
      </c>
      <c r="H154" s="26" t="s">
        <v>2479</v>
      </c>
      <c r="I154" s="26" t="s">
        <v>2480</v>
      </c>
      <c r="J154" s="26" t="s">
        <v>2481</v>
      </c>
      <c r="K154" s="26" t="s">
        <v>2482</v>
      </c>
      <c r="L154" s="28" t="s">
        <v>1118</v>
      </c>
      <c r="M154" s="29" t="s">
        <v>1402</v>
      </c>
      <c r="N154" s="99" t="s">
        <v>2483</v>
      </c>
      <c r="O154" s="99" t="s">
        <v>2484</v>
      </c>
      <c r="P154" s="31" t="s">
        <v>2485</v>
      </c>
      <c r="Q154" s="31" t="s">
        <v>2486</v>
      </c>
      <c r="R154" s="99" t="s">
        <v>1410</v>
      </c>
      <c r="S154" s="99" t="s">
        <v>1410</v>
      </c>
      <c r="T154" s="106" t="s">
        <v>2318</v>
      </c>
      <c r="U154" s="33" t="s">
        <v>1598</v>
      </c>
      <c r="V154" s="33" t="s">
        <v>1413</v>
      </c>
      <c r="W154" s="34">
        <v>0</v>
      </c>
      <c r="X154" s="34">
        <v>0</v>
      </c>
      <c r="Y154" s="34">
        <v>0</v>
      </c>
      <c r="Z154" s="34">
        <v>0</v>
      </c>
      <c r="AA154" s="34">
        <f t="shared" ref="AA154:AA177" si="3">IF(P154="Not applicable",0,1)</f>
        <v>1</v>
      </c>
      <c r="AB154" s="34">
        <v>0</v>
      </c>
      <c r="AC154" s="43"/>
    </row>
    <row r="155" spans="2:29" ht="39.75" customHeight="1">
      <c r="B155" s="148">
        <v>152</v>
      </c>
      <c r="C155" s="26">
        <f>VLOOKUP(D155,'[3]Codes &amp; Descr. SFICS25'!B:C,2,FALSE)</f>
        <v>28</v>
      </c>
      <c r="D155" s="26" t="s">
        <v>2309</v>
      </c>
      <c r="E155" s="26">
        <f>+VLOOKUP(F155,'[3]Codes &amp; Descr. SFICS25'!D:E,2,FALSE)</f>
        <v>2806</v>
      </c>
      <c r="F155" s="26" t="s">
        <v>2478</v>
      </c>
      <c r="G155" s="26">
        <f>VLOOKUP(H155,'[3]Codes &amp; Descr. SFICS25'!F:H,2,FALSE)</f>
        <v>280602</v>
      </c>
      <c r="H155" s="26" t="s">
        <v>2487</v>
      </c>
      <c r="I155" s="26" t="s">
        <v>2488</v>
      </c>
      <c r="J155" s="26" t="s">
        <v>2489</v>
      </c>
      <c r="K155" s="26" t="s">
        <v>2490</v>
      </c>
      <c r="L155" s="28" t="s">
        <v>1126</v>
      </c>
      <c r="M155" s="29" t="s">
        <v>1402</v>
      </c>
      <c r="N155" s="99" t="s">
        <v>2491</v>
      </c>
      <c r="O155" s="99" t="s">
        <v>2492</v>
      </c>
      <c r="P155" s="31" t="s">
        <v>2485</v>
      </c>
      <c r="Q155" s="31" t="s">
        <v>2493</v>
      </c>
      <c r="R155" s="99" t="s">
        <v>1410</v>
      </c>
      <c r="S155" s="99" t="s">
        <v>1410</v>
      </c>
      <c r="T155" s="106" t="s">
        <v>2318</v>
      </c>
      <c r="U155" s="33" t="s">
        <v>1598</v>
      </c>
      <c r="V155" s="33" t="s">
        <v>1413</v>
      </c>
      <c r="W155" s="34">
        <v>0</v>
      </c>
      <c r="X155" s="34">
        <v>0</v>
      </c>
      <c r="Y155" s="34">
        <v>0</v>
      </c>
      <c r="Z155" s="34">
        <v>0</v>
      </c>
      <c r="AA155" s="34">
        <f t="shared" si="3"/>
        <v>1</v>
      </c>
      <c r="AB155" s="34">
        <v>0</v>
      </c>
      <c r="AC155" s="43"/>
    </row>
    <row r="156" spans="2:29" ht="39.75" customHeight="1">
      <c r="B156" s="148">
        <v>153</v>
      </c>
      <c r="C156" s="26">
        <f>VLOOKUP(D156,'[3]Codes &amp; Descr. SFICS25'!B:C,2,FALSE)</f>
        <v>28</v>
      </c>
      <c r="D156" s="26" t="s">
        <v>2309</v>
      </c>
      <c r="E156" s="26">
        <f>+VLOOKUP(F156,'[3]Codes &amp; Descr. SFICS25'!D:E,2,FALSE)</f>
        <v>2806</v>
      </c>
      <c r="F156" s="26" t="s">
        <v>2478</v>
      </c>
      <c r="G156" s="26">
        <f>VLOOKUP(H156,'[3]Codes &amp; Descr. SFICS25'!F:H,2,FALSE)</f>
        <v>280603</v>
      </c>
      <c r="H156" s="26" t="s">
        <v>2494</v>
      </c>
      <c r="I156" s="26" t="s">
        <v>2495</v>
      </c>
      <c r="J156" s="26" t="s">
        <v>2496</v>
      </c>
      <c r="K156" s="26" t="s">
        <v>2497</v>
      </c>
      <c r="L156" s="28" t="s">
        <v>1135</v>
      </c>
      <c r="M156" s="29" t="s">
        <v>1402</v>
      </c>
      <c r="N156" s="99" t="s">
        <v>1410</v>
      </c>
      <c r="O156" s="99" t="s">
        <v>1410</v>
      </c>
      <c r="P156" s="31" t="s">
        <v>2485</v>
      </c>
      <c r="Q156" s="31" t="s">
        <v>2498</v>
      </c>
      <c r="R156" s="99" t="s">
        <v>1410</v>
      </c>
      <c r="S156" s="99" t="s">
        <v>1410</v>
      </c>
      <c r="T156" s="106" t="s">
        <v>2318</v>
      </c>
      <c r="U156" s="33" t="s">
        <v>1598</v>
      </c>
      <c r="V156" s="33" t="s">
        <v>1413</v>
      </c>
      <c r="W156" s="34">
        <v>0</v>
      </c>
      <c r="X156" s="34">
        <v>0</v>
      </c>
      <c r="Y156" s="34">
        <v>0</v>
      </c>
      <c r="Z156" s="34">
        <v>0</v>
      </c>
      <c r="AA156" s="34">
        <f t="shared" si="3"/>
        <v>1</v>
      </c>
      <c r="AB156" s="34">
        <v>0</v>
      </c>
      <c r="AC156" s="43"/>
    </row>
    <row r="157" spans="2:29" ht="39.75" customHeight="1">
      <c r="B157" s="148">
        <v>154</v>
      </c>
      <c r="C157" s="26">
        <f>VLOOKUP(D157,'[3]Codes &amp; Descr. SFICS25'!B:C,2,FALSE)</f>
        <v>28</v>
      </c>
      <c r="D157" s="26" t="s">
        <v>2309</v>
      </c>
      <c r="E157" s="26">
        <f>+VLOOKUP(F157,'[3]Codes &amp; Descr. SFICS25'!D:E,2,FALSE)</f>
        <v>2806</v>
      </c>
      <c r="F157" s="26" t="s">
        <v>2478</v>
      </c>
      <c r="G157" s="26">
        <f>VLOOKUP(H157,'[3]Codes &amp; Descr. SFICS25'!F:H,2,FALSE)</f>
        <v>280604</v>
      </c>
      <c r="H157" s="26" t="s">
        <v>2499</v>
      </c>
      <c r="I157" s="26" t="s">
        <v>2500</v>
      </c>
      <c r="J157" s="26" t="s">
        <v>2500</v>
      </c>
      <c r="K157" s="26" t="s">
        <v>2501</v>
      </c>
      <c r="L157" s="28" t="s">
        <v>1140</v>
      </c>
      <c r="M157" s="29" t="s">
        <v>1402</v>
      </c>
      <c r="N157" s="99" t="s">
        <v>1410</v>
      </c>
      <c r="O157" s="99" t="s">
        <v>1410</v>
      </c>
      <c r="P157" s="31" t="s">
        <v>2502</v>
      </c>
      <c r="Q157" s="31" t="s">
        <v>2503</v>
      </c>
      <c r="R157" s="99" t="s">
        <v>1410</v>
      </c>
      <c r="S157" s="99" t="s">
        <v>1410</v>
      </c>
      <c r="T157" s="106" t="s">
        <v>2318</v>
      </c>
      <c r="U157" s="33" t="s">
        <v>1598</v>
      </c>
      <c r="V157" s="33" t="s">
        <v>1413</v>
      </c>
      <c r="W157" s="34">
        <v>0</v>
      </c>
      <c r="X157" s="34">
        <v>0</v>
      </c>
      <c r="Y157" s="34">
        <v>0</v>
      </c>
      <c r="Z157" s="34">
        <v>0</v>
      </c>
      <c r="AA157" s="34">
        <f t="shared" si="3"/>
        <v>1</v>
      </c>
      <c r="AB157" s="34">
        <v>0</v>
      </c>
      <c r="AC157" s="43"/>
    </row>
    <row r="158" spans="2:29" ht="39.75" customHeight="1">
      <c r="B158" s="148">
        <v>155</v>
      </c>
      <c r="C158" s="26">
        <f>VLOOKUP(D158,'[3]Codes &amp; Descr. SFICS25'!B:C,2,FALSE)</f>
        <v>28</v>
      </c>
      <c r="D158" s="26" t="s">
        <v>2309</v>
      </c>
      <c r="E158" s="26">
        <f>+VLOOKUP(F158,'[3]Codes &amp; Descr. SFICS25'!D:E,2,FALSE)</f>
        <v>2808</v>
      </c>
      <c r="F158" s="26" t="s">
        <v>2504</v>
      </c>
      <c r="G158" s="26">
        <f>VLOOKUP(H158,'[3]Codes &amp; Descr. SFICS25'!F:H,2,FALSE)</f>
        <v>280801</v>
      </c>
      <c r="H158" s="26" t="s">
        <v>2505</v>
      </c>
      <c r="I158" s="26" t="s">
        <v>2506</v>
      </c>
      <c r="J158" s="26" t="s">
        <v>2506</v>
      </c>
      <c r="K158" s="26" t="s">
        <v>2507</v>
      </c>
      <c r="L158" s="28" t="s">
        <v>1147</v>
      </c>
      <c r="M158" s="29" t="s">
        <v>1402</v>
      </c>
      <c r="N158" s="99" t="s">
        <v>2508</v>
      </c>
      <c r="O158" s="99" t="s">
        <v>2509</v>
      </c>
      <c r="P158" s="31" t="s">
        <v>2510</v>
      </c>
      <c r="Q158" s="31" t="s">
        <v>2511</v>
      </c>
      <c r="R158" s="99" t="s">
        <v>1410</v>
      </c>
      <c r="S158" s="99" t="s">
        <v>1410</v>
      </c>
      <c r="T158" s="106" t="s">
        <v>2318</v>
      </c>
      <c r="U158" s="33" t="s">
        <v>1598</v>
      </c>
      <c r="V158" s="33" t="s">
        <v>1413</v>
      </c>
      <c r="W158" s="34">
        <v>0</v>
      </c>
      <c r="X158" s="34">
        <v>0</v>
      </c>
      <c r="Y158" s="34">
        <v>0</v>
      </c>
      <c r="Z158" s="34">
        <v>0</v>
      </c>
      <c r="AA158" s="34">
        <f t="shared" si="3"/>
        <v>1</v>
      </c>
      <c r="AB158" s="34">
        <v>0</v>
      </c>
      <c r="AC158" s="43"/>
    </row>
    <row r="159" spans="2:29" ht="39.75" customHeight="1">
      <c r="B159" s="148">
        <v>156</v>
      </c>
      <c r="C159" s="26">
        <f>VLOOKUP(D159,'[3]Codes &amp; Descr. SFICS25'!B:C,2,FALSE)</f>
        <v>28</v>
      </c>
      <c r="D159" s="26" t="s">
        <v>2309</v>
      </c>
      <c r="E159" s="26">
        <f>+VLOOKUP(F159,'[3]Codes &amp; Descr. SFICS25'!D:E,2,FALSE)</f>
        <v>2808</v>
      </c>
      <c r="F159" s="26" t="s">
        <v>2504</v>
      </c>
      <c r="G159" s="26">
        <f>VLOOKUP(H159,'[3]Codes &amp; Descr. SFICS25'!F:H,2,FALSE)</f>
        <v>280802</v>
      </c>
      <c r="H159" s="26" t="s">
        <v>2512</v>
      </c>
      <c r="I159" s="26" t="s">
        <v>2513</v>
      </c>
      <c r="J159" s="26" t="s">
        <v>2514</v>
      </c>
      <c r="K159" s="26" t="s">
        <v>2515</v>
      </c>
      <c r="L159" s="28" t="s">
        <v>1155</v>
      </c>
      <c r="M159" s="29" t="s">
        <v>1402</v>
      </c>
      <c r="N159" s="99" t="s">
        <v>1410</v>
      </c>
      <c r="O159" s="99" t="s">
        <v>1410</v>
      </c>
      <c r="P159" s="31" t="s">
        <v>2006</v>
      </c>
      <c r="Q159" s="31" t="s">
        <v>2516</v>
      </c>
      <c r="R159" s="99" t="s">
        <v>1410</v>
      </c>
      <c r="S159" s="99" t="s">
        <v>1410</v>
      </c>
      <c r="T159" s="106" t="s">
        <v>2318</v>
      </c>
      <c r="U159" s="34">
        <v>0</v>
      </c>
      <c r="V159" s="34">
        <v>0</v>
      </c>
      <c r="W159" s="34">
        <v>0</v>
      </c>
      <c r="X159" s="33" t="s">
        <v>1598</v>
      </c>
      <c r="Y159" s="34">
        <v>0</v>
      </c>
      <c r="Z159" s="34">
        <v>0</v>
      </c>
      <c r="AA159" s="34">
        <f t="shared" si="3"/>
        <v>1</v>
      </c>
      <c r="AB159" s="34">
        <v>0</v>
      </c>
      <c r="AC159" s="41"/>
    </row>
    <row r="160" spans="2:29" ht="39.75" customHeight="1">
      <c r="B160" s="148">
        <v>157</v>
      </c>
      <c r="C160" s="26">
        <f>VLOOKUP(D160,'[3]Codes &amp; Descr. SFICS25'!B:C,2,FALSE)</f>
        <v>28</v>
      </c>
      <c r="D160" s="26" t="s">
        <v>2309</v>
      </c>
      <c r="E160" s="26">
        <f>+VLOOKUP(F160,'[3]Codes &amp; Descr. SFICS25'!D:E,2,FALSE)</f>
        <v>2809</v>
      </c>
      <c r="F160" s="26" t="s">
        <v>2517</v>
      </c>
      <c r="G160" s="26">
        <f>VLOOKUP(H160,'[3]Codes &amp; Descr. SFICS25'!F:H,2,FALSE)</f>
        <v>280901</v>
      </c>
      <c r="H160" s="26" t="s">
        <v>2518</v>
      </c>
      <c r="I160" s="26" t="s">
        <v>2519</v>
      </c>
      <c r="J160" s="26" t="s">
        <v>2520</v>
      </c>
      <c r="K160" s="26" t="s">
        <v>2521</v>
      </c>
      <c r="L160" s="28" t="s">
        <v>1161</v>
      </c>
      <c r="M160" s="29" t="s">
        <v>1402</v>
      </c>
      <c r="N160" s="99" t="s">
        <v>1410</v>
      </c>
      <c r="O160" s="99" t="s">
        <v>1410</v>
      </c>
      <c r="P160" s="31" t="s">
        <v>1983</v>
      </c>
      <c r="Q160" s="31" t="s">
        <v>2522</v>
      </c>
      <c r="R160" s="99" t="s">
        <v>1410</v>
      </c>
      <c r="S160" s="99" t="s">
        <v>1410</v>
      </c>
      <c r="T160" s="106" t="s">
        <v>2318</v>
      </c>
      <c r="U160" s="34">
        <v>0</v>
      </c>
      <c r="V160" s="34">
        <v>0</v>
      </c>
      <c r="W160" s="34">
        <v>0</v>
      </c>
      <c r="X160" s="34">
        <v>0</v>
      </c>
      <c r="Y160" s="33" t="s">
        <v>1413</v>
      </c>
      <c r="Z160" s="34">
        <v>0</v>
      </c>
      <c r="AA160" s="34">
        <f t="shared" si="3"/>
        <v>1</v>
      </c>
      <c r="AB160" s="34">
        <v>0</v>
      </c>
      <c r="AC160" s="43"/>
    </row>
    <row r="161" spans="1:29" ht="39.75" customHeight="1">
      <c r="B161" s="148">
        <v>158</v>
      </c>
      <c r="C161" s="26">
        <f>VLOOKUP(D161,'[3]Codes &amp; Descr. SFICS25'!B:C,2,FALSE)</f>
        <v>28</v>
      </c>
      <c r="D161" s="26" t="s">
        <v>2309</v>
      </c>
      <c r="E161" s="26">
        <f>+VLOOKUP(F161,'[3]Codes &amp; Descr. SFICS25'!D:E,2,FALSE)</f>
        <v>2809</v>
      </c>
      <c r="F161" s="26" t="s">
        <v>2517</v>
      </c>
      <c r="G161" s="26">
        <f>VLOOKUP(H161,'[3]Codes &amp; Descr. SFICS25'!F:H,2,FALSE)</f>
        <v>280902</v>
      </c>
      <c r="H161" s="26" t="s">
        <v>2523</v>
      </c>
      <c r="I161" s="26" t="s">
        <v>2524</v>
      </c>
      <c r="J161" s="26" t="s">
        <v>2524</v>
      </c>
      <c r="K161" s="26" t="s">
        <v>2525</v>
      </c>
      <c r="L161" s="28" t="s">
        <v>1168</v>
      </c>
      <c r="M161" s="29" t="s">
        <v>1402</v>
      </c>
      <c r="N161" s="99" t="s">
        <v>1410</v>
      </c>
      <c r="O161" s="99" t="s">
        <v>1410</v>
      </c>
      <c r="P161" s="31" t="s">
        <v>1983</v>
      </c>
      <c r="Q161" s="31" t="s">
        <v>2526</v>
      </c>
      <c r="R161" s="99" t="s">
        <v>1410</v>
      </c>
      <c r="S161" s="99" t="s">
        <v>1410</v>
      </c>
      <c r="T161" s="106" t="s">
        <v>2318</v>
      </c>
      <c r="U161" s="34">
        <v>0</v>
      </c>
      <c r="V161" s="34">
        <v>0</v>
      </c>
      <c r="W161" s="34">
        <v>0</v>
      </c>
      <c r="X161" s="34">
        <v>0</v>
      </c>
      <c r="Y161" s="33" t="s">
        <v>1413</v>
      </c>
      <c r="Z161" s="34">
        <v>0</v>
      </c>
      <c r="AA161" s="34">
        <f t="shared" si="3"/>
        <v>1</v>
      </c>
      <c r="AB161" s="34">
        <v>0</v>
      </c>
      <c r="AC161" s="43"/>
    </row>
    <row r="162" spans="1:29" ht="360" customHeight="1">
      <c r="B162" s="148">
        <v>159</v>
      </c>
      <c r="C162" s="26">
        <f>VLOOKUP(D162,'[3]Codes &amp; Descr. SFICS25'!B:C,2,FALSE)</f>
        <v>28</v>
      </c>
      <c r="D162" s="26" t="s">
        <v>2309</v>
      </c>
      <c r="E162" s="26">
        <f>+VLOOKUP(F162,'[3]Codes &amp; Descr. SFICS25'!D:E,2,FALSE)</f>
        <v>2804</v>
      </c>
      <c r="F162" s="26" t="s">
        <v>2527</v>
      </c>
      <c r="G162" s="26" t="str">
        <f>VLOOKUP(H162,'[3]Codes &amp; Descr. SFICS25'!F:H,2,FALSE)</f>
        <v>-</v>
      </c>
      <c r="H162" s="26" t="s">
        <v>507</v>
      </c>
      <c r="I162" s="26" t="s">
        <v>507</v>
      </c>
      <c r="J162" s="26" t="s">
        <v>2527</v>
      </c>
      <c r="K162" s="26" t="s">
        <v>2528</v>
      </c>
      <c r="L162" s="28" t="s">
        <v>1174</v>
      </c>
      <c r="M162" s="29" t="s">
        <v>1402</v>
      </c>
      <c r="N162" s="99" t="s">
        <v>2529</v>
      </c>
      <c r="O162" s="99" t="s">
        <v>2530</v>
      </c>
      <c r="P162" s="31" t="s">
        <v>1410</v>
      </c>
      <c r="Q162" s="31" t="s">
        <v>2531</v>
      </c>
      <c r="R162" s="99" t="s">
        <v>1410</v>
      </c>
      <c r="S162" s="99" t="s">
        <v>1410</v>
      </c>
      <c r="T162" s="106" t="s">
        <v>2318</v>
      </c>
      <c r="U162" s="33" t="s">
        <v>1546</v>
      </c>
      <c r="V162" s="33" t="s">
        <v>1413</v>
      </c>
      <c r="W162" s="34">
        <v>0</v>
      </c>
      <c r="X162" s="34">
        <v>0</v>
      </c>
      <c r="Y162" s="34">
        <v>0</v>
      </c>
      <c r="Z162" s="34">
        <v>0</v>
      </c>
      <c r="AA162" s="34">
        <f t="shared" si="3"/>
        <v>1</v>
      </c>
      <c r="AB162" s="34">
        <v>0</v>
      </c>
      <c r="AC162" s="43"/>
    </row>
    <row r="163" spans="1:29" ht="62.5" customHeight="1">
      <c r="A163" s="103"/>
      <c r="B163" s="148">
        <v>160</v>
      </c>
      <c r="C163" s="26">
        <f>VLOOKUP(D163,'[3]Codes &amp; Descr. SFICS25'!B:C,2,FALSE)</f>
        <v>29</v>
      </c>
      <c r="D163" s="26" t="s">
        <v>2532</v>
      </c>
      <c r="E163" s="26">
        <f>+VLOOKUP(F163,'[3]Codes &amp; Descr. SFICS25'!D:E,2,FALSE)</f>
        <v>2901</v>
      </c>
      <c r="F163" s="26" t="s">
        <v>2533</v>
      </c>
      <c r="G163" s="26" t="str">
        <f>VLOOKUP(H163,'[3]Codes &amp; Descr. SFICS25'!F:H,2,FALSE)</f>
        <v>-</v>
      </c>
      <c r="H163" s="26" t="s">
        <v>507</v>
      </c>
      <c r="I163" s="26" t="s">
        <v>507</v>
      </c>
      <c r="J163" s="26" t="s">
        <v>2533</v>
      </c>
      <c r="K163" s="26" t="s">
        <v>2534</v>
      </c>
      <c r="L163" s="28" t="s">
        <v>1181</v>
      </c>
      <c r="M163" s="29" t="s">
        <v>1402</v>
      </c>
      <c r="N163" s="99" t="s">
        <v>2535</v>
      </c>
      <c r="O163" s="99" t="s">
        <v>2536</v>
      </c>
      <c r="P163" s="193" t="s">
        <v>2537</v>
      </c>
      <c r="Q163" s="31" t="s">
        <v>2538</v>
      </c>
      <c r="R163" s="99" t="s">
        <v>1410</v>
      </c>
      <c r="S163" s="99" t="s">
        <v>1410</v>
      </c>
      <c r="T163" s="109" t="s">
        <v>507</v>
      </c>
      <c r="U163" s="69">
        <f>IFERROR(VLOOKUP($L163,[4]Adaptation!A:C,2,FALSE),0)</f>
        <v>0</v>
      </c>
      <c r="V163" s="34">
        <f>IFERROR(VLOOKUP($L163,[4]Adaptation!B:D,2,FALSE),0)</f>
        <v>0</v>
      </c>
      <c r="W163" s="34">
        <f>+IFERROR(VLOOKUP($L163,[4]Water!B:D,2,0),0)</f>
        <v>0</v>
      </c>
      <c r="X163" s="34">
        <f>IFERROR(VLOOKUP($L163,'[4]Circ. Economy'!B:D,2,FALSE),0)</f>
        <v>0</v>
      </c>
      <c r="Y163" s="34">
        <f>IFERROR(VLOOKUP($L163,[4]Pollution!B:D,2,FALSE),0)</f>
        <v>0</v>
      </c>
      <c r="Z163" s="33" t="s">
        <v>1413</v>
      </c>
      <c r="AA163" s="34">
        <f t="shared" si="3"/>
        <v>1</v>
      </c>
      <c r="AB163" s="34">
        <v>0</v>
      </c>
      <c r="AC163" s="41"/>
    </row>
    <row r="164" spans="1:29" ht="39.75" customHeight="1">
      <c r="B164" s="148">
        <v>161</v>
      </c>
      <c r="C164" s="26">
        <f>VLOOKUP(D164,'[3]Codes &amp; Descr. SFICS25'!B:C,2,FALSE)</f>
        <v>30</v>
      </c>
      <c r="D164" s="26" t="s">
        <v>2539</v>
      </c>
      <c r="E164" s="26">
        <f>+VLOOKUP(F164,'[3]Codes &amp; Descr. SFICS25'!D:E,2,FALSE)</f>
        <v>3002</v>
      </c>
      <c r="F164" s="26" t="s">
        <v>2540</v>
      </c>
      <c r="G164" s="26">
        <f>VLOOKUP(H164,'[3]Codes &amp; Descr. SFICS25'!F:H,2,FALSE)</f>
        <v>300201</v>
      </c>
      <c r="H164" s="26" t="s">
        <v>2541</v>
      </c>
      <c r="I164" s="26" t="s">
        <v>2542</v>
      </c>
      <c r="J164" s="26" t="s">
        <v>2543</v>
      </c>
      <c r="K164" s="26" t="s">
        <v>2544</v>
      </c>
      <c r="L164" s="28" t="s">
        <v>1191</v>
      </c>
      <c r="M164" s="29" t="s">
        <v>1402</v>
      </c>
      <c r="N164" s="99" t="s">
        <v>2545</v>
      </c>
      <c r="O164" s="99" t="s">
        <v>2546</v>
      </c>
      <c r="P164" s="31" t="s">
        <v>2547</v>
      </c>
      <c r="Q164" s="31" t="s">
        <v>2548</v>
      </c>
      <c r="R164" s="99" t="s">
        <v>1410</v>
      </c>
      <c r="S164" s="99" t="s">
        <v>1410</v>
      </c>
      <c r="T164" s="100" t="s">
        <v>2549</v>
      </c>
      <c r="U164" s="33" t="s">
        <v>1546</v>
      </c>
      <c r="V164" s="34">
        <v>0</v>
      </c>
      <c r="W164" s="34">
        <v>0</v>
      </c>
      <c r="X164" s="34">
        <v>0</v>
      </c>
      <c r="Y164" s="34">
        <v>0</v>
      </c>
      <c r="Z164" s="34">
        <v>0</v>
      </c>
      <c r="AA164" s="34">
        <f t="shared" si="3"/>
        <v>1</v>
      </c>
      <c r="AB164" s="34">
        <v>0</v>
      </c>
      <c r="AC164" s="43"/>
    </row>
    <row r="165" spans="1:29" ht="250">
      <c r="B165" s="148">
        <v>162</v>
      </c>
      <c r="C165" s="26">
        <f>VLOOKUP(D165,'[3]Codes &amp; Descr. SFICS25'!B:C,2,FALSE)</f>
        <v>30</v>
      </c>
      <c r="D165" s="26" t="s">
        <v>2539</v>
      </c>
      <c r="E165" s="26">
        <f>+VLOOKUP(F165,'[3]Codes &amp; Descr. SFICS25'!D:E,2,FALSE)</f>
        <v>3002</v>
      </c>
      <c r="F165" s="26" t="s">
        <v>2540</v>
      </c>
      <c r="G165" s="26">
        <f>VLOOKUP(H165,'[3]Codes &amp; Descr. SFICS25'!F:H,2,FALSE)</f>
        <v>300202</v>
      </c>
      <c r="H165" s="26" t="s">
        <v>2550</v>
      </c>
      <c r="I165" s="26" t="s">
        <v>2551</v>
      </c>
      <c r="J165" s="26" t="s">
        <v>2552</v>
      </c>
      <c r="K165" s="26" t="s">
        <v>2553</v>
      </c>
      <c r="L165" s="28" t="s">
        <v>1200</v>
      </c>
      <c r="M165" s="29" t="s">
        <v>1402</v>
      </c>
      <c r="N165" s="99" t="s">
        <v>2554</v>
      </c>
      <c r="O165" s="99" t="s">
        <v>2555</v>
      </c>
      <c r="P165" s="31" t="s">
        <v>2556</v>
      </c>
      <c r="Q165" s="31" t="s">
        <v>2557</v>
      </c>
      <c r="R165" s="99" t="s">
        <v>1410</v>
      </c>
      <c r="S165" s="99" t="s">
        <v>1410</v>
      </c>
      <c r="T165" s="100" t="s">
        <v>2549</v>
      </c>
      <c r="U165" s="34">
        <v>0</v>
      </c>
      <c r="V165" s="33" t="s">
        <v>1546</v>
      </c>
      <c r="W165" s="34">
        <v>0</v>
      </c>
      <c r="X165" s="34">
        <v>0</v>
      </c>
      <c r="Y165" s="34">
        <v>0</v>
      </c>
      <c r="Z165" s="34">
        <v>0</v>
      </c>
      <c r="AA165" s="34">
        <f t="shared" si="3"/>
        <v>1</v>
      </c>
      <c r="AB165" s="34">
        <v>0</v>
      </c>
      <c r="AC165" s="43"/>
    </row>
    <row r="166" spans="1:29" ht="39.75" customHeight="1">
      <c r="B166" s="148">
        <v>163</v>
      </c>
      <c r="C166" s="26">
        <f>VLOOKUP(D166,'[3]Codes &amp; Descr. SFICS25'!B:C,2,FALSE)</f>
        <v>30</v>
      </c>
      <c r="D166" s="26" t="s">
        <v>2539</v>
      </c>
      <c r="E166" s="26">
        <f>+VLOOKUP(F166,'[3]Codes &amp; Descr. SFICS25'!D:E,2,FALSE)</f>
        <v>3002</v>
      </c>
      <c r="F166" s="26" t="s">
        <v>2540</v>
      </c>
      <c r="G166" s="26">
        <f>VLOOKUP(H166,'[3]Codes &amp; Descr. SFICS25'!F:H,2,FALSE)</f>
        <v>300203</v>
      </c>
      <c r="H166" s="26" t="s">
        <v>2558</v>
      </c>
      <c r="I166" s="26" t="s">
        <v>2559</v>
      </c>
      <c r="J166" s="26" t="s">
        <v>2559</v>
      </c>
      <c r="K166" s="26" t="s">
        <v>2558</v>
      </c>
      <c r="L166" s="28" t="s">
        <v>1208</v>
      </c>
      <c r="M166" s="29" t="s">
        <v>1402</v>
      </c>
      <c r="N166" s="99" t="s">
        <v>2560</v>
      </c>
      <c r="O166" s="99" t="s">
        <v>2561</v>
      </c>
      <c r="P166" s="31" t="s">
        <v>1983</v>
      </c>
      <c r="Q166" s="31" t="s">
        <v>2562</v>
      </c>
      <c r="R166" s="99" t="s">
        <v>1410</v>
      </c>
      <c r="S166" s="99" t="s">
        <v>1410</v>
      </c>
      <c r="T166" s="100" t="s">
        <v>2549</v>
      </c>
      <c r="U166" s="34">
        <v>0</v>
      </c>
      <c r="V166" s="34">
        <v>0</v>
      </c>
      <c r="W166" s="33" t="s">
        <v>1546</v>
      </c>
      <c r="X166" s="34">
        <v>0</v>
      </c>
      <c r="Y166" s="34">
        <v>0</v>
      </c>
      <c r="Z166" s="34">
        <v>0</v>
      </c>
      <c r="AA166" s="34">
        <f t="shared" si="3"/>
        <v>1</v>
      </c>
      <c r="AB166" s="34">
        <v>0</v>
      </c>
      <c r="AC166" s="43"/>
    </row>
    <row r="167" spans="1:29" ht="39.75" customHeight="1">
      <c r="B167" s="148">
        <v>164</v>
      </c>
      <c r="C167" s="26">
        <f>VLOOKUP(D167,'[3]Codes &amp; Descr. SFICS25'!B:C,2,FALSE)</f>
        <v>30</v>
      </c>
      <c r="D167" s="26" t="s">
        <v>2539</v>
      </c>
      <c r="E167" s="26">
        <f>+VLOOKUP(F167,'[3]Codes &amp; Descr. SFICS25'!D:E,2,FALSE)</f>
        <v>3002</v>
      </c>
      <c r="F167" s="26" t="s">
        <v>2540</v>
      </c>
      <c r="G167" s="26">
        <f>VLOOKUP(H167,'[3]Codes &amp; Descr. SFICS25'!F:H,2,FALSE)</f>
        <v>300204</v>
      </c>
      <c r="H167" s="26" t="s">
        <v>2563</v>
      </c>
      <c r="I167" s="26" t="s">
        <v>2564</v>
      </c>
      <c r="J167" s="26" t="s">
        <v>2565</v>
      </c>
      <c r="K167" s="26" t="s">
        <v>2566</v>
      </c>
      <c r="L167" s="28" t="s">
        <v>1215</v>
      </c>
      <c r="M167" s="29" t="s">
        <v>1402</v>
      </c>
      <c r="N167" s="99" t="s">
        <v>2567</v>
      </c>
      <c r="O167" s="99" t="s">
        <v>2568</v>
      </c>
      <c r="P167" s="31" t="s">
        <v>2569</v>
      </c>
      <c r="Q167" s="31" t="s">
        <v>2570</v>
      </c>
      <c r="R167" s="99" t="s">
        <v>1410</v>
      </c>
      <c r="S167" s="99" t="s">
        <v>1410</v>
      </c>
      <c r="T167" s="100" t="s">
        <v>2549</v>
      </c>
      <c r="U167" s="34">
        <v>0</v>
      </c>
      <c r="V167" s="34">
        <v>0</v>
      </c>
      <c r="W167" s="34">
        <v>0</v>
      </c>
      <c r="X167" s="33" t="s">
        <v>1546</v>
      </c>
      <c r="Y167" s="34">
        <v>0</v>
      </c>
      <c r="Z167" s="34">
        <v>0</v>
      </c>
      <c r="AA167" s="34">
        <f t="shared" si="3"/>
        <v>1</v>
      </c>
      <c r="AB167" s="34">
        <v>0</v>
      </c>
      <c r="AC167" s="43"/>
    </row>
    <row r="168" spans="1:29" ht="120">
      <c r="B168" s="148">
        <v>165</v>
      </c>
      <c r="C168" s="26">
        <f>VLOOKUP(D168,'[3]Codes &amp; Descr. SFICS25'!B:C,2,FALSE)</f>
        <v>30</v>
      </c>
      <c r="D168" s="26" t="s">
        <v>2539</v>
      </c>
      <c r="E168" s="26">
        <f>+VLOOKUP(F168,'[3]Codes &amp; Descr. SFICS25'!D:E,2,FALSE)</f>
        <v>3001</v>
      </c>
      <c r="F168" s="26" t="s">
        <v>2571</v>
      </c>
      <c r="G168" s="26" t="str">
        <f>VLOOKUP(H168,'[3]Codes &amp; Descr. SFICS25'!F:H,2,FALSE)</f>
        <v>-</v>
      </c>
      <c r="H168" s="26" t="s">
        <v>507</v>
      </c>
      <c r="I168" s="26" t="s">
        <v>507</v>
      </c>
      <c r="J168" s="26" t="s">
        <v>2571</v>
      </c>
      <c r="K168" s="26" t="s">
        <v>2572</v>
      </c>
      <c r="L168" s="28" t="s">
        <v>1221</v>
      </c>
      <c r="M168" s="29" t="s">
        <v>1402</v>
      </c>
      <c r="N168" s="99" t="s">
        <v>2573</v>
      </c>
      <c r="O168" s="99" t="s">
        <v>2574</v>
      </c>
      <c r="P168" s="31" t="s">
        <v>2575</v>
      </c>
      <c r="Q168" s="31" t="s">
        <v>2576</v>
      </c>
      <c r="R168" s="99" t="s">
        <v>1410</v>
      </c>
      <c r="S168" s="99" t="s">
        <v>1410</v>
      </c>
      <c r="T168" s="100" t="s">
        <v>2549</v>
      </c>
      <c r="U168" s="33" t="s">
        <v>1598</v>
      </c>
      <c r="V168" s="33" t="s">
        <v>1413</v>
      </c>
      <c r="W168" s="34">
        <v>0</v>
      </c>
      <c r="X168" s="34">
        <v>0</v>
      </c>
      <c r="Y168" s="34">
        <v>0</v>
      </c>
      <c r="Z168" s="34">
        <v>0</v>
      </c>
      <c r="AA168" s="34">
        <f t="shared" si="3"/>
        <v>1</v>
      </c>
      <c r="AB168" s="34">
        <v>0</v>
      </c>
      <c r="AC168" s="43"/>
    </row>
    <row r="169" spans="1:29" s="53" customFormat="1" ht="39.75" customHeight="1">
      <c r="A169" s="1"/>
      <c r="B169" s="148">
        <v>166</v>
      </c>
      <c r="C169" s="26">
        <f>VLOOKUP(D169,'[3]Codes &amp; Descr. SFICS25'!B:C,2,FALSE)</f>
        <v>30</v>
      </c>
      <c r="D169" s="26" t="s">
        <v>2539</v>
      </c>
      <c r="E169" s="26">
        <f>+VLOOKUP(F169,'[3]Codes &amp; Descr. SFICS25'!D:E,2,FALSE)</f>
        <v>3003</v>
      </c>
      <c r="F169" s="26" t="s">
        <v>2577</v>
      </c>
      <c r="G169" s="26" t="str">
        <f>VLOOKUP(H169,'[3]Codes &amp; Descr. SFICS25'!F:H,2,FALSE)</f>
        <v>-</v>
      </c>
      <c r="H169" s="26" t="s">
        <v>507</v>
      </c>
      <c r="I169" s="26" t="s">
        <v>507</v>
      </c>
      <c r="J169" s="26" t="s">
        <v>2577</v>
      </c>
      <c r="K169" s="26" t="s">
        <v>2578</v>
      </c>
      <c r="L169" s="28" t="s">
        <v>1229</v>
      </c>
      <c r="M169" s="29" t="s">
        <v>1402</v>
      </c>
      <c r="N169" s="99" t="s">
        <v>2579</v>
      </c>
      <c r="O169" s="99" t="s">
        <v>2580</v>
      </c>
      <c r="P169" s="31" t="s">
        <v>2581</v>
      </c>
      <c r="Q169" s="31" t="s">
        <v>2582</v>
      </c>
      <c r="R169" s="99" t="s">
        <v>1410</v>
      </c>
      <c r="S169" s="99" t="s">
        <v>1410</v>
      </c>
      <c r="T169" s="100" t="s">
        <v>2549</v>
      </c>
      <c r="U169" s="33" t="s">
        <v>1546</v>
      </c>
      <c r="V169" s="33" t="s">
        <v>1546</v>
      </c>
      <c r="W169" s="34">
        <v>0</v>
      </c>
      <c r="X169" s="34">
        <v>0</v>
      </c>
      <c r="Y169" s="34">
        <v>0</v>
      </c>
      <c r="Z169" s="34">
        <v>0</v>
      </c>
      <c r="AA169" s="34">
        <f t="shared" si="3"/>
        <v>1</v>
      </c>
      <c r="AB169" s="34">
        <v>0</v>
      </c>
      <c r="AC169" s="43"/>
    </row>
    <row r="170" spans="1:29" ht="39.75" customHeight="1">
      <c r="B170" s="148">
        <v>167</v>
      </c>
      <c r="C170" s="26">
        <f>VLOOKUP(D170,'[3]Codes &amp; Descr. SFICS25'!B:C,2,FALSE)</f>
        <v>28</v>
      </c>
      <c r="D170" s="26" t="s">
        <v>2309</v>
      </c>
      <c r="E170" s="26">
        <f>+VLOOKUP(F170,'[3]Codes &amp; Descr. SFICS25'!D:E,2,FALSE)</f>
        <v>2810</v>
      </c>
      <c r="F170" s="26" t="s">
        <v>2583</v>
      </c>
      <c r="G170" s="26">
        <f>VLOOKUP(H170,'[3]Codes &amp; Descr. SFICS25'!F:H,2,FALSE)</f>
        <v>281001</v>
      </c>
      <c r="H170" s="26" t="s">
        <v>2584</v>
      </c>
      <c r="I170" s="26" t="s">
        <v>2585</v>
      </c>
      <c r="J170" s="26" t="s">
        <v>2585</v>
      </c>
      <c r="K170" s="26" t="s">
        <v>2584</v>
      </c>
      <c r="L170" s="28" t="s">
        <v>1238</v>
      </c>
      <c r="M170" s="29" t="s">
        <v>1402</v>
      </c>
      <c r="N170" s="99" t="s">
        <v>2586</v>
      </c>
      <c r="O170" s="99" t="s">
        <v>2587</v>
      </c>
      <c r="P170" s="31" t="s">
        <v>2588</v>
      </c>
      <c r="Q170" s="31" t="s">
        <v>2589</v>
      </c>
      <c r="R170" s="99" t="s">
        <v>1410</v>
      </c>
      <c r="S170" s="99" t="s">
        <v>1410</v>
      </c>
      <c r="T170" s="106" t="s">
        <v>2318</v>
      </c>
      <c r="U170" s="33" t="s">
        <v>1546</v>
      </c>
      <c r="V170" s="34">
        <v>0</v>
      </c>
      <c r="W170" s="34">
        <v>0</v>
      </c>
      <c r="X170" s="34">
        <v>0</v>
      </c>
      <c r="Y170" s="34">
        <v>0</v>
      </c>
      <c r="Z170" s="34">
        <v>0</v>
      </c>
      <c r="AA170" s="34">
        <f t="shared" si="3"/>
        <v>1</v>
      </c>
      <c r="AB170" s="34">
        <v>0</v>
      </c>
      <c r="AC170" s="43"/>
    </row>
    <row r="171" spans="1:29" ht="39.75" customHeight="1">
      <c r="B171" s="148">
        <v>168</v>
      </c>
      <c r="C171" s="26">
        <f>VLOOKUP(D171,'[3]Codes &amp; Descr. SFICS25'!B:C,2,FALSE)</f>
        <v>24</v>
      </c>
      <c r="D171" s="26" t="s">
        <v>2590</v>
      </c>
      <c r="E171" s="26">
        <f>+VLOOKUP(F171,'[3]Codes &amp; Descr. SFICS25'!D:E,2,FALSE)</f>
        <v>2401</v>
      </c>
      <c r="F171" s="26" t="s">
        <v>2591</v>
      </c>
      <c r="G171" s="26" t="str">
        <f>VLOOKUP(H171,'[3]Codes &amp; Descr. SFICS25'!F:H,2,FALSE)</f>
        <v>-</v>
      </c>
      <c r="H171" s="26" t="s">
        <v>507</v>
      </c>
      <c r="I171" s="26" t="s">
        <v>507</v>
      </c>
      <c r="J171" s="26" t="s">
        <v>2591</v>
      </c>
      <c r="K171" s="26" t="s">
        <v>2592</v>
      </c>
      <c r="L171" s="28" t="s">
        <v>1246</v>
      </c>
      <c r="M171" s="29" t="s">
        <v>1402</v>
      </c>
      <c r="N171" s="99" t="s">
        <v>2593</v>
      </c>
      <c r="O171" s="99" t="s">
        <v>2594</v>
      </c>
      <c r="P171" s="31" t="s">
        <v>1410</v>
      </c>
      <c r="Q171" s="31" t="s">
        <v>2595</v>
      </c>
      <c r="R171" s="99" t="s">
        <v>1410</v>
      </c>
      <c r="S171" s="99" t="s">
        <v>1410</v>
      </c>
      <c r="T171" s="109" t="s">
        <v>507</v>
      </c>
      <c r="U171" s="33" t="s">
        <v>1546</v>
      </c>
      <c r="V171" s="34">
        <v>0</v>
      </c>
      <c r="W171" s="34">
        <v>0</v>
      </c>
      <c r="X171" s="34">
        <v>0</v>
      </c>
      <c r="Y171" s="34">
        <v>0</v>
      </c>
      <c r="Z171" s="34">
        <v>0</v>
      </c>
      <c r="AA171" s="34">
        <f t="shared" si="3"/>
        <v>1</v>
      </c>
      <c r="AB171" s="34">
        <v>0</v>
      </c>
      <c r="AC171" s="43"/>
    </row>
    <row r="172" spans="1:29" ht="39.75" customHeight="1">
      <c r="B172" s="148">
        <v>169</v>
      </c>
      <c r="C172" s="26">
        <f>VLOOKUP(D172,'[3]Codes &amp; Descr. SFICS25'!B:C,2,FALSE)</f>
        <v>25</v>
      </c>
      <c r="D172" s="26" t="s">
        <v>2596</v>
      </c>
      <c r="E172" s="26">
        <f>+VLOOKUP(F172,'[3]Codes &amp; Descr. SFICS25'!D:E,2,FALSE)</f>
        <v>2501</v>
      </c>
      <c r="F172" s="26" t="s">
        <v>2597</v>
      </c>
      <c r="G172" s="26" t="str">
        <f>VLOOKUP(H172,'[3]Codes &amp; Descr. SFICS25'!F:H,2,FALSE)</f>
        <v>-</v>
      </c>
      <c r="H172" s="26" t="s">
        <v>507</v>
      </c>
      <c r="I172" s="26" t="s">
        <v>507</v>
      </c>
      <c r="J172" s="26" t="s">
        <v>2597</v>
      </c>
      <c r="K172" s="26" t="s">
        <v>2598</v>
      </c>
      <c r="L172" s="28" t="s">
        <v>1254</v>
      </c>
      <c r="M172" s="29" t="s">
        <v>1402</v>
      </c>
      <c r="N172" s="99" t="s">
        <v>2599</v>
      </c>
      <c r="O172" s="99" t="s">
        <v>2600</v>
      </c>
      <c r="P172" s="31" t="s">
        <v>2601</v>
      </c>
      <c r="Q172" s="31" t="s">
        <v>2602</v>
      </c>
      <c r="R172" s="99" t="s">
        <v>1410</v>
      </c>
      <c r="S172" s="99" t="s">
        <v>1410</v>
      </c>
      <c r="T172" s="109" t="s">
        <v>507</v>
      </c>
      <c r="U172" s="34">
        <v>0</v>
      </c>
      <c r="V172" s="34">
        <v>0</v>
      </c>
      <c r="W172" s="33" t="s">
        <v>1413</v>
      </c>
      <c r="X172" s="34">
        <v>0</v>
      </c>
      <c r="Y172" s="34">
        <v>0</v>
      </c>
      <c r="Z172" s="34">
        <v>0</v>
      </c>
      <c r="AA172" s="34">
        <f t="shared" si="3"/>
        <v>1</v>
      </c>
      <c r="AB172" s="34">
        <v>0</v>
      </c>
      <c r="AC172" s="43"/>
    </row>
    <row r="173" spans="1:29" ht="90.5">
      <c r="A173" s="103"/>
      <c r="B173" s="148">
        <v>170</v>
      </c>
      <c r="C173" s="26">
        <f>VLOOKUP(D173,'[3]Codes &amp; Descr. SFICS25'!B:C,2,FALSE)</f>
        <v>25</v>
      </c>
      <c r="D173" s="26" t="s">
        <v>2596</v>
      </c>
      <c r="E173" s="26">
        <f>+VLOOKUP(F173,'[3]Codes &amp; Descr. SFICS25'!D:E,2,FALSE)</f>
        <v>2502</v>
      </c>
      <c r="F173" s="26" t="s">
        <v>2603</v>
      </c>
      <c r="G173" s="26" t="str">
        <f>VLOOKUP(H173,'[3]Codes &amp; Descr. SFICS25'!F:H,2,FALSE)</f>
        <v>-</v>
      </c>
      <c r="H173" s="26" t="s">
        <v>507</v>
      </c>
      <c r="I173" s="26" t="s">
        <v>507</v>
      </c>
      <c r="J173" s="26" t="s">
        <v>2603</v>
      </c>
      <c r="K173" s="26" t="s">
        <v>2604</v>
      </c>
      <c r="L173" s="28" t="s">
        <v>1261</v>
      </c>
      <c r="M173" s="29" t="s">
        <v>1402</v>
      </c>
      <c r="N173" s="99" t="s">
        <v>1410</v>
      </c>
      <c r="O173" s="99" t="s">
        <v>2605</v>
      </c>
      <c r="P173" s="198" t="s">
        <v>2606</v>
      </c>
      <c r="Q173" s="31" t="s">
        <v>2607</v>
      </c>
      <c r="R173" s="99" t="s">
        <v>1410</v>
      </c>
      <c r="S173" s="99" t="s">
        <v>1410</v>
      </c>
      <c r="T173" s="109" t="s">
        <v>507</v>
      </c>
      <c r="U173" s="34">
        <v>0</v>
      </c>
      <c r="V173" s="33" t="s">
        <v>1546</v>
      </c>
      <c r="W173" s="34">
        <v>0</v>
      </c>
      <c r="X173" s="33">
        <v>0</v>
      </c>
      <c r="Y173" s="34">
        <v>0</v>
      </c>
      <c r="Z173" s="34">
        <v>0</v>
      </c>
      <c r="AA173" s="34">
        <f t="shared" si="3"/>
        <v>1</v>
      </c>
      <c r="AB173" s="34">
        <v>0</v>
      </c>
      <c r="AC173" s="43"/>
    </row>
    <row r="174" spans="1:29" ht="39.75" customHeight="1">
      <c r="B174" s="148">
        <v>171</v>
      </c>
      <c r="C174" s="26">
        <f>VLOOKUP(D174,'[3]Codes &amp; Descr. SFICS25'!B:C,2,FALSE)</f>
        <v>25</v>
      </c>
      <c r="D174" s="26" t="s">
        <v>2596</v>
      </c>
      <c r="E174" s="26">
        <f>+VLOOKUP(F174,'[3]Codes &amp; Descr. SFICS25'!D:E,2,FALSE)</f>
        <v>2503</v>
      </c>
      <c r="F174" s="26" t="s">
        <v>2608</v>
      </c>
      <c r="G174" s="26" t="str">
        <f>VLOOKUP(H174,'[3]Codes &amp; Descr. SFICS25'!F:H,2,FALSE)</f>
        <v>-</v>
      </c>
      <c r="H174" s="26" t="s">
        <v>507</v>
      </c>
      <c r="I174" s="26" t="s">
        <v>507</v>
      </c>
      <c r="J174" s="26" t="s">
        <v>2608</v>
      </c>
      <c r="K174" s="26" t="s">
        <v>2609</v>
      </c>
      <c r="L174" s="28" t="s">
        <v>1268</v>
      </c>
      <c r="M174" s="29" t="s">
        <v>1402</v>
      </c>
      <c r="N174" s="99" t="s">
        <v>2610</v>
      </c>
      <c r="O174" s="99" t="s">
        <v>2611</v>
      </c>
      <c r="P174" s="31" t="s">
        <v>1410</v>
      </c>
      <c r="Q174" s="31" t="s">
        <v>2607</v>
      </c>
      <c r="R174" s="99" t="s">
        <v>1410</v>
      </c>
      <c r="S174" s="99" t="s">
        <v>1410</v>
      </c>
      <c r="T174" s="109" t="s">
        <v>507</v>
      </c>
      <c r="U174" s="34">
        <v>0</v>
      </c>
      <c r="V174" s="33" t="s">
        <v>1546</v>
      </c>
      <c r="W174" s="34">
        <v>0</v>
      </c>
      <c r="X174" s="33">
        <v>0</v>
      </c>
      <c r="Y174" s="34">
        <v>0</v>
      </c>
      <c r="Z174" s="34">
        <v>0</v>
      </c>
      <c r="AA174" s="34">
        <f t="shared" si="3"/>
        <v>1</v>
      </c>
      <c r="AB174" s="34">
        <v>0</v>
      </c>
      <c r="AC174" s="43"/>
    </row>
    <row r="175" spans="1:29" ht="39.75" customHeight="1">
      <c r="B175" s="148">
        <v>172</v>
      </c>
      <c r="C175" s="26">
        <f>VLOOKUP(D175,'[3]Codes &amp; Descr. SFICS25'!B:C,2,FALSE)</f>
        <v>31</v>
      </c>
      <c r="D175" s="26" t="s">
        <v>2612</v>
      </c>
      <c r="E175" s="26">
        <f>+VLOOKUP(F175,'[3]Codes &amp; Descr. SFICS25'!D:E,2,FALSE)</f>
        <v>3102</v>
      </c>
      <c r="F175" s="26" t="s">
        <v>2613</v>
      </c>
      <c r="G175" s="26" t="str">
        <f>VLOOKUP(H175,'[3]Codes &amp; Descr. SFICS25'!F:H,2,FALSE)</f>
        <v>-</v>
      </c>
      <c r="H175" s="26" t="s">
        <v>507</v>
      </c>
      <c r="I175" s="26" t="s">
        <v>507</v>
      </c>
      <c r="J175" s="26" t="s">
        <v>2613</v>
      </c>
      <c r="K175" s="26" t="s">
        <v>2614</v>
      </c>
      <c r="L175" s="28" t="s">
        <v>1273</v>
      </c>
      <c r="M175" s="29" t="s">
        <v>1402</v>
      </c>
      <c r="N175" s="99" t="s">
        <v>1410</v>
      </c>
      <c r="O175" s="99" t="s">
        <v>2615</v>
      </c>
      <c r="P175" s="31" t="s">
        <v>1410</v>
      </c>
      <c r="Q175" s="31" t="s">
        <v>2616</v>
      </c>
      <c r="R175" s="99" t="s">
        <v>1410</v>
      </c>
      <c r="S175" s="99" t="s">
        <v>1410</v>
      </c>
      <c r="T175" s="110" t="s">
        <v>2617</v>
      </c>
      <c r="U175" s="34">
        <v>0</v>
      </c>
      <c r="V175" s="33" t="s">
        <v>1546</v>
      </c>
      <c r="W175" s="34">
        <v>0</v>
      </c>
      <c r="X175" s="34">
        <v>0</v>
      </c>
      <c r="Y175" s="34">
        <v>0</v>
      </c>
      <c r="Z175" s="34">
        <v>0</v>
      </c>
      <c r="AA175" s="34">
        <f t="shared" si="3"/>
        <v>1</v>
      </c>
      <c r="AB175" s="34">
        <v>0</v>
      </c>
      <c r="AC175" s="41"/>
    </row>
    <row r="176" spans="1:29" ht="39.75" customHeight="1">
      <c r="B176" s="148">
        <v>173</v>
      </c>
      <c r="C176" s="26">
        <f>VLOOKUP(D176,'[3]Codes &amp; Descr. SFICS25'!B:C,2,FALSE)</f>
        <v>31</v>
      </c>
      <c r="D176" s="26" t="s">
        <v>2612</v>
      </c>
      <c r="E176" s="26">
        <f>+VLOOKUP(F176,'[3]Codes &amp; Descr. SFICS25'!D:E,2,FALSE)</f>
        <v>3103</v>
      </c>
      <c r="F176" s="26" t="s">
        <v>2618</v>
      </c>
      <c r="G176" s="26" t="str">
        <f>VLOOKUP(H176,'[3]Codes &amp; Descr. SFICS25'!F:H,2,FALSE)</f>
        <v>-</v>
      </c>
      <c r="H176" s="26" t="s">
        <v>507</v>
      </c>
      <c r="I176" s="26" t="s">
        <v>507</v>
      </c>
      <c r="J176" s="26" t="s">
        <v>2618</v>
      </c>
      <c r="K176" s="26" t="s">
        <v>2619</v>
      </c>
      <c r="L176" s="28" t="s">
        <v>1279</v>
      </c>
      <c r="M176" s="29" t="s">
        <v>1402</v>
      </c>
      <c r="N176" s="99" t="s">
        <v>2620</v>
      </c>
      <c r="O176" s="99" t="s">
        <v>2621</v>
      </c>
      <c r="P176" s="31" t="s">
        <v>1410</v>
      </c>
      <c r="Q176" s="31" t="s">
        <v>2622</v>
      </c>
      <c r="R176" s="99" t="s">
        <v>1410</v>
      </c>
      <c r="S176" s="99" t="s">
        <v>1410</v>
      </c>
      <c r="T176" s="110" t="s">
        <v>2617</v>
      </c>
      <c r="U176" s="34">
        <v>0</v>
      </c>
      <c r="V176" s="33" t="s">
        <v>1546</v>
      </c>
      <c r="W176" s="34">
        <v>0</v>
      </c>
      <c r="X176" s="34">
        <v>0</v>
      </c>
      <c r="Y176" s="34">
        <v>0</v>
      </c>
      <c r="Z176" s="34">
        <v>0</v>
      </c>
      <c r="AA176" s="34">
        <f t="shared" si="3"/>
        <v>1</v>
      </c>
      <c r="AB176" s="34">
        <v>0</v>
      </c>
      <c r="AC176" s="41"/>
    </row>
    <row r="177" spans="1:29" ht="39.75" customHeight="1">
      <c r="B177" s="148">
        <v>174</v>
      </c>
      <c r="C177" s="26">
        <f>VLOOKUP(D177,'[3]Codes &amp; Descr. SFICS25'!B:C,2,FALSE)</f>
        <v>31</v>
      </c>
      <c r="D177" s="26" t="s">
        <v>2612</v>
      </c>
      <c r="E177" s="26">
        <f>+VLOOKUP(F177,'[3]Codes &amp; Descr. SFICS25'!D:E,2,FALSE)</f>
        <v>3101</v>
      </c>
      <c r="F177" s="26" t="s">
        <v>2623</v>
      </c>
      <c r="G177" s="26" t="str">
        <f>VLOOKUP(H177,'[3]Codes &amp; Descr. SFICS25'!F:H,2,FALSE)</f>
        <v>-</v>
      </c>
      <c r="H177" s="26" t="s">
        <v>507</v>
      </c>
      <c r="I177" s="26" t="s">
        <v>507</v>
      </c>
      <c r="J177" s="26" t="s">
        <v>2623</v>
      </c>
      <c r="K177" s="26" t="s">
        <v>2624</v>
      </c>
      <c r="L177" s="28" t="s">
        <v>281</v>
      </c>
      <c r="M177" s="29" t="s">
        <v>1402</v>
      </c>
      <c r="N177" s="99" t="s">
        <v>2625</v>
      </c>
      <c r="O177" s="99" t="s">
        <v>2626</v>
      </c>
      <c r="P177" s="31" t="s">
        <v>2627</v>
      </c>
      <c r="Q177" s="31" t="s">
        <v>1410</v>
      </c>
      <c r="R177" s="99" t="s">
        <v>1410</v>
      </c>
      <c r="S177" s="99" t="s">
        <v>1410</v>
      </c>
      <c r="T177" s="110" t="s">
        <v>2617</v>
      </c>
      <c r="U177" s="34">
        <v>0</v>
      </c>
      <c r="V177" s="34">
        <v>0</v>
      </c>
      <c r="W177" s="34">
        <v>0</v>
      </c>
      <c r="X177" s="34">
        <v>0</v>
      </c>
      <c r="Y177" s="34">
        <v>0</v>
      </c>
      <c r="Z177" s="34">
        <v>0</v>
      </c>
      <c r="AA177" s="34">
        <f t="shared" si="3"/>
        <v>1</v>
      </c>
      <c r="AB177" s="34">
        <v>0</v>
      </c>
      <c r="AC177" s="43"/>
    </row>
    <row r="178" spans="1:29" ht="39.75" customHeight="1">
      <c r="B178" s="148">
        <v>175</v>
      </c>
      <c r="C178" s="26">
        <f>VLOOKUP(D178,'[3]Codes &amp; Descr. SFICS25'!B:C,2,FALSE)</f>
        <v>31</v>
      </c>
      <c r="D178" s="26" t="s">
        <v>2612</v>
      </c>
      <c r="E178" s="26">
        <f>+VLOOKUP(F178,'[3]Codes &amp; Descr. SFICS25'!D:E,2,FALSE)</f>
        <v>3104</v>
      </c>
      <c r="F178" s="26" t="s">
        <v>2628</v>
      </c>
      <c r="G178" s="26" t="str">
        <f>VLOOKUP(H178,'[3]Codes &amp; Descr. SFICS25'!F:H,2,FALSE)</f>
        <v>-</v>
      </c>
      <c r="H178" s="26" t="s">
        <v>507</v>
      </c>
      <c r="I178" s="26" t="s">
        <v>507</v>
      </c>
      <c r="J178" s="26" t="s">
        <v>2628</v>
      </c>
      <c r="K178" s="26" t="s">
        <v>2629</v>
      </c>
      <c r="L178" s="28" t="s">
        <v>281</v>
      </c>
      <c r="M178" s="29" t="s">
        <v>1402</v>
      </c>
      <c r="N178" s="99" t="s">
        <v>2630</v>
      </c>
      <c r="O178" s="99" t="s">
        <v>2631</v>
      </c>
      <c r="P178" s="31" t="s">
        <v>2632</v>
      </c>
      <c r="Q178" s="31" t="s">
        <v>2633</v>
      </c>
      <c r="R178" s="99" t="s">
        <v>1410</v>
      </c>
      <c r="S178" s="99" t="s">
        <v>1410</v>
      </c>
      <c r="T178" s="110" t="s">
        <v>2617</v>
      </c>
      <c r="U178" s="34">
        <v>0</v>
      </c>
      <c r="V178" s="33" t="s">
        <v>1413</v>
      </c>
      <c r="W178" s="34">
        <v>0</v>
      </c>
      <c r="X178" s="34">
        <v>0</v>
      </c>
      <c r="Y178" s="34">
        <v>0</v>
      </c>
      <c r="Z178" s="34">
        <v>0</v>
      </c>
      <c r="AA178" s="34">
        <f>IF(P178="Not applicable",0,1)</f>
        <v>1</v>
      </c>
      <c r="AB178" s="34">
        <v>0</v>
      </c>
      <c r="AC178" s="43"/>
    </row>
    <row r="179" spans="1:29" ht="32.25" customHeight="1">
      <c r="A179" s="35"/>
      <c r="B179" s="148">
        <v>176</v>
      </c>
      <c r="C179" s="62">
        <f>VLOOKUP(D179,'[3]Codes &amp; Descr. SFICS25'!B:C,2,FALSE)</f>
        <v>31</v>
      </c>
      <c r="D179" s="63" t="s">
        <v>2612</v>
      </c>
      <c r="E179" s="64">
        <v>3105</v>
      </c>
      <c r="F179" s="65" t="s">
        <v>2634</v>
      </c>
      <c r="G179" s="61" t="s">
        <v>1301</v>
      </c>
      <c r="H179" s="26" t="s">
        <v>507</v>
      </c>
      <c r="I179" s="26" t="s">
        <v>507</v>
      </c>
      <c r="J179" s="66" t="s">
        <v>2634</v>
      </c>
      <c r="K179" s="27"/>
      <c r="L179" s="28"/>
      <c r="M179" s="39" t="s">
        <v>1402</v>
      </c>
      <c r="N179" s="66" t="s">
        <v>2635</v>
      </c>
      <c r="O179" s="67" t="s">
        <v>2636</v>
      </c>
      <c r="P179" s="66" t="s">
        <v>2637</v>
      </c>
      <c r="Q179" s="66" t="s">
        <v>1410</v>
      </c>
      <c r="R179" s="30" t="s">
        <v>1410</v>
      </c>
      <c r="S179" s="30" t="s">
        <v>1410</v>
      </c>
      <c r="T179" s="68" t="s">
        <v>2617</v>
      </c>
      <c r="U179" s="34">
        <v>0</v>
      </c>
      <c r="V179" s="34">
        <v>0</v>
      </c>
      <c r="W179" s="34">
        <v>0</v>
      </c>
      <c r="X179" s="34">
        <v>0</v>
      </c>
      <c r="Y179" s="34">
        <v>0</v>
      </c>
      <c r="Z179" s="34">
        <v>0</v>
      </c>
      <c r="AA179" s="69">
        <f>IF(P179="Not applicable",0,1)</f>
        <v>1</v>
      </c>
      <c r="AB179" s="34">
        <v>0</v>
      </c>
      <c r="AC179" s="43"/>
    </row>
    <row r="180" spans="1:29" s="70" customFormat="1" ht="18" customHeight="1">
      <c r="B180" s="148"/>
      <c r="AC180" s="74"/>
    </row>
    <row r="181" spans="1:29" s="2" customFormat="1" ht="18" customHeight="1">
      <c r="B181" s="175">
        <v>177</v>
      </c>
      <c r="C181" s="26" t="str">
        <f>VLOOKUP(D181,'[3]Codes &amp; Descr. SFICS25'!B:C,2,FALSE)</f>
        <v>35</v>
      </c>
      <c r="D181" s="111" t="s">
        <v>2638</v>
      </c>
      <c r="E181" s="26">
        <f>+VLOOKUP(F181,'[3]Codes &amp; Descr. SFICS25'!D:E,2,FALSE)</f>
        <v>3501</v>
      </c>
      <c r="F181" s="111" t="s">
        <v>2639</v>
      </c>
      <c r="G181" s="26" t="s">
        <v>1301</v>
      </c>
      <c r="H181" s="112" t="s">
        <v>1301</v>
      </c>
      <c r="I181" s="112"/>
      <c r="J181" s="112"/>
      <c r="K181" s="113" t="s">
        <v>1301</v>
      </c>
      <c r="L181" s="113" t="s">
        <v>281</v>
      </c>
      <c r="M181" s="29" t="s">
        <v>30</v>
      </c>
      <c r="N181" s="99" t="s">
        <v>1410</v>
      </c>
      <c r="O181" s="99"/>
      <c r="P181" s="99" t="s">
        <v>1410</v>
      </c>
      <c r="Q181" s="99" t="s">
        <v>1410</v>
      </c>
      <c r="R181" s="114" t="s">
        <v>2640</v>
      </c>
      <c r="S181" s="114" t="s">
        <v>2641</v>
      </c>
      <c r="T181" s="100" t="s">
        <v>2642</v>
      </c>
      <c r="U181" s="83">
        <f>IFERROR(VLOOKUP(L181,[4]Mitigation!B:D,2,FALSE),0)</f>
        <v>0</v>
      </c>
      <c r="V181" s="83">
        <f>IFERROR(VLOOKUP($L181,[4]Adaptation!B:D,2,FALSE),0)</f>
        <v>0</v>
      </c>
      <c r="W181" s="83">
        <f>+IFERROR(VLOOKUP($L181,[4]Water!B:D,2,0),0)</f>
        <v>0</v>
      </c>
      <c r="X181" s="83">
        <f>IFERROR(VLOOKUP($L181,'[4]Circ. Economy'!B:D,2,FALSE),0)</f>
        <v>0</v>
      </c>
      <c r="Y181" s="83">
        <f>IFERROR(VLOOKUP($L181,[4]Pollution!B:D,2,FALSE),0)</f>
        <v>0</v>
      </c>
      <c r="Z181" s="83">
        <f>IFERROR(VLOOKUP($L181,[4]Biodiversity!B:D,2,FALSE),0)</f>
        <v>0</v>
      </c>
      <c r="AA181" s="83">
        <f>IFERROR(VLOOKUP($L181,[4]Biodiversity!C:E,2,FALSE),0)</f>
        <v>0</v>
      </c>
      <c r="AB181" s="83">
        <v>1</v>
      </c>
      <c r="AC181" s="43"/>
    </row>
    <row r="182" spans="1:29" s="2" customFormat="1" ht="18" customHeight="1">
      <c r="B182" s="175">
        <v>178</v>
      </c>
      <c r="C182" s="26" t="str">
        <f>VLOOKUP(D182,'[3]Codes &amp; Descr. SFICS25'!B:C,2,FALSE)</f>
        <v>35</v>
      </c>
      <c r="D182" s="111" t="s">
        <v>2638</v>
      </c>
      <c r="E182" s="26">
        <f>+VLOOKUP(F182,'[3]Codes &amp; Descr. SFICS25'!D:E,2,FALSE)</f>
        <v>3502</v>
      </c>
      <c r="F182" s="111" t="s">
        <v>2643</v>
      </c>
      <c r="G182" s="26" t="s">
        <v>1301</v>
      </c>
      <c r="H182" s="112" t="s">
        <v>1301</v>
      </c>
      <c r="I182" s="112"/>
      <c r="J182" s="112"/>
      <c r="K182" s="113" t="s">
        <v>1301</v>
      </c>
      <c r="L182" s="113" t="s">
        <v>281</v>
      </c>
      <c r="M182" s="29" t="s">
        <v>30</v>
      </c>
      <c r="N182" s="99" t="s">
        <v>1410</v>
      </c>
      <c r="O182" s="99"/>
      <c r="P182" s="99" t="s">
        <v>1410</v>
      </c>
      <c r="Q182" s="99" t="s">
        <v>1410</v>
      </c>
      <c r="R182" s="114" t="s">
        <v>2640</v>
      </c>
      <c r="S182" s="114" t="s">
        <v>2641</v>
      </c>
      <c r="T182" s="100" t="s">
        <v>2642</v>
      </c>
      <c r="U182" s="83">
        <f>IFERROR(VLOOKUP(L182,[4]Mitigation!B:D,2,FALSE),0)</f>
        <v>0</v>
      </c>
      <c r="V182" s="83">
        <f>IFERROR(VLOOKUP($L182,[4]Adaptation!B:D,2,FALSE),0)</f>
        <v>0</v>
      </c>
      <c r="W182" s="83">
        <f>+IFERROR(VLOOKUP($L182,[4]Water!B:D,2,0),0)</f>
        <v>0</v>
      </c>
      <c r="X182" s="83">
        <f>IFERROR(VLOOKUP($L182,'[4]Circ. Economy'!B:D,2,FALSE),0)</f>
        <v>0</v>
      </c>
      <c r="Y182" s="83">
        <f>IFERROR(VLOOKUP($L182,[4]Pollution!B:D,2,FALSE),0)</f>
        <v>0</v>
      </c>
      <c r="Z182" s="83">
        <f>IFERROR(VLOOKUP($L182,[4]Biodiversity!B:D,2,FALSE),0)</f>
        <v>0</v>
      </c>
      <c r="AA182" s="83">
        <f>IFERROR(VLOOKUP($L182,[4]Biodiversity!C:E,2,FALSE),0)</f>
        <v>0</v>
      </c>
      <c r="AB182" s="83">
        <v>2</v>
      </c>
      <c r="AC182" s="43"/>
    </row>
    <row r="183" spans="1:29" s="2" customFormat="1" ht="18" customHeight="1">
      <c r="B183" s="175">
        <v>179</v>
      </c>
      <c r="C183" s="26" t="str">
        <f>VLOOKUP(D183,'[3]Codes &amp; Descr. SFICS25'!B:C,2,FALSE)</f>
        <v>35</v>
      </c>
      <c r="D183" s="111" t="s">
        <v>2638</v>
      </c>
      <c r="E183" s="26">
        <f>+VLOOKUP(F183,'[3]Codes &amp; Descr. SFICS25'!D:E,2,FALSE)</f>
        <v>3503</v>
      </c>
      <c r="F183" s="111" t="s">
        <v>2644</v>
      </c>
      <c r="G183" s="26" t="s">
        <v>1301</v>
      </c>
      <c r="H183" s="112" t="s">
        <v>1301</v>
      </c>
      <c r="I183" s="112"/>
      <c r="J183" s="112"/>
      <c r="K183" s="113" t="s">
        <v>1301</v>
      </c>
      <c r="L183" s="113" t="s">
        <v>281</v>
      </c>
      <c r="M183" s="29" t="s">
        <v>30</v>
      </c>
      <c r="N183" s="99" t="s">
        <v>1410</v>
      </c>
      <c r="O183" s="99"/>
      <c r="P183" s="99" t="s">
        <v>1410</v>
      </c>
      <c r="Q183" s="99" t="s">
        <v>1410</v>
      </c>
      <c r="R183" s="114" t="s">
        <v>2640</v>
      </c>
      <c r="S183" s="114" t="s">
        <v>2641</v>
      </c>
      <c r="T183" s="100" t="s">
        <v>2642</v>
      </c>
      <c r="U183" s="83">
        <f>IFERROR(VLOOKUP(L183,[4]Mitigation!B:D,2,FALSE),0)</f>
        <v>0</v>
      </c>
      <c r="V183" s="83">
        <f>IFERROR(VLOOKUP($L183,[4]Adaptation!B:D,2,FALSE),0)</f>
        <v>0</v>
      </c>
      <c r="W183" s="83">
        <f>+IFERROR(VLOOKUP($L183,[4]Water!B:D,2,0),0)</f>
        <v>0</v>
      </c>
      <c r="X183" s="83">
        <f>IFERROR(VLOOKUP($L183,'[4]Circ. Economy'!B:D,2,FALSE),0)</f>
        <v>0</v>
      </c>
      <c r="Y183" s="83">
        <f>IFERROR(VLOOKUP($L183,[4]Pollution!B:D,2,FALSE),0)</f>
        <v>0</v>
      </c>
      <c r="Z183" s="83">
        <f>IFERROR(VLOOKUP($L183,[4]Biodiversity!B:D,2,FALSE),0)</f>
        <v>0</v>
      </c>
      <c r="AA183" s="83">
        <f>IFERROR(VLOOKUP($L183,[4]Biodiversity!C:E,2,FALSE),0)</f>
        <v>0</v>
      </c>
      <c r="AB183" s="83">
        <v>3</v>
      </c>
      <c r="AC183" s="43"/>
    </row>
    <row r="184" spans="1:29" s="2" customFormat="1" ht="18" customHeight="1">
      <c r="B184" s="175">
        <v>180</v>
      </c>
      <c r="C184" s="26" t="str">
        <f>VLOOKUP(D184,'[3]Codes &amp; Descr. SFICS25'!B:C,2,FALSE)</f>
        <v>35</v>
      </c>
      <c r="D184" s="111" t="s">
        <v>2638</v>
      </c>
      <c r="E184" s="26">
        <f>+VLOOKUP(F184,'[3]Codes &amp; Descr. SFICS25'!D:E,2,FALSE)</f>
        <v>3504</v>
      </c>
      <c r="F184" s="111" t="s">
        <v>2645</v>
      </c>
      <c r="G184" s="26" t="s">
        <v>1301</v>
      </c>
      <c r="H184" s="112" t="s">
        <v>1301</v>
      </c>
      <c r="I184" s="112"/>
      <c r="J184" s="112"/>
      <c r="K184" s="113" t="s">
        <v>1301</v>
      </c>
      <c r="L184" s="113" t="s">
        <v>281</v>
      </c>
      <c r="M184" s="29" t="s">
        <v>30</v>
      </c>
      <c r="N184" s="99" t="s">
        <v>1410</v>
      </c>
      <c r="O184" s="99"/>
      <c r="P184" s="99" t="s">
        <v>1410</v>
      </c>
      <c r="Q184" s="99" t="s">
        <v>1410</v>
      </c>
      <c r="R184" s="114" t="s">
        <v>2646</v>
      </c>
      <c r="S184" s="114" t="s">
        <v>2647</v>
      </c>
      <c r="T184" s="100" t="s">
        <v>2642</v>
      </c>
      <c r="U184" s="83">
        <f>IFERROR(VLOOKUP(L184,[4]Mitigation!B:D,2,FALSE),0)</f>
        <v>0</v>
      </c>
      <c r="V184" s="83">
        <f>IFERROR(VLOOKUP($L184,[4]Adaptation!B:D,2,FALSE),0)</f>
        <v>0</v>
      </c>
      <c r="W184" s="83">
        <f>+IFERROR(VLOOKUP($L184,[4]Water!B:D,2,0),0)</f>
        <v>0</v>
      </c>
      <c r="X184" s="83">
        <f>IFERROR(VLOOKUP($L184,'[4]Circ. Economy'!B:D,2,FALSE),0)</f>
        <v>0</v>
      </c>
      <c r="Y184" s="83">
        <f>IFERROR(VLOOKUP($L184,[4]Pollution!B:D,2,FALSE),0)</f>
        <v>0</v>
      </c>
      <c r="Z184" s="83">
        <f>IFERROR(VLOOKUP($L184,[4]Biodiversity!B:D,2,FALSE),0)</f>
        <v>0</v>
      </c>
      <c r="AA184" s="83">
        <f>IFERROR(VLOOKUP($L184,[4]Biodiversity!C:E,2,FALSE),0)</f>
        <v>0</v>
      </c>
      <c r="AB184" s="83">
        <v>4</v>
      </c>
      <c r="AC184" s="43"/>
    </row>
    <row r="185" spans="1:29" s="2" customFormat="1" ht="18" customHeight="1">
      <c r="B185" s="175">
        <v>181</v>
      </c>
      <c r="C185" s="26" t="str">
        <f>VLOOKUP(D185,'[3]Codes &amp; Descr. SFICS25'!B:C,2,FALSE)</f>
        <v>35</v>
      </c>
      <c r="D185" s="111" t="s">
        <v>2638</v>
      </c>
      <c r="E185" s="26">
        <f>+VLOOKUP(F185,'[3]Codes &amp; Descr. SFICS25'!D:E,2,FALSE)</f>
        <v>3505</v>
      </c>
      <c r="F185" s="111" t="s">
        <v>2648</v>
      </c>
      <c r="G185" s="26" t="s">
        <v>1301</v>
      </c>
      <c r="H185" s="112" t="s">
        <v>1301</v>
      </c>
      <c r="I185" s="112"/>
      <c r="J185" s="112"/>
      <c r="K185" s="113" t="s">
        <v>1301</v>
      </c>
      <c r="L185" s="113" t="s">
        <v>281</v>
      </c>
      <c r="M185" s="29" t="s">
        <v>30</v>
      </c>
      <c r="N185" s="99" t="s">
        <v>1410</v>
      </c>
      <c r="O185" s="99"/>
      <c r="P185" s="99" t="s">
        <v>1410</v>
      </c>
      <c r="Q185" s="99" t="s">
        <v>1410</v>
      </c>
      <c r="R185" s="114" t="s">
        <v>2649</v>
      </c>
      <c r="S185" s="114" t="s">
        <v>2650</v>
      </c>
      <c r="T185" s="100" t="s">
        <v>2642</v>
      </c>
      <c r="U185" s="83">
        <f>IFERROR(VLOOKUP(L185,[4]Mitigation!B:D,2,FALSE),0)</f>
        <v>0</v>
      </c>
      <c r="V185" s="83">
        <f>IFERROR(VLOOKUP($L185,[4]Adaptation!B:D,2,FALSE),0)</f>
        <v>0</v>
      </c>
      <c r="W185" s="83">
        <f>+IFERROR(VLOOKUP($L185,[4]Water!B:D,2,0),0)</f>
        <v>0</v>
      </c>
      <c r="X185" s="83">
        <f>IFERROR(VLOOKUP($L185,'[4]Circ. Economy'!B:D,2,FALSE),0)</f>
        <v>0</v>
      </c>
      <c r="Y185" s="83">
        <f>IFERROR(VLOOKUP($L185,[4]Pollution!B:D,2,FALSE),0)</f>
        <v>0</v>
      </c>
      <c r="Z185" s="83">
        <f>IFERROR(VLOOKUP($L185,[4]Biodiversity!B:D,2,FALSE),0)</f>
        <v>0</v>
      </c>
      <c r="AA185" s="83">
        <f>IFERROR(VLOOKUP($L185,[4]Biodiversity!C:E,2,FALSE),0)</f>
        <v>0</v>
      </c>
      <c r="AB185" s="83">
        <v>5</v>
      </c>
      <c r="AC185" s="43"/>
    </row>
    <row r="186" spans="1:29" s="2" customFormat="1" ht="18" customHeight="1">
      <c r="B186" s="175">
        <v>182</v>
      </c>
      <c r="C186" s="26" t="str">
        <f>VLOOKUP(D186,'[3]Codes &amp; Descr. SFICS25'!B:C,2,FALSE)</f>
        <v>36</v>
      </c>
      <c r="D186" s="115" t="s">
        <v>2651</v>
      </c>
      <c r="E186" s="26">
        <f>+VLOOKUP(F186,'[3]Codes &amp; Descr. SFICS25'!D:E,2,FALSE)</f>
        <v>3601</v>
      </c>
      <c r="F186" s="111" t="s">
        <v>2652</v>
      </c>
      <c r="G186" s="26" t="s">
        <v>1301</v>
      </c>
      <c r="H186" s="112" t="s">
        <v>1301</v>
      </c>
      <c r="I186" s="112"/>
      <c r="J186" s="112"/>
      <c r="K186" s="113" t="s">
        <v>1301</v>
      </c>
      <c r="L186" s="113" t="s">
        <v>281</v>
      </c>
      <c r="M186" s="29" t="s">
        <v>30</v>
      </c>
      <c r="N186" s="99" t="s">
        <v>1410</v>
      </c>
      <c r="O186" s="99"/>
      <c r="P186" s="99" t="s">
        <v>1410</v>
      </c>
      <c r="Q186" s="99" t="s">
        <v>1410</v>
      </c>
      <c r="R186" s="114" t="s">
        <v>2640</v>
      </c>
      <c r="S186" s="114" t="s">
        <v>2653</v>
      </c>
      <c r="T186" s="100" t="s">
        <v>2654</v>
      </c>
      <c r="U186" s="83">
        <f>IFERROR(VLOOKUP(L186,[4]Mitigation!B:D,2,FALSE),0)</f>
        <v>0</v>
      </c>
      <c r="V186" s="83">
        <f>IFERROR(VLOOKUP($L186,[4]Adaptation!B:D,2,FALSE),0)</f>
        <v>0</v>
      </c>
      <c r="W186" s="83">
        <f>+IFERROR(VLOOKUP($L186,[4]Water!B:D,2,0),0)</f>
        <v>0</v>
      </c>
      <c r="X186" s="83">
        <f>IFERROR(VLOOKUP($L186,'[4]Circ. Economy'!B:D,2,FALSE),0)</f>
        <v>0</v>
      </c>
      <c r="Y186" s="83">
        <f>IFERROR(VLOOKUP($L186,[4]Pollution!B:D,2,FALSE),0)</f>
        <v>0</v>
      </c>
      <c r="Z186" s="83">
        <f>IFERROR(VLOOKUP($L186,[4]Biodiversity!B:D,2,FALSE),0)</f>
        <v>0</v>
      </c>
      <c r="AA186" s="83">
        <f>IFERROR(VLOOKUP($L186,[4]Biodiversity!C:E,2,FALSE),0)</f>
        <v>0</v>
      </c>
      <c r="AB186" s="83">
        <v>6</v>
      </c>
      <c r="AC186" s="43"/>
    </row>
    <row r="187" spans="1:29" s="2" customFormat="1" ht="90">
      <c r="A187" s="85"/>
      <c r="B187" s="175">
        <v>183</v>
      </c>
      <c r="C187" s="26" t="str">
        <f>VLOOKUP(D187,'[3]Codes &amp; Descr. SFICS25'!B:C,2,FALSE)</f>
        <v>36</v>
      </c>
      <c r="D187" s="115" t="s">
        <v>2651</v>
      </c>
      <c r="E187" s="80">
        <v>3602</v>
      </c>
      <c r="F187" s="198" t="s">
        <v>2655</v>
      </c>
      <c r="G187" s="26" t="s">
        <v>1301</v>
      </c>
      <c r="H187" s="112" t="s">
        <v>1301</v>
      </c>
      <c r="I187" s="112"/>
      <c r="J187" s="112"/>
      <c r="K187" s="113" t="s">
        <v>1301</v>
      </c>
      <c r="L187" s="113" t="s">
        <v>281</v>
      </c>
      <c r="M187" s="29" t="s">
        <v>30</v>
      </c>
      <c r="N187" s="99" t="s">
        <v>1410</v>
      </c>
      <c r="O187" s="99"/>
      <c r="P187" s="99" t="s">
        <v>1410</v>
      </c>
      <c r="Q187" s="99" t="s">
        <v>1410</v>
      </c>
      <c r="R187" s="114" t="s">
        <v>2640</v>
      </c>
      <c r="S187" s="114" t="s">
        <v>2656</v>
      </c>
      <c r="T187" s="100" t="s">
        <v>2654</v>
      </c>
      <c r="U187" s="83">
        <f>IFERROR(VLOOKUP(L187,[4]Mitigation!B:D,2,FALSE),0)</f>
        <v>0</v>
      </c>
      <c r="V187" s="83">
        <f>IFERROR(VLOOKUP($L187,[4]Adaptation!B:D,2,FALSE),0)</f>
        <v>0</v>
      </c>
      <c r="W187" s="83">
        <f>+IFERROR(VLOOKUP($L187,[4]Water!B:D,2,0),0)</f>
        <v>0</v>
      </c>
      <c r="X187" s="83">
        <f>IFERROR(VLOOKUP($L187,'[4]Circ. Economy'!B:D,2,FALSE),0)</f>
        <v>0</v>
      </c>
      <c r="Y187" s="83">
        <f>IFERROR(VLOOKUP($L187,[4]Pollution!B:D,2,FALSE),0)</f>
        <v>0</v>
      </c>
      <c r="Z187" s="83">
        <f>IFERROR(VLOOKUP($L187,[4]Biodiversity!B:D,2,FALSE),0)</f>
        <v>0</v>
      </c>
      <c r="AA187" s="83">
        <f>IFERROR(VLOOKUP($L187,[4]Biodiversity!C:E,2,FALSE),0)</f>
        <v>0</v>
      </c>
      <c r="AB187" s="83">
        <v>7</v>
      </c>
      <c r="AC187" s="43"/>
    </row>
    <row r="188" spans="1:29" s="2" customFormat="1" ht="18" customHeight="1">
      <c r="B188" s="175">
        <v>184</v>
      </c>
      <c r="C188" s="26" t="str">
        <f>VLOOKUP(D188,'[3]Codes &amp; Descr. SFICS25'!B:C,2,FALSE)</f>
        <v>36</v>
      </c>
      <c r="D188" s="115" t="s">
        <v>2651</v>
      </c>
      <c r="E188" s="26">
        <f>+VLOOKUP(F188,'[3]Codes &amp; Descr. SFICS25'!D:E,2,FALSE)</f>
        <v>3603</v>
      </c>
      <c r="F188" s="111" t="s">
        <v>2657</v>
      </c>
      <c r="G188" s="26" t="s">
        <v>1301</v>
      </c>
      <c r="H188" s="112" t="s">
        <v>1301</v>
      </c>
      <c r="I188" s="112"/>
      <c r="J188" s="112"/>
      <c r="K188" s="113" t="s">
        <v>1301</v>
      </c>
      <c r="L188" s="113" t="s">
        <v>281</v>
      </c>
      <c r="M188" s="29" t="s">
        <v>30</v>
      </c>
      <c r="N188" s="99" t="s">
        <v>1410</v>
      </c>
      <c r="O188" s="99"/>
      <c r="P188" s="99" t="s">
        <v>1410</v>
      </c>
      <c r="Q188" s="99" t="s">
        <v>1410</v>
      </c>
      <c r="R188" s="114" t="s">
        <v>2640</v>
      </c>
      <c r="S188" s="114" t="s">
        <v>2656</v>
      </c>
      <c r="T188" s="100" t="s">
        <v>2654</v>
      </c>
      <c r="U188" s="83">
        <f>IFERROR(VLOOKUP(L188,[4]Mitigation!B:D,2,FALSE),0)</f>
        <v>0</v>
      </c>
      <c r="V188" s="83">
        <f>IFERROR(VLOOKUP($L188,[4]Adaptation!B:D,2,FALSE),0)</f>
        <v>0</v>
      </c>
      <c r="W188" s="83">
        <f>+IFERROR(VLOOKUP($L188,[4]Water!B:D,2,0),0)</f>
        <v>0</v>
      </c>
      <c r="X188" s="83">
        <f>IFERROR(VLOOKUP($L188,'[4]Circ. Economy'!B:D,2,FALSE),0)</f>
        <v>0</v>
      </c>
      <c r="Y188" s="83">
        <f>IFERROR(VLOOKUP($L188,[4]Pollution!B:D,2,FALSE),0)</f>
        <v>0</v>
      </c>
      <c r="Z188" s="83">
        <f>IFERROR(VLOOKUP($L188,[4]Biodiversity!B:D,2,FALSE),0)</f>
        <v>0</v>
      </c>
      <c r="AA188" s="83">
        <f>IFERROR(VLOOKUP($L188,[4]Biodiversity!C:E,2,FALSE),0)</f>
        <v>0</v>
      </c>
      <c r="AB188" s="83">
        <v>8</v>
      </c>
      <c r="AC188" s="43"/>
    </row>
    <row r="189" spans="1:29" s="2" customFormat="1" ht="18" customHeight="1">
      <c r="B189" s="175">
        <v>185</v>
      </c>
      <c r="C189" s="84" t="s">
        <v>1321</v>
      </c>
      <c r="D189" s="115" t="s">
        <v>1641</v>
      </c>
      <c r="E189" s="26">
        <f>+VLOOKUP(F189,'[3]Codes &amp; Descr. SFICS25'!D:E,2,FALSE)</f>
        <v>3701</v>
      </c>
      <c r="F189" s="111" t="s">
        <v>2658</v>
      </c>
      <c r="G189" s="26" t="s">
        <v>1301</v>
      </c>
      <c r="H189" s="112" t="s">
        <v>1301</v>
      </c>
      <c r="I189" s="112"/>
      <c r="J189" s="112"/>
      <c r="K189" s="113" t="s">
        <v>1301</v>
      </c>
      <c r="L189" s="113" t="s">
        <v>281</v>
      </c>
      <c r="M189" s="29" t="s">
        <v>30</v>
      </c>
      <c r="N189" s="99" t="s">
        <v>1410</v>
      </c>
      <c r="O189" s="99"/>
      <c r="P189" s="99" t="s">
        <v>1410</v>
      </c>
      <c r="Q189" s="99" t="s">
        <v>1410</v>
      </c>
      <c r="R189" s="114" t="s">
        <v>2659</v>
      </c>
      <c r="S189" s="114" t="s">
        <v>2660</v>
      </c>
      <c r="T189" s="100" t="s">
        <v>1649</v>
      </c>
      <c r="U189" s="83">
        <f>IFERROR(VLOOKUP(L189,[4]Mitigation!B:D,2,FALSE),0)</f>
        <v>0</v>
      </c>
      <c r="V189" s="83">
        <f>IFERROR(VLOOKUP($L189,[4]Adaptation!B:D,2,FALSE),0)</f>
        <v>0</v>
      </c>
      <c r="W189" s="83">
        <f>+IFERROR(VLOOKUP($L189,[4]Water!B:D,2,0),0)</f>
        <v>0</v>
      </c>
      <c r="X189" s="83">
        <f>IFERROR(VLOOKUP($L189,'[4]Circ. Economy'!B:D,2,FALSE),0)</f>
        <v>0</v>
      </c>
      <c r="Y189" s="83">
        <f>IFERROR(VLOOKUP($L189,[4]Pollution!B:D,2,FALSE),0)</f>
        <v>0</v>
      </c>
      <c r="Z189" s="83">
        <f>IFERROR(VLOOKUP($L189,[4]Biodiversity!B:D,2,FALSE),0)</f>
        <v>0</v>
      </c>
      <c r="AA189" s="83">
        <f>IFERROR(VLOOKUP($L189,[4]Biodiversity!C:E,2,FALSE),0)</f>
        <v>0</v>
      </c>
      <c r="AB189" s="83">
        <v>9</v>
      </c>
      <c r="AC189" s="43"/>
    </row>
    <row r="190" spans="1:29" s="2" customFormat="1" ht="18" customHeight="1">
      <c r="B190" s="175">
        <v>186</v>
      </c>
      <c r="C190" s="84" t="s">
        <v>1321</v>
      </c>
      <c r="D190" s="115" t="s">
        <v>1641</v>
      </c>
      <c r="E190" s="26">
        <f>+VLOOKUP(F190,'[3]Codes &amp; Descr. SFICS25'!D:E,2,FALSE)</f>
        <v>3702</v>
      </c>
      <c r="F190" s="111" t="s">
        <v>2661</v>
      </c>
      <c r="G190" s="26" t="s">
        <v>1301</v>
      </c>
      <c r="H190" s="112" t="s">
        <v>1301</v>
      </c>
      <c r="I190" s="112"/>
      <c r="J190" s="112"/>
      <c r="K190" s="113" t="s">
        <v>1301</v>
      </c>
      <c r="L190" s="113" t="s">
        <v>281</v>
      </c>
      <c r="M190" s="29" t="s">
        <v>30</v>
      </c>
      <c r="N190" s="99" t="s">
        <v>1410</v>
      </c>
      <c r="O190" s="99"/>
      <c r="P190" s="99" t="s">
        <v>1410</v>
      </c>
      <c r="Q190" s="99" t="s">
        <v>1410</v>
      </c>
      <c r="R190" s="114" t="s">
        <v>2659</v>
      </c>
      <c r="S190" s="114" t="s">
        <v>2662</v>
      </c>
      <c r="T190" s="100" t="s">
        <v>1649</v>
      </c>
      <c r="U190" s="83">
        <f>IFERROR(VLOOKUP(L190,[4]Mitigation!B:D,2,FALSE),0)</f>
        <v>0</v>
      </c>
      <c r="V190" s="83">
        <f>IFERROR(VLOOKUP($L190,[4]Adaptation!B:D,2,FALSE),0)</f>
        <v>0</v>
      </c>
      <c r="W190" s="83">
        <f>+IFERROR(VLOOKUP($L190,[4]Water!B:D,2,0),0)</f>
        <v>0</v>
      </c>
      <c r="X190" s="83">
        <f>IFERROR(VLOOKUP($L190,'[4]Circ. Economy'!B:D,2,FALSE),0)</f>
        <v>0</v>
      </c>
      <c r="Y190" s="83">
        <f>IFERROR(VLOOKUP($L190,[4]Pollution!B:D,2,FALSE),0)</f>
        <v>0</v>
      </c>
      <c r="Z190" s="83">
        <f>IFERROR(VLOOKUP($L190,[4]Biodiversity!B:D,2,FALSE),0)</f>
        <v>0</v>
      </c>
      <c r="AA190" s="83">
        <f>IFERROR(VLOOKUP($L190,[4]Biodiversity!C:E,2,FALSE),0)</f>
        <v>0</v>
      </c>
      <c r="AB190" s="83">
        <v>10</v>
      </c>
      <c r="AC190" s="43"/>
    </row>
    <row r="191" spans="1:29" s="2" customFormat="1" ht="18" customHeight="1">
      <c r="B191" s="175">
        <v>187</v>
      </c>
      <c r="C191" s="84" t="s">
        <v>1321</v>
      </c>
      <c r="D191" s="115" t="s">
        <v>1641</v>
      </c>
      <c r="E191" s="26">
        <f>+VLOOKUP(F191,'[3]Codes &amp; Descr. SFICS25'!D:E,2,FALSE)</f>
        <v>3703</v>
      </c>
      <c r="F191" s="111" t="s">
        <v>2663</v>
      </c>
      <c r="G191" s="26" t="s">
        <v>1301</v>
      </c>
      <c r="H191" s="112" t="s">
        <v>1301</v>
      </c>
      <c r="I191" s="112"/>
      <c r="J191" s="112"/>
      <c r="K191" s="113" t="s">
        <v>1301</v>
      </c>
      <c r="L191" s="113" t="s">
        <v>281</v>
      </c>
      <c r="M191" s="29" t="s">
        <v>30</v>
      </c>
      <c r="N191" s="99" t="s">
        <v>1410</v>
      </c>
      <c r="O191" s="99"/>
      <c r="P191" s="99" t="s">
        <v>1410</v>
      </c>
      <c r="Q191" s="99" t="s">
        <v>1410</v>
      </c>
      <c r="R191" s="114" t="s">
        <v>2640</v>
      </c>
      <c r="S191" s="114" t="s">
        <v>2664</v>
      </c>
      <c r="T191" s="100" t="s">
        <v>1649</v>
      </c>
      <c r="U191" s="83">
        <f>IFERROR(VLOOKUP(L191,[4]Mitigation!B:D,2,FALSE),0)</f>
        <v>0</v>
      </c>
      <c r="V191" s="83">
        <f>IFERROR(VLOOKUP($L191,[4]Adaptation!B:D,2,FALSE),0)</f>
        <v>0</v>
      </c>
      <c r="W191" s="83">
        <f>+IFERROR(VLOOKUP($L191,[4]Water!B:D,2,0),0)</f>
        <v>0</v>
      </c>
      <c r="X191" s="83">
        <f>IFERROR(VLOOKUP($L191,'[4]Circ. Economy'!B:D,2,FALSE),0)</f>
        <v>0</v>
      </c>
      <c r="Y191" s="83">
        <f>IFERROR(VLOOKUP($L191,[4]Pollution!B:D,2,FALSE),0)</f>
        <v>0</v>
      </c>
      <c r="Z191" s="83">
        <f>IFERROR(VLOOKUP($L191,[4]Biodiversity!B:D,2,FALSE),0)</f>
        <v>0</v>
      </c>
      <c r="AA191" s="83">
        <f>IFERROR(VLOOKUP($L191,[4]Biodiversity!C:E,2,FALSE),0)</f>
        <v>0</v>
      </c>
      <c r="AB191" s="83">
        <v>10</v>
      </c>
      <c r="AC191" s="43"/>
    </row>
    <row r="192" spans="1:29" s="2" customFormat="1" ht="18" customHeight="1">
      <c r="B192" s="175">
        <v>188</v>
      </c>
      <c r="C192" s="84" t="s">
        <v>1329</v>
      </c>
      <c r="D192" s="115" t="s">
        <v>1403</v>
      </c>
      <c r="E192" s="26">
        <f>+VLOOKUP(F192,'[3]Codes &amp; Descr. SFICS25'!D:E,2,FALSE)</f>
        <v>3801</v>
      </c>
      <c r="F192" s="111" t="s">
        <v>2665</v>
      </c>
      <c r="G192" s="26" t="s">
        <v>1301</v>
      </c>
      <c r="H192" s="112" t="s">
        <v>1301</v>
      </c>
      <c r="I192" s="112"/>
      <c r="J192" s="112"/>
      <c r="K192" s="113" t="s">
        <v>1301</v>
      </c>
      <c r="L192" s="113" t="s">
        <v>281</v>
      </c>
      <c r="M192" s="29" t="s">
        <v>30</v>
      </c>
      <c r="N192" s="99" t="s">
        <v>1410</v>
      </c>
      <c r="O192" s="99"/>
      <c r="P192" s="99" t="s">
        <v>1410</v>
      </c>
      <c r="Q192" s="99" t="s">
        <v>1410</v>
      </c>
      <c r="R192" s="114" t="s">
        <v>2659</v>
      </c>
      <c r="S192" s="114" t="s">
        <v>2666</v>
      </c>
      <c r="T192" s="100" t="s">
        <v>2667</v>
      </c>
      <c r="U192" s="83">
        <f>IFERROR(VLOOKUP(L192,[4]Mitigation!B:D,2,FALSE),0)</f>
        <v>0</v>
      </c>
      <c r="V192" s="83">
        <f>IFERROR(VLOOKUP($L192,[4]Adaptation!B:D,2,FALSE),0)</f>
        <v>0</v>
      </c>
      <c r="W192" s="83">
        <f>+IFERROR(VLOOKUP($L192,[4]Water!B:D,2,0),0)</f>
        <v>0</v>
      </c>
      <c r="X192" s="83">
        <f>IFERROR(VLOOKUP($L192,'[4]Circ. Economy'!B:D,2,FALSE),0)</f>
        <v>0</v>
      </c>
      <c r="Y192" s="83">
        <f>IFERROR(VLOOKUP($L192,[4]Pollution!B:D,2,FALSE),0)</f>
        <v>0</v>
      </c>
      <c r="Z192" s="83">
        <f>IFERROR(VLOOKUP($L192,[4]Biodiversity!B:D,2,FALSE),0)</f>
        <v>0</v>
      </c>
      <c r="AA192" s="83">
        <f>IFERROR(VLOOKUP($L192,[4]Biodiversity!C:E,2,FALSE),0)</f>
        <v>0</v>
      </c>
      <c r="AB192" s="83">
        <v>1</v>
      </c>
      <c r="AC192" s="43"/>
    </row>
    <row r="193" spans="1:16382" s="2" customFormat="1" ht="18" customHeight="1">
      <c r="B193" s="175">
        <v>189</v>
      </c>
      <c r="C193" s="84" t="s">
        <v>1334</v>
      </c>
      <c r="D193" s="115" t="s">
        <v>2668</v>
      </c>
      <c r="E193" s="26">
        <f>+VLOOKUP(F193,'[3]Codes &amp; Descr. SFICS25'!D:E,2,FALSE)</f>
        <v>3901</v>
      </c>
      <c r="F193" s="111" t="s">
        <v>2669</v>
      </c>
      <c r="G193" s="26" t="s">
        <v>1301</v>
      </c>
      <c r="H193" s="112" t="s">
        <v>1301</v>
      </c>
      <c r="I193" s="112"/>
      <c r="J193" s="112"/>
      <c r="K193" s="113" t="s">
        <v>1301</v>
      </c>
      <c r="L193" s="113" t="s">
        <v>281</v>
      </c>
      <c r="M193" s="29" t="s">
        <v>30</v>
      </c>
      <c r="N193" s="99" t="s">
        <v>1410</v>
      </c>
      <c r="O193" s="99"/>
      <c r="P193" s="99" t="s">
        <v>1410</v>
      </c>
      <c r="Q193" s="99" t="s">
        <v>1410</v>
      </c>
      <c r="R193" s="114" t="s">
        <v>2659</v>
      </c>
      <c r="S193" s="114" t="s">
        <v>2666</v>
      </c>
      <c r="T193" s="100" t="s">
        <v>2670</v>
      </c>
      <c r="U193" s="83">
        <f>IFERROR(VLOOKUP(L193,[4]Mitigation!B:D,2,FALSE),0)</f>
        <v>0</v>
      </c>
      <c r="V193" s="83">
        <f>IFERROR(VLOOKUP($L193,[4]Adaptation!B:D,2,FALSE),0)</f>
        <v>0</v>
      </c>
      <c r="W193" s="83">
        <f>+IFERROR(VLOOKUP($L193,[4]Water!B:D,2,0),0)</f>
        <v>0</v>
      </c>
      <c r="X193" s="83">
        <f>IFERROR(VLOOKUP($L193,'[4]Circ. Economy'!B:D,2,FALSE),0)</f>
        <v>0</v>
      </c>
      <c r="Y193" s="83">
        <f>IFERROR(VLOOKUP($L193,[4]Pollution!B:D,2,FALSE),0)</f>
        <v>0</v>
      </c>
      <c r="Z193" s="83">
        <f>IFERROR(VLOOKUP($L193,[4]Biodiversity!B:D,2,FALSE),0)</f>
        <v>0</v>
      </c>
      <c r="AA193" s="83">
        <f>IFERROR(VLOOKUP($L193,[4]Biodiversity!C:E,2,FALSE),0)</f>
        <v>0</v>
      </c>
      <c r="AB193" s="83">
        <v>1</v>
      </c>
      <c r="AC193" s="43"/>
    </row>
    <row r="194" spans="1:16382" s="2" customFormat="1" ht="18" customHeight="1">
      <c r="B194" s="175">
        <v>190</v>
      </c>
      <c r="C194" s="84" t="s">
        <v>1334</v>
      </c>
      <c r="D194" s="115" t="s">
        <v>2668</v>
      </c>
      <c r="E194" s="26">
        <f>+VLOOKUP(F194,'[3]Codes &amp; Descr. SFICS25'!D:E,2,FALSE)</f>
        <v>3902</v>
      </c>
      <c r="F194" s="111" t="s">
        <v>2671</v>
      </c>
      <c r="G194" s="26" t="s">
        <v>1301</v>
      </c>
      <c r="H194" s="112" t="s">
        <v>1301</v>
      </c>
      <c r="I194" s="112"/>
      <c r="J194" s="112"/>
      <c r="K194" s="113" t="s">
        <v>1301</v>
      </c>
      <c r="L194" s="113" t="s">
        <v>281</v>
      </c>
      <c r="M194" s="29" t="s">
        <v>30</v>
      </c>
      <c r="N194" s="99" t="s">
        <v>1410</v>
      </c>
      <c r="O194" s="99"/>
      <c r="P194" s="99" t="s">
        <v>1410</v>
      </c>
      <c r="Q194" s="99" t="s">
        <v>1410</v>
      </c>
      <c r="R194" s="114" t="s">
        <v>2659</v>
      </c>
      <c r="S194" s="114" t="s">
        <v>2666</v>
      </c>
      <c r="T194" s="100" t="s">
        <v>2670</v>
      </c>
      <c r="U194" s="83">
        <f>IFERROR(VLOOKUP(L194,[4]Mitigation!B:D,2,FALSE),0)</f>
        <v>0</v>
      </c>
      <c r="V194" s="83">
        <f>IFERROR(VLOOKUP($L194,[4]Adaptation!B:D,2,FALSE),0)</f>
        <v>0</v>
      </c>
      <c r="W194" s="83">
        <f>+IFERROR(VLOOKUP($L194,[4]Water!B:D,2,0),0)</f>
        <v>0</v>
      </c>
      <c r="X194" s="83">
        <f>IFERROR(VLOOKUP($L194,'[4]Circ. Economy'!B:D,2,FALSE),0)</f>
        <v>0</v>
      </c>
      <c r="Y194" s="83">
        <f>IFERROR(VLOOKUP($L194,[4]Pollution!B:D,2,FALSE),0)</f>
        <v>0</v>
      </c>
      <c r="Z194" s="83">
        <f>IFERROR(VLOOKUP($L194,[4]Biodiversity!B:D,2,FALSE),0)</f>
        <v>0</v>
      </c>
      <c r="AA194" s="83">
        <f>IFERROR(VLOOKUP($L194,[4]Biodiversity!C:E,2,FALSE),0)</f>
        <v>0</v>
      </c>
      <c r="AB194" s="83">
        <v>2</v>
      </c>
      <c r="AC194" s="43"/>
    </row>
    <row r="195" spans="1:16382" s="2" customFormat="1" ht="18" customHeight="1">
      <c r="B195" s="175">
        <v>191</v>
      </c>
      <c r="C195" s="84" t="s">
        <v>1334</v>
      </c>
      <c r="D195" s="115" t="s">
        <v>2668</v>
      </c>
      <c r="E195" s="26">
        <f>+VLOOKUP(F195,'[3]Codes &amp; Descr. SFICS25'!D:E,2,FALSE)</f>
        <v>3903</v>
      </c>
      <c r="F195" s="111" t="s">
        <v>2672</v>
      </c>
      <c r="G195" s="26" t="s">
        <v>1301</v>
      </c>
      <c r="H195" s="112" t="s">
        <v>1301</v>
      </c>
      <c r="I195" s="112"/>
      <c r="J195" s="112"/>
      <c r="K195" s="113" t="s">
        <v>1301</v>
      </c>
      <c r="L195" s="113" t="s">
        <v>281</v>
      </c>
      <c r="M195" s="29" t="s">
        <v>30</v>
      </c>
      <c r="N195" s="99" t="s">
        <v>1410</v>
      </c>
      <c r="O195" s="99"/>
      <c r="P195" s="99" t="s">
        <v>1410</v>
      </c>
      <c r="Q195" s="99" t="s">
        <v>1410</v>
      </c>
      <c r="R195" s="114" t="s">
        <v>2659</v>
      </c>
      <c r="S195" s="114" t="s">
        <v>2673</v>
      </c>
      <c r="T195" s="100" t="s">
        <v>2670</v>
      </c>
      <c r="U195" s="83">
        <f>IFERROR(VLOOKUP(L195,[4]Mitigation!B:D,2,FALSE),0)</f>
        <v>0</v>
      </c>
      <c r="V195" s="83">
        <f>IFERROR(VLOOKUP($L195,[4]Adaptation!B:D,2,FALSE),0)</f>
        <v>0</v>
      </c>
      <c r="W195" s="83">
        <f>+IFERROR(VLOOKUP($L195,[4]Water!B:D,2,0),0)</f>
        <v>0</v>
      </c>
      <c r="X195" s="83">
        <f>IFERROR(VLOOKUP($L195,'[4]Circ. Economy'!B:D,2,FALSE),0)</f>
        <v>0</v>
      </c>
      <c r="Y195" s="83">
        <f>IFERROR(VLOOKUP($L195,[4]Pollution!B:D,2,FALSE),0)</f>
        <v>0</v>
      </c>
      <c r="Z195" s="83">
        <f>IFERROR(VLOOKUP($L195,[4]Biodiversity!B:D,2,FALSE),0)</f>
        <v>0</v>
      </c>
      <c r="AA195" s="83">
        <f>IFERROR(VLOOKUP($L195,[4]Biodiversity!C:E,2,FALSE),0)</f>
        <v>0</v>
      </c>
      <c r="AB195" s="83">
        <v>3</v>
      </c>
      <c r="AC195" s="43"/>
    </row>
    <row r="196" spans="1:16382" s="2" customFormat="1" ht="18" customHeight="1">
      <c r="B196" s="175">
        <v>192</v>
      </c>
      <c r="C196" s="84" t="s">
        <v>1341</v>
      </c>
      <c r="D196" s="115" t="s">
        <v>2674</v>
      </c>
      <c r="E196" s="26">
        <v>4001</v>
      </c>
      <c r="F196" s="111" t="s">
        <v>2675</v>
      </c>
      <c r="G196" s="26" t="s">
        <v>1301</v>
      </c>
      <c r="H196" s="112" t="s">
        <v>1301</v>
      </c>
      <c r="I196" s="112"/>
      <c r="J196" s="112"/>
      <c r="K196" s="113"/>
      <c r="L196" s="113" t="s">
        <v>281</v>
      </c>
      <c r="M196" s="29" t="s">
        <v>30</v>
      </c>
      <c r="N196" s="99" t="s">
        <v>1410</v>
      </c>
      <c r="O196" s="99"/>
      <c r="P196" s="99" t="s">
        <v>1410</v>
      </c>
      <c r="Q196" s="99" t="s">
        <v>1410</v>
      </c>
      <c r="R196" s="116" t="s">
        <v>2676</v>
      </c>
      <c r="S196" s="114" t="s">
        <v>2677</v>
      </c>
      <c r="T196" s="100" t="s">
        <v>2678</v>
      </c>
      <c r="U196" s="83">
        <f>IFERROR(VLOOKUP(L196,[4]Mitigation!B:D,2,FALSE),0)</f>
        <v>0</v>
      </c>
      <c r="V196" s="83">
        <f>IFERROR(VLOOKUP($L196,[4]Adaptation!B:D,2,FALSE),0)</f>
        <v>0</v>
      </c>
      <c r="W196" s="83">
        <f>+IFERROR(VLOOKUP($L196,[4]Water!B:D,2,0),0)</f>
        <v>0</v>
      </c>
      <c r="X196" s="83">
        <f>IFERROR(VLOOKUP($L196,'[4]Circ. Economy'!B:D,2,FALSE),0)</f>
        <v>0</v>
      </c>
      <c r="Y196" s="83">
        <f>IFERROR(VLOOKUP($L196,[4]Pollution!B:D,2,FALSE),0)</f>
        <v>0</v>
      </c>
      <c r="Z196" s="83">
        <f>IFERROR(VLOOKUP($L196,[4]Biodiversity!B:D,2,FALSE),0)</f>
        <v>0</v>
      </c>
      <c r="AA196" s="83">
        <f>IFERROR(VLOOKUP($L196,[4]Biodiversity!C:E,2,FALSE),0)</f>
        <v>0</v>
      </c>
      <c r="AB196" s="83">
        <v>4</v>
      </c>
      <c r="AC196" s="43"/>
    </row>
    <row r="197" spans="1:16382" s="2" customFormat="1" ht="18" customHeight="1">
      <c r="B197" s="175">
        <v>193</v>
      </c>
      <c r="C197" s="84" t="s">
        <v>1341</v>
      </c>
      <c r="D197" s="115" t="s">
        <v>2674</v>
      </c>
      <c r="E197" s="26">
        <f>+VLOOKUP(F197,'[3]Codes &amp; Descr. SFICS25'!D:E,2,FALSE)</f>
        <v>4002</v>
      </c>
      <c r="F197" s="111" t="s">
        <v>2679</v>
      </c>
      <c r="G197" s="26" t="s">
        <v>1301</v>
      </c>
      <c r="H197" s="112" t="s">
        <v>1301</v>
      </c>
      <c r="I197" s="112"/>
      <c r="J197" s="112"/>
      <c r="K197" s="113" t="s">
        <v>1301</v>
      </c>
      <c r="L197" s="113" t="s">
        <v>281</v>
      </c>
      <c r="M197" s="29" t="s">
        <v>30</v>
      </c>
      <c r="N197" s="99" t="s">
        <v>1410</v>
      </c>
      <c r="O197" s="99"/>
      <c r="P197" s="99" t="s">
        <v>1410</v>
      </c>
      <c r="Q197" s="99" t="s">
        <v>1410</v>
      </c>
      <c r="R197" s="114" t="s">
        <v>2680</v>
      </c>
      <c r="S197" s="114" t="s">
        <v>2681</v>
      </c>
      <c r="T197" s="100" t="s">
        <v>2678</v>
      </c>
      <c r="U197" s="83">
        <f>IFERROR(VLOOKUP(L197,[4]Mitigation!B:D,2,FALSE),0)</f>
        <v>0</v>
      </c>
      <c r="V197" s="83">
        <f>IFERROR(VLOOKUP($L197,[4]Adaptation!B:D,2,FALSE),0)</f>
        <v>0</v>
      </c>
      <c r="W197" s="83">
        <f>+IFERROR(VLOOKUP($L197,[4]Water!B:D,2,0),0)</f>
        <v>0</v>
      </c>
      <c r="X197" s="83">
        <f>IFERROR(VLOOKUP($L197,'[4]Circ. Economy'!B:D,2,FALSE),0)</f>
        <v>0</v>
      </c>
      <c r="Y197" s="83">
        <f>IFERROR(VLOOKUP($L197,[4]Pollution!B:D,2,FALSE),0)</f>
        <v>0</v>
      </c>
      <c r="Z197" s="83">
        <f>IFERROR(VLOOKUP($L197,[4]Biodiversity!B:D,2,FALSE),0)</f>
        <v>0</v>
      </c>
      <c r="AA197" s="83">
        <f>IFERROR(VLOOKUP($L197,[4]Biodiversity!C:E,2,FALSE),0)</f>
        <v>0</v>
      </c>
      <c r="AB197" s="83">
        <v>5</v>
      </c>
      <c r="AC197" s="43"/>
    </row>
    <row r="198" spans="1:16382" s="2" customFormat="1" ht="140">
      <c r="A198" s="85"/>
      <c r="B198" s="175">
        <v>194</v>
      </c>
      <c r="C198" s="84" t="s">
        <v>1350</v>
      </c>
      <c r="D198" s="115" t="s">
        <v>2682</v>
      </c>
      <c r="E198" s="80">
        <v>4101</v>
      </c>
      <c r="F198" s="198" t="s">
        <v>2683</v>
      </c>
      <c r="G198" s="26" t="s">
        <v>1301</v>
      </c>
      <c r="H198" s="112" t="s">
        <v>1301</v>
      </c>
      <c r="I198" s="112"/>
      <c r="J198" s="112"/>
      <c r="K198" s="113" t="s">
        <v>1301</v>
      </c>
      <c r="L198" s="113" t="s">
        <v>281</v>
      </c>
      <c r="M198" s="29" t="s">
        <v>30</v>
      </c>
      <c r="N198" s="99" t="s">
        <v>1410</v>
      </c>
      <c r="O198" s="99"/>
      <c r="P198" s="99" t="s">
        <v>1410</v>
      </c>
      <c r="Q198" s="99" t="s">
        <v>1410</v>
      </c>
      <c r="R198" s="198" t="s">
        <v>2684</v>
      </c>
      <c r="S198" s="116" t="s">
        <v>2685</v>
      </c>
      <c r="T198" s="100" t="s">
        <v>2686</v>
      </c>
      <c r="U198" s="83">
        <f>IFERROR(VLOOKUP(L198,[4]Mitigation!B:D,2,FALSE),0)</f>
        <v>0</v>
      </c>
      <c r="V198" s="83">
        <f>IFERROR(VLOOKUP($L198,[4]Adaptation!B:D,2,FALSE),0)</f>
        <v>0</v>
      </c>
      <c r="W198" s="83">
        <f>+IFERROR(VLOOKUP($L198,[4]Water!B:D,2,0),0)</f>
        <v>0</v>
      </c>
      <c r="X198" s="83">
        <f>IFERROR(VLOOKUP($L198,'[4]Circ. Economy'!B:D,2,FALSE),0)</f>
        <v>0</v>
      </c>
      <c r="Y198" s="83">
        <f>IFERROR(VLOOKUP($L198,[4]Pollution!B:D,2,FALSE),0)</f>
        <v>0</v>
      </c>
      <c r="Z198" s="83">
        <f>IFERROR(VLOOKUP($L198,[4]Biodiversity!B:D,2,FALSE),0)</f>
        <v>0</v>
      </c>
      <c r="AA198" s="83">
        <f>IFERROR(VLOOKUP($L198,[4]Biodiversity!C:E,2,FALSE),0)</f>
        <v>0</v>
      </c>
      <c r="AB198" s="83">
        <v>1</v>
      </c>
      <c r="AC198" s="43"/>
    </row>
    <row r="199" spans="1:16382" s="2" customFormat="1" ht="18" customHeight="1">
      <c r="B199" s="175">
        <v>195</v>
      </c>
      <c r="C199" s="84" t="s">
        <v>1350</v>
      </c>
      <c r="D199" s="115" t="s">
        <v>2682</v>
      </c>
      <c r="E199" s="26">
        <f>+VLOOKUP(F199,'[3]Codes &amp; Descr. SFICS25'!D:E,2,FALSE)</f>
        <v>4102</v>
      </c>
      <c r="F199" s="111" t="s">
        <v>2687</v>
      </c>
      <c r="G199" s="26" t="s">
        <v>1301</v>
      </c>
      <c r="H199" s="112" t="s">
        <v>1301</v>
      </c>
      <c r="I199" s="112"/>
      <c r="J199" s="112"/>
      <c r="K199" s="113" t="s">
        <v>1301</v>
      </c>
      <c r="L199" s="113" t="s">
        <v>281</v>
      </c>
      <c r="M199" s="29" t="s">
        <v>30</v>
      </c>
      <c r="N199" s="99" t="s">
        <v>1410</v>
      </c>
      <c r="O199" s="99"/>
      <c r="P199" s="99" t="s">
        <v>1410</v>
      </c>
      <c r="Q199" s="99" t="s">
        <v>1410</v>
      </c>
      <c r="R199" s="116" t="s">
        <v>2688</v>
      </c>
      <c r="S199" s="114" t="s">
        <v>2685</v>
      </c>
      <c r="T199" s="100" t="s">
        <v>2686</v>
      </c>
      <c r="U199" s="83">
        <f>IFERROR(VLOOKUP(L199,[4]Mitigation!B:D,2,FALSE),0)</f>
        <v>0</v>
      </c>
      <c r="V199" s="83">
        <f>IFERROR(VLOOKUP($L199,[4]Adaptation!B:D,2,FALSE),0)</f>
        <v>0</v>
      </c>
      <c r="W199" s="83">
        <f>+IFERROR(VLOOKUP($L199,[4]Water!B:D,2,0),0)</f>
        <v>0</v>
      </c>
      <c r="X199" s="83">
        <f>IFERROR(VLOOKUP($L199,'[4]Circ. Economy'!B:D,2,FALSE),0)</f>
        <v>0</v>
      </c>
      <c r="Y199" s="83">
        <f>IFERROR(VLOOKUP($L199,[4]Pollution!B:D,2,FALSE),0)</f>
        <v>0</v>
      </c>
      <c r="Z199" s="83">
        <f>IFERROR(VLOOKUP($L199,[4]Biodiversity!B:D,2,FALSE),0)</f>
        <v>0</v>
      </c>
      <c r="AA199" s="83">
        <f>IFERROR(VLOOKUP($L199,[4]Biodiversity!C:E,2,FALSE),0)</f>
        <v>0</v>
      </c>
      <c r="AB199" s="83">
        <v>2</v>
      </c>
      <c r="AC199" s="43"/>
    </row>
    <row r="200" spans="1:16382" s="2" customFormat="1" ht="18" customHeight="1">
      <c r="B200" s="175">
        <v>196</v>
      </c>
      <c r="C200" s="84" t="s">
        <v>1358</v>
      </c>
      <c r="D200" s="115" t="s">
        <v>2539</v>
      </c>
      <c r="E200" s="26">
        <f>+VLOOKUP(F200,'[3]Codes &amp; Descr. SFICS25'!D:E,2,FALSE)</f>
        <v>4201</v>
      </c>
      <c r="F200" s="111" t="s">
        <v>2689</v>
      </c>
      <c r="G200" s="26" t="s">
        <v>1301</v>
      </c>
      <c r="H200" s="112" t="s">
        <v>1301</v>
      </c>
      <c r="I200" s="112"/>
      <c r="J200" s="112"/>
      <c r="K200" s="113" t="s">
        <v>1301</v>
      </c>
      <c r="L200" s="113" t="s">
        <v>281</v>
      </c>
      <c r="M200" s="29" t="s">
        <v>30</v>
      </c>
      <c r="N200" s="99" t="s">
        <v>1410</v>
      </c>
      <c r="O200" s="99"/>
      <c r="P200" s="99" t="s">
        <v>1410</v>
      </c>
      <c r="Q200" s="99" t="s">
        <v>1410</v>
      </c>
      <c r="R200" s="114" t="s">
        <v>2659</v>
      </c>
      <c r="S200" s="114" t="s">
        <v>2690</v>
      </c>
      <c r="T200" s="100" t="s">
        <v>2691</v>
      </c>
      <c r="U200" s="83">
        <f>IFERROR(VLOOKUP(L200,[4]Mitigation!B:D,2,FALSE),0)</f>
        <v>0</v>
      </c>
      <c r="V200" s="83">
        <f>IFERROR(VLOOKUP($L200,[4]Adaptation!B:D,2,FALSE),0)</f>
        <v>0</v>
      </c>
      <c r="W200" s="83">
        <f>+IFERROR(VLOOKUP($L200,[4]Water!B:D,2,0),0)</f>
        <v>0</v>
      </c>
      <c r="X200" s="83">
        <f>IFERROR(VLOOKUP($L200,'[4]Circ. Economy'!B:D,2,FALSE),0)</f>
        <v>0</v>
      </c>
      <c r="Y200" s="83">
        <f>IFERROR(VLOOKUP($L200,[4]Pollution!B:D,2,FALSE),0)</f>
        <v>0</v>
      </c>
      <c r="Z200" s="83">
        <f>IFERROR(VLOOKUP($L200,[4]Biodiversity!B:D,2,FALSE),0)</f>
        <v>0</v>
      </c>
      <c r="AA200" s="83">
        <f>IFERROR(VLOOKUP($L200,[4]Biodiversity!C:E,2,FALSE),0)</f>
        <v>0</v>
      </c>
      <c r="AB200" s="83">
        <v>1</v>
      </c>
      <c r="AC200" s="43"/>
    </row>
    <row r="201" spans="1:16382" s="2" customFormat="1" ht="18" customHeight="1">
      <c r="B201" s="175">
        <v>197</v>
      </c>
      <c r="C201" s="84" t="s">
        <v>1364</v>
      </c>
      <c r="D201" s="115" t="s">
        <v>2692</v>
      </c>
      <c r="E201" s="26">
        <f>+VLOOKUP(F201,'[3]Codes &amp; Descr. SFICS25'!D:E,2,FALSE)</f>
        <v>4301</v>
      </c>
      <c r="F201" s="111" t="s">
        <v>2693</v>
      </c>
      <c r="G201" s="26" t="s">
        <v>1301</v>
      </c>
      <c r="H201" s="112" t="s">
        <v>1301</v>
      </c>
      <c r="I201" s="112"/>
      <c r="J201" s="112"/>
      <c r="K201" s="113" t="s">
        <v>1301</v>
      </c>
      <c r="L201" s="113" t="s">
        <v>281</v>
      </c>
      <c r="M201" s="29" t="s">
        <v>30</v>
      </c>
      <c r="N201" s="99" t="s">
        <v>1410</v>
      </c>
      <c r="O201" s="99"/>
      <c r="P201" s="99" t="s">
        <v>1410</v>
      </c>
      <c r="Q201" s="99" t="s">
        <v>1410</v>
      </c>
      <c r="R201" s="114" t="s">
        <v>2694</v>
      </c>
      <c r="S201" s="114" t="s">
        <v>2695</v>
      </c>
      <c r="T201" s="100" t="s">
        <v>2696</v>
      </c>
      <c r="U201" s="83">
        <f>IFERROR(VLOOKUP(L201,[4]Mitigation!B:D,2,FALSE),0)</f>
        <v>0</v>
      </c>
      <c r="V201" s="83">
        <f>IFERROR(VLOOKUP($L201,[4]Adaptation!B:D,2,FALSE),0)</f>
        <v>0</v>
      </c>
      <c r="W201" s="83">
        <f>+IFERROR(VLOOKUP($L201,[4]Water!B:D,2,0),0)</f>
        <v>0</v>
      </c>
      <c r="X201" s="83">
        <f>IFERROR(VLOOKUP($L201,'[4]Circ. Economy'!B:D,2,FALSE),0)</f>
        <v>0</v>
      </c>
      <c r="Y201" s="83">
        <f>IFERROR(VLOOKUP($L201,[4]Pollution!B:D,2,FALSE),0)</f>
        <v>0</v>
      </c>
      <c r="Z201" s="83">
        <f>IFERROR(VLOOKUP($L201,[4]Biodiversity!B:D,2,FALSE),0)</f>
        <v>0</v>
      </c>
      <c r="AA201" s="83">
        <f>IFERROR(VLOOKUP($L201,[4]Biodiversity!C:E,2,FALSE),0)</f>
        <v>0</v>
      </c>
      <c r="AB201" s="83">
        <v>1</v>
      </c>
      <c r="AC201" s="43"/>
    </row>
    <row r="202" spans="1:16382" s="2" customFormat="1" ht="18" customHeight="1">
      <c r="B202" s="175">
        <v>198</v>
      </c>
      <c r="C202" s="84" t="s">
        <v>1370</v>
      </c>
      <c r="D202" s="115" t="s">
        <v>2697</v>
      </c>
      <c r="E202" s="26">
        <f>+VLOOKUP(F202,'[3]Codes &amp; Descr. SFICS25'!D:E,2,FALSE)</f>
        <v>4401</v>
      </c>
      <c r="F202" s="111" t="s">
        <v>2698</v>
      </c>
      <c r="G202" s="26" t="s">
        <v>1301</v>
      </c>
      <c r="H202" s="112" t="s">
        <v>1301</v>
      </c>
      <c r="I202" s="112"/>
      <c r="J202" s="112"/>
      <c r="K202" s="113"/>
      <c r="L202" s="113"/>
      <c r="M202" s="29" t="s">
        <v>30</v>
      </c>
      <c r="N202" s="99" t="s">
        <v>1410</v>
      </c>
      <c r="O202" s="99"/>
      <c r="P202" s="99" t="s">
        <v>1410</v>
      </c>
      <c r="Q202" s="99" t="s">
        <v>1410</v>
      </c>
      <c r="R202" s="117" t="s">
        <v>2697</v>
      </c>
      <c r="S202" s="117" t="s">
        <v>2699</v>
      </c>
      <c r="T202" s="118" t="s">
        <v>2700</v>
      </c>
      <c r="U202" s="83">
        <f>IFERROR(VLOOKUP(L202,[4]Mitigation!B:D,2,FALSE),0)</f>
        <v>0</v>
      </c>
      <c r="V202" s="83">
        <f>IFERROR(VLOOKUP($L202,[4]Adaptation!B:D,2,FALSE),0)</f>
        <v>0</v>
      </c>
      <c r="W202" s="83">
        <f>+IFERROR(VLOOKUP($L202,[4]Water!B:D,2,0),0)</f>
        <v>0</v>
      </c>
      <c r="X202" s="83">
        <f>IFERROR(VLOOKUP($L202,'[4]Circ. Economy'!B:D,2,FALSE),0)</f>
        <v>0</v>
      </c>
      <c r="Y202" s="83">
        <f>IFERROR(VLOOKUP($L202,[4]Pollution!B:D,2,FALSE),0)</f>
        <v>0</v>
      </c>
      <c r="Z202" s="83">
        <f>IFERROR(VLOOKUP($L202,[4]Biodiversity!B:D,2,FALSE),0)</f>
        <v>0</v>
      </c>
      <c r="AA202" s="83">
        <f>IFERROR(VLOOKUP($L202,[4]Biodiversity!C:E,2,FALSE),0)</f>
        <v>0</v>
      </c>
      <c r="AB202" s="83">
        <v>1</v>
      </c>
      <c r="AC202" s="43"/>
    </row>
    <row r="203" spans="1:16382" ht="72" customHeight="1">
      <c r="A203" s="85"/>
      <c r="B203" s="175">
        <v>199</v>
      </c>
      <c r="C203" s="86" t="s">
        <v>1375</v>
      </c>
      <c r="D203" s="66" t="s">
        <v>2701</v>
      </c>
      <c r="E203" s="66">
        <v>4501</v>
      </c>
      <c r="F203" s="87" t="s">
        <v>2702</v>
      </c>
      <c r="G203" s="119" t="s">
        <v>1301</v>
      </c>
      <c r="H203" s="81" t="s">
        <v>1301</v>
      </c>
      <c r="I203" s="81"/>
      <c r="J203" s="81"/>
      <c r="K203" s="82"/>
      <c r="L203" s="30"/>
      <c r="M203" s="29" t="s">
        <v>30</v>
      </c>
      <c r="N203" s="99" t="s">
        <v>1410</v>
      </c>
      <c r="O203" s="30"/>
      <c r="P203" s="99" t="s">
        <v>1410</v>
      </c>
      <c r="Q203" s="99" t="s">
        <v>1410</v>
      </c>
      <c r="R203" s="114" t="s">
        <v>2703</v>
      </c>
      <c r="S203" s="114" t="s">
        <v>2704</v>
      </c>
      <c r="T203" s="100" t="s">
        <v>2705</v>
      </c>
      <c r="U203" s="83">
        <f>IFERROR(VLOOKUP(M203,[2]Mitigation!C:E,2,FALSE),0)</f>
        <v>0</v>
      </c>
      <c r="V203" s="83">
        <f>IFERROR(VLOOKUP($L203,[2]Adaptation!C:E,2,FALSE),0)</f>
        <v>0</v>
      </c>
      <c r="W203" s="83">
        <f>+IFERROR(VLOOKUP($L203,[2]Water!C:E,2,0),0)</f>
        <v>0</v>
      </c>
      <c r="X203" s="83">
        <f>IFERROR(VLOOKUP($L203,'[2]Circ. Economy'!C:E,2,FALSE),0)</f>
        <v>0</v>
      </c>
      <c r="Y203" s="83">
        <f>IFERROR(VLOOKUP($L203,[2]Pollution!C:E,2,FALSE),0)</f>
        <v>0</v>
      </c>
      <c r="Z203" s="83">
        <f>IFERROR(VLOOKUP($L203,[2]Biodiversity!C:E,2,FALSE),0)</f>
        <v>0</v>
      </c>
      <c r="AA203" s="83">
        <f>IFERROR(VLOOKUP($L203,[2]Biodiversity!D:F,2,FALSE),0)</f>
        <v>0</v>
      </c>
      <c r="AB203" s="83">
        <v>1</v>
      </c>
      <c r="AC203" s="2"/>
      <c r="AD203" s="2"/>
      <c r="AE203" s="2"/>
      <c r="AF203" s="2"/>
      <c r="AG203" s="2"/>
      <c r="AH203" s="2"/>
      <c r="AI203" s="2"/>
      <c r="AJ203" s="2"/>
      <c r="AK203" s="2"/>
      <c r="AL203" s="2"/>
      <c r="AM203" s="2"/>
      <c r="AN203" s="2"/>
      <c r="AO203" s="2"/>
      <c r="AP203" s="2"/>
      <c r="AQ203" s="2"/>
      <c r="AR203" s="2"/>
      <c r="AS203" s="2"/>
      <c r="AT203" s="2"/>
      <c r="AU203" s="2"/>
      <c r="AV203" s="2"/>
      <c r="AW203" s="2"/>
      <c r="AX203" s="2"/>
      <c r="AY203" s="2"/>
      <c r="AZ203" s="2"/>
      <c r="BA203" s="2"/>
      <c r="BB203" s="2"/>
      <c r="BC203" s="2"/>
      <c r="BD203" s="2"/>
      <c r="BE203" s="2"/>
      <c r="BF203" s="2"/>
      <c r="BG203" s="2"/>
      <c r="BH203" s="2"/>
      <c r="BI203" s="2"/>
      <c r="BJ203" s="2"/>
      <c r="BK203" s="2"/>
      <c r="BL203" s="2"/>
      <c r="BM203" s="2"/>
      <c r="BN203" s="2"/>
      <c r="BO203" s="2"/>
      <c r="BP203" s="2"/>
      <c r="BQ203" s="2"/>
      <c r="BR203" s="2"/>
      <c r="BS203" s="2"/>
      <c r="BT203" s="2"/>
      <c r="BU203" s="2"/>
      <c r="BV203" s="2"/>
      <c r="BW203" s="2"/>
      <c r="BX203" s="2"/>
      <c r="BY203" s="2"/>
      <c r="BZ203" s="2"/>
      <c r="CA203" s="2"/>
      <c r="CB203" s="2"/>
      <c r="CC203" s="2"/>
      <c r="CD203" s="2"/>
      <c r="CE203" s="2"/>
      <c r="CF203" s="2"/>
      <c r="CG203" s="2"/>
      <c r="CH203" s="2"/>
      <c r="CI203" s="2"/>
      <c r="CJ203" s="2"/>
      <c r="CK203" s="2"/>
      <c r="CL203" s="2"/>
      <c r="CM203" s="2"/>
      <c r="CN203" s="2"/>
      <c r="CO203" s="2"/>
      <c r="CP203" s="2"/>
      <c r="CQ203" s="2"/>
      <c r="CR203" s="2"/>
      <c r="CS203" s="2"/>
      <c r="CT203" s="2"/>
      <c r="CU203" s="2"/>
      <c r="CV203" s="2"/>
      <c r="CW203" s="2"/>
      <c r="CX203" s="2"/>
      <c r="CY203" s="2"/>
      <c r="CZ203" s="2"/>
      <c r="DA203" s="2"/>
      <c r="DB203" s="2"/>
      <c r="DC203" s="2"/>
      <c r="DD203" s="2"/>
      <c r="DE203" s="2"/>
      <c r="DF203" s="2"/>
      <c r="DG203" s="2"/>
      <c r="DH203" s="2"/>
      <c r="DI203" s="2"/>
      <c r="DJ203" s="2"/>
      <c r="DK203" s="2"/>
      <c r="DL203" s="2"/>
      <c r="DM203" s="2"/>
      <c r="DN203" s="2"/>
      <c r="DO203" s="2"/>
      <c r="DP203" s="2"/>
      <c r="DQ203" s="2"/>
      <c r="DR203" s="2"/>
      <c r="DS203" s="2"/>
      <c r="DT203" s="2"/>
      <c r="DU203" s="2"/>
      <c r="DV203" s="2"/>
      <c r="DW203" s="2"/>
      <c r="DX203" s="2"/>
      <c r="DY203" s="2"/>
      <c r="DZ203" s="2"/>
      <c r="EA203" s="2"/>
      <c r="EB203" s="2"/>
      <c r="EC203" s="2"/>
      <c r="ED203" s="2"/>
      <c r="EE203" s="2"/>
      <c r="EF203" s="2"/>
      <c r="EG203" s="2"/>
      <c r="EH203" s="2"/>
      <c r="EI203" s="2"/>
      <c r="EJ203" s="2"/>
      <c r="EK203" s="2"/>
      <c r="EL203" s="2"/>
      <c r="EM203" s="2"/>
      <c r="EN203" s="2"/>
      <c r="EO203" s="2"/>
      <c r="EP203" s="2"/>
      <c r="EQ203" s="2"/>
      <c r="ER203" s="2"/>
      <c r="ES203" s="2"/>
      <c r="ET203" s="2"/>
      <c r="EU203" s="2"/>
      <c r="EV203" s="2"/>
      <c r="EW203" s="2"/>
      <c r="EX203" s="2"/>
      <c r="EY203" s="2"/>
      <c r="EZ203" s="2"/>
      <c r="FA203" s="2"/>
      <c r="FB203" s="2"/>
      <c r="FC203" s="2"/>
      <c r="FD203" s="2"/>
      <c r="FE203" s="2"/>
      <c r="FF203" s="2"/>
      <c r="FG203" s="2"/>
      <c r="FH203" s="2"/>
      <c r="FI203" s="2"/>
      <c r="FJ203" s="2"/>
      <c r="FK203" s="2"/>
      <c r="FL203" s="2"/>
      <c r="FM203" s="2"/>
      <c r="FN203" s="2"/>
      <c r="FO203" s="2"/>
      <c r="FP203" s="2"/>
      <c r="FQ203" s="2"/>
      <c r="FR203" s="2"/>
      <c r="FS203" s="2"/>
      <c r="FT203" s="2"/>
      <c r="FU203" s="2"/>
      <c r="FV203" s="2"/>
      <c r="FW203" s="2"/>
      <c r="FX203" s="2"/>
      <c r="FY203" s="2"/>
      <c r="FZ203" s="2"/>
      <c r="GA203" s="2"/>
      <c r="GB203" s="2"/>
      <c r="GC203" s="2"/>
      <c r="GD203" s="2"/>
      <c r="GE203" s="2"/>
      <c r="GF203" s="2"/>
      <c r="GG203" s="2"/>
      <c r="GH203" s="2"/>
      <c r="GI203" s="2"/>
      <c r="GJ203" s="2"/>
      <c r="GK203" s="2"/>
      <c r="GL203" s="2"/>
      <c r="GM203" s="2"/>
      <c r="GN203" s="2"/>
      <c r="GO203" s="2"/>
      <c r="GP203" s="2"/>
      <c r="GQ203" s="2"/>
      <c r="GR203" s="2"/>
      <c r="GS203" s="2"/>
      <c r="GT203" s="2"/>
      <c r="GU203" s="2"/>
      <c r="GV203" s="2"/>
      <c r="GW203" s="2"/>
      <c r="GX203" s="2"/>
      <c r="GY203" s="2"/>
      <c r="GZ203" s="2"/>
      <c r="HA203" s="2"/>
      <c r="HB203" s="2"/>
      <c r="HC203" s="2"/>
      <c r="HD203" s="2"/>
      <c r="HE203" s="2"/>
      <c r="HF203" s="2"/>
      <c r="HG203" s="2"/>
      <c r="HH203" s="2"/>
      <c r="HI203" s="2"/>
      <c r="HJ203" s="2"/>
      <c r="HK203" s="2"/>
      <c r="HL203" s="2"/>
      <c r="HM203" s="2"/>
      <c r="HN203" s="2"/>
      <c r="HO203" s="2"/>
      <c r="HP203" s="2"/>
      <c r="HQ203" s="2"/>
      <c r="HR203" s="2"/>
      <c r="HS203" s="2"/>
      <c r="HT203" s="2"/>
      <c r="HU203" s="2"/>
      <c r="HV203" s="2"/>
      <c r="HW203" s="2"/>
      <c r="HX203" s="2"/>
      <c r="HY203" s="2"/>
      <c r="HZ203" s="2"/>
      <c r="IA203" s="2"/>
      <c r="IB203" s="2"/>
      <c r="IC203" s="2"/>
      <c r="ID203" s="2"/>
      <c r="IE203" s="2"/>
      <c r="IF203" s="2"/>
      <c r="IG203" s="2"/>
      <c r="IH203" s="2"/>
      <c r="II203" s="2"/>
      <c r="IJ203" s="2"/>
      <c r="IK203" s="2"/>
      <c r="IL203" s="2"/>
      <c r="IM203" s="2"/>
      <c r="IN203" s="2"/>
      <c r="IO203" s="2"/>
      <c r="IP203" s="2"/>
      <c r="IQ203" s="2"/>
      <c r="IR203" s="2"/>
      <c r="IS203" s="2"/>
      <c r="IT203" s="2"/>
      <c r="IU203" s="2"/>
      <c r="IV203" s="2"/>
      <c r="IW203" s="2"/>
      <c r="IX203" s="2"/>
      <c r="IY203" s="2"/>
      <c r="IZ203" s="2"/>
      <c r="JA203" s="2"/>
      <c r="JB203" s="2"/>
      <c r="JC203" s="2"/>
      <c r="JD203" s="2"/>
      <c r="JE203" s="2"/>
      <c r="JF203" s="2"/>
      <c r="JG203" s="2"/>
      <c r="JH203" s="2"/>
      <c r="JI203" s="2"/>
      <c r="JJ203" s="2"/>
      <c r="JK203" s="2"/>
      <c r="JL203" s="2"/>
      <c r="JM203" s="2"/>
      <c r="JN203" s="2"/>
      <c r="JO203" s="2"/>
      <c r="JP203" s="2"/>
      <c r="JQ203" s="2"/>
      <c r="JR203" s="2"/>
      <c r="JS203" s="2"/>
      <c r="JT203" s="2"/>
      <c r="JU203" s="2"/>
      <c r="JV203" s="2"/>
      <c r="JW203" s="2"/>
      <c r="JX203" s="2"/>
      <c r="JY203" s="2"/>
      <c r="JZ203" s="2"/>
      <c r="KA203" s="2"/>
      <c r="KB203" s="2"/>
      <c r="KC203" s="2"/>
      <c r="KD203" s="2"/>
      <c r="KE203" s="2"/>
      <c r="KF203" s="2"/>
      <c r="KG203" s="2"/>
      <c r="KH203" s="2"/>
      <c r="KI203" s="2"/>
      <c r="KJ203" s="2"/>
      <c r="KK203" s="2"/>
      <c r="KL203" s="2"/>
      <c r="KM203" s="2"/>
      <c r="KN203" s="2"/>
      <c r="KO203" s="2"/>
      <c r="KP203" s="2"/>
      <c r="KQ203" s="2"/>
      <c r="KR203" s="2"/>
      <c r="KS203" s="2"/>
      <c r="KT203" s="2"/>
      <c r="KU203" s="2"/>
      <c r="KV203" s="2"/>
      <c r="KW203" s="2"/>
      <c r="KX203" s="2"/>
      <c r="KY203" s="2"/>
      <c r="KZ203" s="2"/>
      <c r="LA203" s="2"/>
      <c r="LB203" s="2"/>
      <c r="LC203" s="2"/>
      <c r="LD203" s="2"/>
      <c r="LE203" s="2"/>
      <c r="LF203" s="2"/>
      <c r="LG203" s="2"/>
      <c r="LH203" s="2"/>
      <c r="LI203" s="2"/>
      <c r="LJ203" s="2"/>
      <c r="LK203" s="2"/>
      <c r="LL203" s="2"/>
      <c r="LM203" s="2"/>
      <c r="LN203" s="2"/>
      <c r="LO203" s="2"/>
      <c r="LP203" s="2"/>
      <c r="LQ203" s="2"/>
      <c r="LR203" s="2"/>
      <c r="LS203" s="2"/>
      <c r="LT203" s="2"/>
      <c r="LU203" s="2"/>
      <c r="LV203" s="2"/>
      <c r="LW203" s="2"/>
      <c r="LX203" s="2"/>
      <c r="LY203" s="2"/>
      <c r="LZ203" s="2"/>
      <c r="MA203" s="2"/>
      <c r="MB203" s="2"/>
      <c r="MC203" s="2"/>
      <c r="MD203" s="2"/>
      <c r="ME203" s="2"/>
      <c r="MF203" s="2"/>
      <c r="MG203" s="2"/>
      <c r="MH203" s="2"/>
      <c r="MI203" s="2"/>
      <c r="MJ203" s="2"/>
      <c r="MK203" s="2"/>
      <c r="ML203" s="2"/>
      <c r="MM203" s="2"/>
      <c r="MN203" s="2"/>
      <c r="MO203" s="2"/>
      <c r="MP203" s="2"/>
      <c r="MQ203" s="2"/>
      <c r="MR203" s="2"/>
      <c r="MS203" s="2"/>
      <c r="MT203" s="2"/>
      <c r="MU203" s="2"/>
      <c r="MV203" s="2"/>
      <c r="MW203" s="2"/>
      <c r="MX203" s="2"/>
      <c r="MY203" s="2"/>
      <c r="MZ203" s="2"/>
      <c r="NA203" s="2"/>
      <c r="NB203" s="2"/>
      <c r="NC203" s="2"/>
      <c r="ND203" s="2"/>
      <c r="NE203" s="2"/>
      <c r="NF203" s="2"/>
      <c r="NG203" s="2"/>
      <c r="NH203" s="2"/>
      <c r="NI203" s="2"/>
      <c r="NJ203" s="2"/>
      <c r="NK203" s="2"/>
      <c r="NL203" s="2"/>
      <c r="NM203" s="2"/>
      <c r="NN203" s="2"/>
      <c r="NO203" s="2"/>
      <c r="NP203" s="2"/>
      <c r="NQ203" s="2"/>
      <c r="NR203" s="2"/>
      <c r="NS203" s="2"/>
      <c r="NT203" s="2"/>
      <c r="NU203" s="2"/>
      <c r="NV203" s="2"/>
      <c r="NW203" s="2"/>
      <c r="NX203" s="2"/>
      <c r="NY203" s="2"/>
      <c r="NZ203" s="2"/>
      <c r="OA203" s="2"/>
      <c r="OB203" s="2"/>
      <c r="OC203" s="2"/>
      <c r="OD203" s="2"/>
      <c r="OE203" s="2"/>
      <c r="OF203" s="2"/>
      <c r="OG203" s="2"/>
      <c r="OH203" s="2"/>
      <c r="OI203" s="2"/>
      <c r="OJ203" s="2"/>
      <c r="OK203" s="2"/>
      <c r="OL203" s="2"/>
      <c r="OM203" s="2"/>
      <c r="ON203" s="2"/>
      <c r="OO203" s="2"/>
      <c r="OP203" s="2"/>
      <c r="OQ203" s="2"/>
      <c r="OR203" s="2"/>
      <c r="OS203" s="2"/>
      <c r="OT203" s="2"/>
      <c r="OU203" s="2"/>
      <c r="OV203" s="2"/>
      <c r="OW203" s="2"/>
      <c r="OX203" s="2"/>
      <c r="OY203" s="2"/>
      <c r="OZ203" s="2"/>
      <c r="PA203" s="2"/>
      <c r="PB203" s="2"/>
      <c r="PC203" s="2"/>
      <c r="PD203" s="2"/>
      <c r="PE203" s="2"/>
      <c r="PF203" s="2"/>
      <c r="PG203" s="2"/>
      <c r="PH203" s="2"/>
      <c r="PI203" s="2"/>
      <c r="PJ203" s="2"/>
      <c r="PK203" s="2"/>
      <c r="PL203" s="2"/>
      <c r="PM203" s="2"/>
      <c r="PN203" s="2"/>
      <c r="PO203" s="2"/>
      <c r="PP203" s="2"/>
      <c r="PQ203" s="2"/>
      <c r="PR203" s="2"/>
      <c r="PS203" s="2"/>
      <c r="PT203" s="2"/>
      <c r="PU203" s="2"/>
      <c r="PV203" s="2"/>
      <c r="PW203" s="2"/>
      <c r="PX203" s="2"/>
      <c r="PY203" s="2"/>
      <c r="PZ203" s="2"/>
      <c r="QA203" s="2"/>
      <c r="QB203" s="2"/>
      <c r="QC203" s="2"/>
      <c r="QD203" s="2"/>
      <c r="QE203" s="2"/>
      <c r="QF203" s="2"/>
      <c r="QG203" s="2"/>
      <c r="QH203" s="2"/>
      <c r="QI203" s="2"/>
      <c r="QJ203" s="2"/>
      <c r="QK203" s="2"/>
      <c r="QL203" s="2"/>
      <c r="QM203" s="2"/>
      <c r="QN203" s="2"/>
      <c r="QO203" s="2"/>
      <c r="QP203" s="2"/>
      <c r="QQ203" s="2"/>
      <c r="QR203" s="2"/>
      <c r="QS203" s="2"/>
      <c r="QT203" s="2"/>
      <c r="QU203" s="2"/>
      <c r="QV203" s="2"/>
      <c r="QW203" s="2"/>
      <c r="QX203" s="2"/>
      <c r="QY203" s="2"/>
      <c r="QZ203" s="2"/>
      <c r="RA203" s="2"/>
      <c r="RB203" s="2"/>
      <c r="RC203" s="2"/>
      <c r="RD203" s="2"/>
      <c r="RE203" s="2"/>
      <c r="RF203" s="2"/>
      <c r="RG203" s="2"/>
      <c r="RH203" s="2"/>
      <c r="RI203" s="2"/>
      <c r="RJ203" s="2"/>
      <c r="RK203" s="2"/>
      <c r="RL203" s="2"/>
      <c r="RM203" s="2"/>
      <c r="RN203" s="2"/>
      <c r="RO203" s="2"/>
      <c r="RP203" s="2"/>
      <c r="RQ203" s="2"/>
      <c r="RR203" s="2"/>
      <c r="RS203" s="2"/>
      <c r="RT203" s="2"/>
      <c r="RU203" s="2"/>
      <c r="RV203" s="2"/>
      <c r="RW203" s="2"/>
      <c r="RX203" s="2"/>
      <c r="RY203" s="2"/>
      <c r="RZ203" s="2"/>
      <c r="SA203" s="2"/>
      <c r="SB203" s="2"/>
      <c r="SC203" s="2"/>
      <c r="SD203" s="2"/>
      <c r="SE203" s="2"/>
      <c r="SF203" s="2"/>
      <c r="SG203" s="2"/>
      <c r="SH203" s="2"/>
      <c r="SI203" s="2"/>
      <c r="SJ203" s="2"/>
      <c r="SK203" s="2"/>
      <c r="SL203" s="2"/>
      <c r="SM203" s="2"/>
      <c r="SN203" s="2"/>
      <c r="SO203" s="2"/>
      <c r="SP203" s="2"/>
      <c r="SQ203" s="2"/>
      <c r="SR203" s="2"/>
      <c r="SS203" s="2"/>
      <c r="ST203" s="2"/>
      <c r="SU203" s="2"/>
      <c r="SV203" s="2"/>
      <c r="SW203" s="2"/>
      <c r="SX203" s="2"/>
      <c r="SY203" s="2"/>
      <c r="SZ203" s="2"/>
      <c r="TA203" s="2"/>
      <c r="TB203" s="2"/>
      <c r="TC203" s="2"/>
      <c r="TD203" s="2"/>
      <c r="TE203" s="2"/>
      <c r="TF203" s="2"/>
      <c r="TG203" s="2"/>
      <c r="TH203" s="2"/>
      <c r="TI203" s="2"/>
      <c r="TJ203" s="2"/>
      <c r="TK203" s="2"/>
      <c r="TL203" s="2"/>
      <c r="TM203" s="2"/>
      <c r="TN203" s="2"/>
      <c r="TO203" s="2"/>
      <c r="TP203" s="2"/>
      <c r="TQ203" s="2"/>
      <c r="TR203" s="2"/>
      <c r="TS203" s="2"/>
      <c r="TT203" s="2"/>
      <c r="TU203" s="2"/>
      <c r="TV203" s="2"/>
      <c r="TW203" s="2"/>
      <c r="TX203" s="2"/>
      <c r="TY203" s="2"/>
      <c r="TZ203" s="2"/>
      <c r="UA203" s="2"/>
      <c r="UB203" s="2"/>
      <c r="UC203" s="2"/>
      <c r="UD203" s="2"/>
      <c r="UE203" s="2"/>
      <c r="UF203" s="2"/>
      <c r="UG203" s="2"/>
      <c r="UH203" s="2"/>
      <c r="UI203" s="2"/>
      <c r="UJ203" s="2"/>
      <c r="UK203" s="2"/>
      <c r="UL203" s="2"/>
      <c r="UM203" s="2"/>
      <c r="UN203" s="2"/>
      <c r="UO203" s="2"/>
      <c r="UP203" s="2"/>
      <c r="UQ203" s="2"/>
      <c r="UR203" s="2"/>
      <c r="US203" s="2"/>
      <c r="UT203" s="2"/>
      <c r="UU203" s="2"/>
      <c r="UV203" s="2"/>
      <c r="UW203" s="2"/>
      <c r="UX203" s="2"/>
      <c r="UY203" s="2"/>
      <c r="UZ203" s="2"/>
      <c r="VA203" s="2"/>
      <c r="VB203" s="2"/>
      <c r="VC203" s="2"/>
      <c r="VD203" s="2"/>
      <c r="VE203" s="2"/>
      <c r="VF203" s="2"/>
      <c r="VG203" s="2"/>
      <c r="VH203" s="2"/>
      <c r="VI203" s="2"/>
      <c r="VJ203" s="2"/>
      <c r="VK203" s="2"/>
      <c r="VL203" s="2"/>
      <c r="VM203" s="2"/>
      <c r="VN203" s="2"/>
      <c r="VO203" s="2"/>
      <c r="VP203" s="2"/>
      <c r="VQ203" s="2"/>
      <c r="VR203" s="2"/>
      <c r="VS203" s="2"/>
      <c r="VT203" s="2"/>
      <c r="VU203" s="2"/>
      <c r="VV203" s="2"/>
      <c r="VW203" s="2"/>
      <c r="VX203" s="2"/>
      <c r="VY203" s="2"/>
      <c r="VZ203" s="2"/>
      <c r="WA203" s="2"/>
      <c r="WB203" s="2"/>
      <c r="WC203" s="2"/>
      <c r="WD203" s="2"/>
      <c r="WE203" s="2"/>
      <c r="WF203" s="2"/>
      <c r="WG203" s="2"/>
      <c r="WH203" s="2"/>
      <c r="WI203" s="2"/>
      <c r="WJ203" s="2"/>
      <c r="WK203" s="2"/>
      <c r="WL203" s="2"/>
      <c r="WM203" s="2"/>
      <c r="WN203" s="2"/>
      <c r="WO203" s="2"/>
      <c r="WP203" s="2"/>
      <c r="WQ203" s="2"/>
      <c r="WR203" s="2"/>
      <c r="WS203" s="2"/>
      <c r="WT203" s="2"/>
      <c r="WU203" s="2"/>
      <c r="WV203" s="2"/>
      <c r="WW203" s="2"/>
      <c r="WX203" s="2"/>
      <c r="WY203" s="2"/>
      <c r="WZ203" s="2"/>
      <c r="XA203" s="2"/>
      <c r="XB203" s="2"/>
      <c r="XC203" s="2"/>
      <c r="XD203" s="2"/>
      <c r="XE203" s="2"/>
      <c r="XF203" s="2"/>
      <c r="XG203" s="2"/>
      <c r="XH203" s="2"/>
      <c r="XI203" s="2"/>
      <c r="XJ203" s="2"/>
      <c r="XK203" s="2"/>
      <c r="XL203" s="2"/>
      <c r="XM203" s="2"/>
      <c r="XN203" s="2"/>
      <c r="XO203" s="2"/>
      <c r="XP203" s="2"/>
      <c r="XQ203" s="2"/>
      <c r="XR203" s="2"/>
      <c r="XS203" s="2"/>
      <c r="XT203" s="2"/>
      <c r="XU203" s="2"/>
      <c r="XV203" s="2"/>
      <c r="XW203" s="2"/>
      <c r="XX203" s="2"/>
      <c r="XY203" s="2"/>
      <c r="XZ203" s="2"/>
      <c r="YA203" s="2"/>
      <c r="YB203" s="2"/>
      <c r="YC203" s="2"/>
      <c r="YD203" s="2"/>
      <c r="YE203" s="2"/>
      <c r="YF203" s="2"/>
      <c r="YG203" s="2"/>
      <c r="YH203" s="2"/>
      <c r="YI203" s="2"/>
      <c r="YJ203" s="2"/>
      <c r="YK203" s="2"/>
      <c r="YL203" s="2"/>
      <c r="YM203" s="2"/>
      <c r="YN203" s="2"/>
      <c r="YO203" s="2"/>
      <c r="YP203" s="2"/>
      <c r="YQ203" s="2"/>
      <c r="YR203" s="2"/>
      <c r="YS203" s="2"/>
      <c r="YT203" s="2"/>
      <c r="YU203" s="2"/>
      <c r="YV203" s="2"/>
      <c r="YW203" s="2"/>
      <c r="YX203" s="2"/>
      <c r="YY203" s="2"/>
      <c r="YZ203" s="2"/>
      <c r="ZA203" s="2"/>
      <c r="ZB203" s="2"/>
      <c r="ZC203" s="2"/>
      <c r="ZD203" s="2"/>
      <c r="ZE203" s="2"/>
      <c r="ZF203" s="2"/>
      <c r="ZG203" s="2"/>
      <c r="ZH203" s="2"/>
      <c r="ZI203" s="2"/>
      <c r="ZJ203" s="2"/>
      <c r="ZK203" s="2"/>
      <c r="ZL203" s="2"/>
      <c r="ZM203" s="2"/>
      <c r="ZN203" s="2"/>
      <c r="ZO203" s="2"/>
      <c r="ZP203" s="2"/>
      <c r="ZQ203" s="2"/>
      <c r="ZR203" s="2"/>
      <c r="ZS203" s="2"/>
      <c r="ZT203" s="2"/>
      <c r="ZU203" s="2"/>
      <c r="ZV203" s="2"/>
      <c r="ZW203" s="2"/>
      <c r="ZX203" s="2"/>
      <c r="ZY203" s="2"/>
      <c r="ZZ203" s="2"/>
      <c r="AAA203" s="2"/>
      <c r="AAB203" s="2"/>
      <c r="AAC203" s="2"/>
      <c r="AAD203" s="2"/>
      <c r="AAE203" s="2"/>
      <c r="AAF203" s="2"/>
      <c r="AAG203" s="2"/>
      <c r="AAH203" s="2"/>
      <c r="AAI203" s="2"/>
      <c r="AAJ203" s="2"/>
      <c r="AAK203" s="2"/>
      <c r="AAL203" s="2"/>
      <c r="AAM203" s="2"/>
      <c r="AAN203" s="2"/>
      <c r="AAO203" s="2"/>
      <c r="AAP203" s="2"/>
      <c r="AAQ203" s="2"/>
      <c r="AAR203" s="2"/>
      <c r="AAS203" s="2"/>
      <c r="AAT203" s="2"/>
      <c r="AAU203" s="2"/>
      <c r="AAV203" s="2"/>
      <c r="AAW203" s="2"/>
      <c r="AAX203" s="2"/>
      <c r="AAY203" s="2"/>
      <c r="AAZ203" s="2"/>
      <c r="ABA203" s="2"/>
      <c r="ABB203" s="2"/>
      <c r="ABC203" s="2"/>
      <c r="ABD203" s="2"/>
      <c r="ABE203" s="2"/>
      <c r="ABF203" s="2"/>
      <c r="ABG203" s="2"/>
      <c r="ABH203" s="2"/>
      <c r="ABI203" s="2"/>
      <c r="ABJ203" s="2"/>
      <c r="ABK203" s="2"/>
      <c r="ABL203" s="2"/>
      <c r="ABM203" s="2"/>
      <c r="ABN203" s="2"/>
      <c r="ABO203" s="2"/>
      <c r="ABP203" s="2"/>
      <c r="ABQ203" s="2"/>
      <c r="ABR203" s="2"/>
      <c r="ABS203" s="2"/>
      <c r="ABT203" s="2"/>
      <c r="ABU203" s="2"/>
      <c r="ABV203" s="2"/>
      <c r="ABW203" s="2"/>
      <c r="ABX203" s="2"/>
      <c r="ABY203" s="2"/>
      <c r="ABZ203" s="2"/>
      <c r="ACA203" s="2"/>
      <c r="ACB203" s="2"/>
      <c r="ACC203" s="2"/>
      <c r="ACD203" s="2"/>
      <c r="ACE203" s="2"/>
      <c r="ACF203" s="2"/>
      <c r="ACG203" s="2"/>
      <c r="ACH203" s="2"/>
      <c r="ACI203" s="2"/>
      <c r="ACJ203" s="2"/>
      <c r="ACK203" s="2"/>
      <c r="ACL203" s="2"/>
      <c r="ACM203" s="2"/>
      <c r="ACN203" s="2"/>
      <c r="ACO203" s="2"/>
      <c r="ACP203" s="2"/>
      <c r="ACQ203" s="2"/>
      <c r="ACR203" s="2"/>
      <c r="ACS203" s="2"/>
      <c r="ACT203" s="2"/>
      <c r="ACU203" s="2"/>
      <c r="ACV203" s="2"/>
      <c r="ACW203" s="2"/>
      <c r="ACX203" s="2"/>
      <c r="ACY203" s="2"/>
      <c r="ACZ203" s="2"/>
      <c r="ADA203" s="2"/>
      <c r="ADB203" s="2"/>
      <c r="ADC203" s="2"/>
      <c r="ADD203" s="2"/>
      <c r="ADE203" s="2"/>
      <c r="ADF203" s="2"/>
      <c r="ADG203" s="2"/>
      <c r="ADH203" s="2"/>
      <c r="ADI203" s="2"/>
      <c r="ADJ203" s="2"/>
      <c r="ADK203" s="2"/>
      <c r="ADL203" s="2"/>
      <c r="ADM203" s="2"/>
      <c r="ADN203" s="2"/>
      <c r="ADO203" s="2"/>
      <c r="ADP203" s="2"/>
      <c r="ADQ203" s="2"/>
      <c r="ADR203" s="2"/>
      <c r="ADS203" s="2"/>
      <c r="ADT203" s="2"/>
      <c r="ADU203" s="2"/>
      <c r="ADV203" s="2"/>
      <c r="ADW203" s="2"/>
      <c r="ADX203" s="2"/>
      <c r="ADY203" s="2"/>
      <c r="ADZ203" s="2"/>
      <c r="AEA203" s="2"/>
      <c r="AEB203" s="2"/>
      <c r="AEC203" s="2"/>
      <c r="AED203" s="2"/>
      <c r="AEE203" s="2"/>
      <c r="AEF203" s="2"/>
      <c r="AEG203" s="2"/>
      <c r="AEH203" s="2"/>
      <c r="AEI203" s="2"/>
      <c r="AEJ203" s="2"/>
      <c r="AEK203" s="2"/>
      <c r="AEL203" s="2"/>
      <c r="AEM203" s="2"/>
      <c r="AEN203" s="2"/>
      <c r="AEO203" s="2"/>
      <c r="AEP203" s="2"/>
      <c r="AEQ203" s="2"/>
      <c r="AER203" s="2"/>
      <c r="AES203" s="2"/>
      <c r="AET203" s="2"/>
      <c r="AEU203" s="2"/>
      <c r="AEV203" s="2"/>
      <c r="AEW203" s="2"/>
      <c r="AEX203" s="2"/>
      <c r="AEY203" s="2"/>
      <c r="AEZ203" s="2"/>
      <c r="AFA203" s="2"/>
      <c r="AFB203" s="2"/>
      <c r="AFC203" s="2"/>
      <c r="AFD203" s="2"/>
      <c r="AFE203" s="2"/>
      <c r="AFF203" s="2"/>
      <c r="AFG203" s="2"/>
      <c r="AFH203" s="2"/>
      <c r="AFI203" s="2"/>
      <c r="AFJ203" s="2"/>
      <c r="AFK203" s="2"/>
      <c r="AFL203" s="2"/>
      <c r="AFM203" s="2"/>
      <c r="AFN203" s="2"/>
      <c r="AFO203" s="2"/>
      <c r="AFP203" s="2"/>
      <c r="AFQ203" s="2"/>
      <c r="AFR203" s="2"/>
      <c r="AFS203" s="2"/>
      <c r="AFT203" s="2"/>
      <c r="AFU203" s="2"/>
      <c r="AFV203" s="2"/>
      <c r="AFW203" s="2"/>
      <c r="AFX203" s="2"/>
      <c r="AFY203" s="2"/>
      <c r="AFZ203" s="2"/>
      <c r="AGA203" s="2"/>
      <c r="AGB203" s="2"/>
      <c r="AGC203" s="2"/>
      <c r="AGD203" s="2"/>
      <c r="AGE203" s="2"/>
      <c r="AGF203" s="2"/>
      <c r="AGG203" s="2"/>
      <c r="AGH203" s="2"/>
      <c r="AGI203" s="2"/>
      <c r="AGJ203" s="2"/>
      <c r="AGK203" s="2"/>
      <c r="AGL203" s="2"/>
      <c r="AGM203" s="2"/>
      <c r="AGN203" s="2"/>
      <c r="AGO203" s="2"/>
      <c r="AGP203" s="2"/>
      <c r="AGQ203" s="2"/>
      <c r="AGR203" s="2"/>
      <c r="AGS203" s="2"/>
      <c r="AGT203" s="2"/>
      <c r="AGU203" s="2"/>
      <c r="AGV203" s="2"/>
      <c r="AGW203" s="2"/>
      <c r="AGX203" s="2"/>
      <c r="AGY203" s="2"/>
      <c r="AGZ203" s="2"/>
      <c r="AHA203" s="2"/>
      <c r="AHB203" s="2"/>
      <c r="AHC203" s="2"/>
      <c r="AHD203" s="2"/>
      <c r="AHE203" s="2"/>
      <c r="AHF203" s="2"/>
      <c r="AHG203" s="2"/>
      <c r="AHH203" s="2"/>
      <c r="AHI203" s="2"/>
      <c r="AHJ203" s="2"/>
      <c r="AHK203" s="2"/>
      <c r="AHL203" s="2"/>
      <c r="AHM203" s="2"/>
      <c r="AHN203" s="2"/>
      <c r="AHO203" s="2"/>
      <c r="AHP203" s="2"/>
      <c r="AHQ203" s="2"/>
      <c r="AHR203" s="2"/>
      <c r="AHS203" s="2"/>
      <c r="AHT203" s="2"/>
      <c r="AHU203" s="2"/>
      <c r="AHV203" s="2"/>
      <c r="AHW203" s="2"/>
      <c r="AHX203" s="2"/>
      <c r="AHY203" s="2"/>
      <c r="AHZ203" s="2"/>
      <c r="AIA203" s="2"/>
      <c r="AIB203" s="2"/>
      <c r="AIC203" s="2"/>
      <c r="AID203" s="2"/>
      <c r="AIE203" s="2"/>
      <c r="AIF203" s="2"/>
      <c r="AIG203" s="2"/>
      <c r="AIH203" s="2"/>
      <c r="AII203" s="2"/>
      <c r="AIJ203" s="2"/>
      <c r="AIK203" s="2"/>
      <c r="AIL203" s="2"/>
      <c r="AIM203" s="2"/>
      <c r="AIN203" s="2"/>
      <c r="AIO203" s="2"/>
      <c r="AIP203" s="2"/>
      <c r="AIQ203" s="2"/>
      <c r="AIR203" s="2"/>
      <c r="AIS203" s="2"/>
      <c r="AIT203" s="2"/>
      <c r="AIU203" s="2"/>
      <c r="AIV203" s="2"/>
      <c r="AIW203" s="2"/>
      <c r="AIX203" s="2"/>
      <c r="AIY203" s="2"/>
      <c r="AIZ203" s="2"/>
      <c r="AJA203" s="2"/>
      <c r="AJB203" s="2"/>
      <c r="AJC203" s="2"/>
      <c r="AJD203" s="2"/>
      <c r="AJE203" s="2"/>
      <c r="AJF203" s="2"/>
      <c r="AJG203" s="2"/>
      <c r="AJH203" s="2"/>
      <c r="AJI203" s="2"/>
      <c r="AJJ203" s="2"/>
      <c r="AJK203" s="2"/>
      <c r="AJL203" s="2"/>
      <c r="AJM203" s="2"/>
      <c r="AJN203" s="2"/>
      <c r="AJO203" s="2"/>
      <c r="AJP203" s="2"/>
      <c r="AJQ203" s="2"/>
      <c r="AJR203" s="2"/>
      <c r="AJS203" s="2"/>
      <c r="AJT203" s="2"/>
      <c r="AJU203" s="2"/>
      <c r="AJV203" s="2"/>
      <c r="AJW203" s="2"/>
      <c r="AJX203" s="2"/>
      <c r="AJY203" s="2"/>
      <c r="AJZ203" s="2"/>
      <c r="AKA203" s="2"/>
      <c r="AKB203" s="2"/>
      <c r="AKC203" s="2"/>
      <c r="AKD203" s="2"/>
      <c r="AKE203" s="2"/>
      <c r="AKF203" s="2"/>
      <c r="AKG203" s="2"/>
      <c r="AKH203" s="2"/>
      <c r="AKI203" s="2"/>
      <c r="AKJ203" s="2"/>
      <c r="AKK203" s="2"/>
      <c r="AKL203" s="2"/>
      <c r="AKM203" s="2"/>
      <c r="AKN203" s="2"/>
      <c r="AKO203" s="2"/>
      <c r="AKP203" s="2"/>
      <c r="AKQ203" s="2"/>
      <c r="AKR203" s="2"/>
      <c r="AKS203" s="2"/>
      <c r="AKT203" s="2"/>
      <c r="AKU203" s="2"/>
      <c r="AKV203" s="2"/>
      <c r="AKW203" s="2"/>
      <c r="AKX203" s="2"/>
      <c r="AKY203" s="2"/>
      <c r="AKZ203" s="2"/>
      <c r="ALA203" s="2"/>
      <c r="ALB203" s="2"/>
      <c r="ALC203" s="2"/>
      <c r="ALD203" s="2"/>
      <c r="ALE203" s="2"/>
      <c r="ALF203" s="2"/>
      <c r="ALG203" s="2"/>
      <c r="ALH203" s="2"/>
      <c r="ALI203" s="2"/>
      <c r="ALJ203" s="2"/>
      <c r="ALK203" s="2"/>
      <c r="ALL203" s="2"/>
      <c r="ALM203" s="2"/>
      <c r="ALN203" s="2"/>
      <c r="ALO203" s="2"/>
      <c r="ALP203" s="2"/>
      <c r="ALQ203" s="2"/>
      <c r="ALR203" s="2"/>
      <c r="ALS203" s="2"/>
      <c r="ALT203" s="2"/>
      <c r="ALU203" s="2"/>
      <c r="ALV203" s="2"/>
      <c r="ALW203" s="2"/>
      <c r="ALX203" s="2"/>
      <c r="ALY203" s="2"/>
      <c r="ALZ203" s="2"/>
      <c r="AMA203" s="2"/>
      <c r="AMB203" s="2"/>
      <c r="AMC203" s="2"/>
      <c r="AMD203" s="2"/>
      <c r="AME203" s="2"/>
      <c r="AMF203" s="2"/>
      <c r="AMG203" s="2"/>
      <c r="AMH203" s="2"/>
      <c r="AMI203" s="2"/>
      <c r="AMJ203" s="2"/>
      <c r="AMK203" s="2"/>
      <c r="AML203" s="2"/>
      <c r="AMM203" s="2"/>
      <c r="AMN203" s="2"/>
      <c r="AMO203" s="2"/>
      <c r="AMP203" s="2"/>
      <c r="AMQ203" s="2"/>
      <c r="AMR203" s="2"/>
      <c r="AMS203" s="2"/>
      <c r="AMT203" s="2"/>
      <c r="AMU203" s="2"/>
      <c r="AMV203" s="2"/>
      <c r="AMW203" s="2"/>
      <c r="AMX203" s="2"/>
      <c r="AMY203" s="2"/>
      <c r="AMZ203" s="2"/>
      <c r="ANA203" s="2"/>
      <c r="ANB203" s="2"/>
      <c r="ANC203" s="2"/>
      <c r="AND203" s="2"/>
      <c r="ANE203" s="2"/>
      <c r="ANF203" s="2"/>
      <c r="ANG203" s="2"/>
      <c r="ANH203" s="2"/>
      <c r="ANI203" s="2"/>
      <c r="ANJ203" s="2"/>
      <c r="ANK203" s="2"/>
      <c r="ANL203" s="2"/>
      <c r="ANM203" s="2"/>
      <c r="ANN203" s="2"/>
      <c r="ANO203" s="2"/>
      <c r="ANP203" s="2"/>
      <c r="ANQ203" s="2"/>
      <c r="ANR203" s="2"/>
      <c r="ANS203" s="2"/>
      <c r="ANT203" s="2"/>
      <c r="ANU203" s="2"/>
      <c r="ANV203" s="2"/>
      <c r="ANW203" s="2"/>
      <c r="ANX203" s="2"/>
      <c r="ANY203" s="2"/>
      <c r="ANZ203" s="2"/>
      <c r="AOA203" s="2"/>
      <c r="AOB203" s="2"/>
      <c r="AOC203" s="2"/>
      <c r="AOD203" s="2"/>
      <c r="AOE203" s="2"/>
      <c r="AOF203" s="2"/>
      <c r="AOG203" s="2"/>
      <c r="AOH203" s="2"/>
      <c r="AOI203" s="2"/>
      <c r="AOJ203" s="2"/>
      <c r="AOK203" s="2"/>
      <c r="AOL203" s="2"/>
      <c r="AOM203" s="2"/>
      <c r="AON203" s="2"/>
      <c r="AOO203" s="2"/>
      <c r="AOP203" s="2"/>
      <c r="AOQ203" s="2"/>
      <c r="AOR203" s="2"/>
      <c r="AOS203" s="2"/>
      <c r="AOT203" s="2"/>
      <c r="AOU203" s="2"/>
      <c r="AOV203" s="2"/>
      <c r="AOW203" s="2"/>
      <c r="AOX203" s="2"/>
      <c r="AOY203" s="2"/>
      <c r="AOZ203" s="2"/>
      <c r="APA203" s="2"/>
      <c r="APB203" s="2"/>
      <c r="APC203" s="2"/>
      <c r="APD203" s="2"/>
      <c r="APE203" s="2"/>
      <c r="APF203" s="2"/>
      <c r="APG203" s="2"/>
      <c r="APH203" s="2"/>
      <c r="API203" s="2"/>
      <c r="APJ203" s="2"/>
      <c r="APK203" s="2"/>
      <c r="APL203" s="2"/>
      <c r="APM203" s="2"/>
      <c r="APN203" s="2"/>
      <c r="APO203" s="2"/>
      <c r="APP203" s="2"/>
      <c r="APQ203" s="2"/>
      <c r="APR203" s="2"/>
      <c r="APS203" s="2"/>
      <c r="APT203" s="2"/>
      <c r="APU203" s="2"/>
      <c r="APV203" s="2"/>
      <c r="APW203" s="2"/>
      <c r="APX203" s="2"/>
      <c r="APY203" s="2"/>
      <c r="APZ203" s="2"/>
      <c r="AQA203" s="2"/>
      <c r="AQB203" s="2"/>
      <c r="AQC203" s="2"/>
      <c r="AQD203" s="2"/>
      <c r="AQE203" s="2"/>
      <c r="AQF203" s="2"/>
      <c r="AQG203" s="2"/>
      <c r="AQH203" s="2"/>
      <c r="AQI203" s="2"/>
      <c r="AQJ203" s="2"/>
      <c r="AQK203" s="2"/>
      <c r="AQL203" s="2"/>
      <c r="AQM203" s="2"/>
      <c r="AQN203" s="2"/>
      <c r="AQO203" s="2"/>
      <c r="AQP203" s="2"/>
      <c r="AQQ203" s="2"/>
      <c r="AQR203" s="2"/>
      <c r="AQS203" s="2"/>
      <c r="AQT203" s="2"/>
      <c r="AQU203" s="2"/>
      <c r="AQV203" s="2"/>
      <c r="AQW203" s="2"/>
      <c r="AQX203" s="2"/>
      <c r="AQY203" s="2"/>
      <c r="AQZ203" s="2"/>
      <c r="ARA203" s="2"/>
      <c r="ARB203" s="2"/>
      <c r="ARC203" s="2"/>
      <c r="ARD203" s="2"/>
      <c r="ARE203" s="2"/>
      <c r="ARF203" s="2"/>
      <c r="ARG203" s="2"/>
      <c r="ARH203" s="2"/>
      <c r="ARI203" s="2"/>
      <c r="ARJ203" s="2"/>
      <c r="ARK203" s="2"/>
      <c r="ARL203" s="2"/>
      <c r="ARM203" s="2"/>
      <c r="ARN203" s="2"/>
      <c r="ARO203" s="2"/>
      <c r="ARP203" s="2"/>
      <c r="ARQ203" s="2"/>
      <c r="ARR203" s="2"/>
      <c r="ARS203" s="2"/>
      <c r="ART203" s="2"/>
      <c r="ARU203" s="2"/>
      <c r="ARV203" s="2"/>
      <c r="ARW203" s="2"/>
      <c r="ARX203" s="2"/>
      <c r="ARY203" s="2"/>
      <c r="ARZ203" s="2"/>
      <c r="ASA203" s="2"/>
      <c r="ASB203" s="2"/>
      <c r="ASC203" s="2"/>
      <c r="ASD203" s="2"/>
      <c r="ASE203" s="2"/>
      <c r="ASF203" s="2"/>
      <c r="ASG203" s="2"/>
      <c r="ASH203" s="2"/>
      <c r="ASI203" s="2"/>
      <c r="ASJ203" s="2"/>
      <c r="ASK203" s="2"/>
      <c r="ASL203" s="2"/>
      <c r="ASM203" s="2"/>
      <c r="ASN203" s="2"/>
      <c r="ASO203" s="2"/>
      <c r="ASP203" s="2"/>
      <c r="ASQ203" s="2"/>
      <c r="ASR203" s="2"/>
      <c r="ASS203" s="2"/>
      <c r="AST203" s="2"/>
      <c r="ASU203" s="2"/>
      <c r="ASV203" s="2"/>
      <c r="ASW203" s="2"/>
      <c r="ASX203" s="2"/>
      <c r="ASY203" s="2"/>
      <c r="ASZ203" s="2"/>
      <c r="ATA203" s="2"/>
      <c r="ATB203" s="2"/>
      <c r="ATC203" s="2"/>
      <c r="ATD203" s="2"/>
      <c r="ATE203" s="2"/>
      <c r="ATF203" s="2"/>
      <c r="ATG203" s="2"/>
      <c r="ATH203" s="2"/>
      <c r="ATI203" s="2"/>
      <c r="ATJ203" s="2"/>
      <c r="ATK203" s="2"/>
      <c r="ATL203" s="2"/>
      <c r="ATM203" s="2"/>
      <c r="ATN203" s="2"/>
      <c r="ATO203" s="2"/>
      <c r="ATP203" s="2"/>
      <c r="ATQ203" s="2"/>
      <c r="ATR203" s="2"/>
      <c r="ATS203" s="2"/>
      <c r="ATT203" s="2"/>
      <c r="ATU203" s="2"/>
      <c r="ATV203" s="2"/>
      <c r="ATW203" s="2"/>
      <c r="ATX203" s="2"/>
      <c r="ATY203" s="2"/>
      <c r="ATZ203" s="2"/>
      <c r="AUA203" s="2"/>
      <c r="AUB203" s="2"/>
      <c r="AUC203" s="2"/>
      <c r="AUD203" s="2"/>
      <c r="AUE203" s="2"/>
      <c r="AUF203" s="2"/>
      <c r="AUG203" s="2"/>
      <c r="AUH203" s="2"/>
      <c r="AUI203" s="2"/>
      <c r="AUJ203" s="2"/>
      <c r="AUK203" s="2"/>
      <c r="AUL203" s="2"/>
      <c r="AUM203" s="2"/>
      <c r="AUN203" s="2"/>
      <c r="AUO203" s="2"/>
      <c r="AUP203" s="2"/>
      <c r="AUQ203" s="2"/>
      <c r="AUR203" s="2"/>
      <c r="AUS203" s="2"/>
      <c r="AUT203" s="2"/>
      <c r="AUU203" s="2"/>
      <c r="AUV203" s="2"/>
      <c r="AUW203" s="2"/>
      <c r="AUX203" s="2"/>
      <c r="AUY203" s="2"/>
      <c r="AUZ203" s="2"/>
      <c r="AVA203" s="2"/>
      <c r="AVB203" s="2"/>
      <c r="AVC203" s="2"/>
      <c r="AVD203" s="2"/>
      <c r="AVE203" s="2"/>
      <c r="AVF203" s="2"/>
      <c r="AVG203" s="2"/>
      <c r="AVH203" s="2"/>
      <c r="AVI203" s="2"/>
      <c r="AVJ203" s="2"/>
      <c r="AVK203" s="2"/>
      <c r="AVL203" s="2"/>
      <c r="AVM203" s="2"/>
      <c r="AVN203" s="2"/>
      <c r="AVO203" s="2"/>
      <c r="AVP203" s="2"/>
      <c r="AVQ203" s="2"/>
      <c r="AVR203" s="2"/>
      <c r="AVS203" s="2"/>
      <c r="AVT203" s="2"/>
      <c r="AVU203" s="2"/>
      <c r="AVV203" s="2"/>
      <c r="AVW203" s="2"/>
      <c r="AVX203" s="2"/>
      <c r="AVY203" s="2"/>
      <c r="AVZ203" s="2"/>
      <c r="AWA203" s="2"/>
      <c r="AWB203" s="2"/>
      <c r="AWC203" s="2"/>
      <c r="AWD203" s="2"/>
      <c r="AWE203" s="2"/>
      <c r="AWF203" s="2"/>
      <c r="AWG203" s="2"/>
      <c r="AWH203" s="2"/>
      <c r="AWI203" s="2"/>
      <c r="AWJ203" s="2"/>
      <c r="AWK203" s="2"/>
      <c r="AWL203" s="2"/>
      <c r="AWM203" s="2"/>
      <c r="AWN203" s="2"/>
      <c r="AWO203" s="2"/>
      <c r="AWP203" s="2"/>
      <c r="AWQ203" s="2"/>
      <c r="AWR203" s="2"/>
      <c r="AWS203" s="2"/>
      <c r="AWT203" s="2"/>
      <c r="AWU203" s="2"/>
      <c r="AWV203" s="2"/>
      <c r="AWW203" s="2"/>
      <c r="AWX203" s="2"/>
      <c r="AWY203" s="2"/>
      <c r="AWZ203" s="2"/>
      <c r="AXA203" s="2"/>
      <c r="AXB203" s="2"/>
      <c r="AXC203" s="2"/>
      <c r="AXD203" s="2"/>
      <c r="AXE203" s="2"/>
      <c r="AXF203" s="2"/>
      <c r="AXG203" s="2"/>
      <c r="AXH203" s="2"/>
      <c r="AXI203" s="2"/>
      <c r="AXJ203" s="2"/>
      <c r="AXK203" s="2"/>
      <c r="AXL203" s="2"/>
      <c r="AXM203" s="2"/>
      <c r="AXN203" s="2"/>
      <c r="AXO203" s="2"/>
      <c r="AXP203" s="2"/>
      <c r="AXQ203" s="2"/>
      <c r="AXR203" s="2"/>
      <c r="AXS203" s="2"/>
      <c r="AXT203" s="2"/>
      <c r="AXU203" s="2"/>
      <c r="AXV203" s="2"/>
      <c r="AXW203" s="2"/>
      <c r="AXX203" s="2"/>
      <c r="AXY203" s="2"/>
      <c r="AXZ203" s="2"/>
      <c r="AYA203" s="2"/>
      <c r="AYB203" s="2"/>
      <c r="AYC203" s="2"/>
      <c r="AYD203" s="2"/>
      <c r="AYE203" s="2"/>
      <c r="AYF203" s="2"/>
      <c r="AYG203" s="2"/>
      <c r="AYH203" s="2"/>
      <c r="AYI203" s="2"/>
      <c r="AYJ203" s="2"/>
      <c r="AYK203" s="2"/>
      <c r="AYL203" s="2"/>
      <c r="AYM203" s="2"/>
      <c r="AYN203" s="2"/>
      <c r="AYO203" s="2"/>
      <c r="AYP203" s="2"/>
      <c r="AYQ203" s="2"/>
      <c r="AYR203" s="2"/>
      <c r="AYS203" s="2"/>
      <c r="AYT203" s="2"/>
      <c r="AYU203" s="2"/>
      <c r="AYV203" s="2"/>
      <c r="AYW203" s="2"/>
      <c r="AYX203" s="2"/>
      <c r="AYY203" s="2"/>
      <c r="AYZ203" s="2"/>
      <c r="AZA203" s="2"/>
      <c r="AZB203" s="2"/>
      <c r="AZC203" s="2"/>
      <c r="AZD203" s="2"/>
      <c r="AZE203" s="2"/>
      <c r="AZF203" s="2"/>
      <c r="AZG203" s="2"/>
      <c r="AZH203" s="2"/>
      <c r="AZI203" s="2"/>
      <c r="AZJ203" s="2"/>
      <c r="AZK203" s="2"/>
      <c r="AZL203" s="2"/>
      <c r="AZM203" s="2"/>
      <c r="AZN203" s="2"/>
      <c r="AZO203" s="2"/>
      <c r="AZP203" s="2"/>
      <c r="AZQ203" s="2"/>
      <c r="AZR203" s="2"/>
      <c r="AZS203" s="2"/>
      <c r="AZT203" s="2"/>
      <c r="AZU203" s="2"/>
      <c r="AZV203" s="2"/>
      <c r="AZW203" s="2"/>
      <c r="AZX203" s="2"/>
      <c r="AZY203" s="2"/>
      <c r="AZZ203" s="2"/>
      <c r="BAA203" s="2"/>
      <c r="BAB203" s="2"/>
      <c r="BAC203" s="2"/>
      <c r="BAD203" s="2"/>
      <c r="BAE203" s="2"/>
      <c r="BAF203" s="2"/>
      <c r="BAG203" s="2"/>
      <c r="BAH203" s="2"/>
      <c r="BAI203" s="2"/>
      <c r="BAJ203" s="2"/>
      <c r="BAK203" s="2"/>
      <c r="BAL203" s="2"/>
      <c r="BAM203" s="2"/>
      <c r="BAN203" s="2"/>
      <c r="BAO203" s="2"/>
      <c r="BAP203" s="2"/>
      <c r="BAQ203" s="2"/>
      <c r="BAR203" s="2"/>
      <c r="BAS203" s="2"/>
      <c r="BAT203" s="2"/>
      <c r="BAU203" s="2"/>
      <c r="BAV203" s="2"/>
      <c r="BAW203" s="2"/>
      <c r="BAX203" s="2"/>
      <c r="BAY203" s="2"/>
      <c r="BAZ203" s="2"/>
      <c r="BBA203" s="2"/>
      <c r="BBB203" s="2"/>
      <c r="BBC203" s="2"/>
      <c r="BBD203" s="2"/>
      <c r="BBE203" s="2"/>
      <c r="BBF203" s="2"/>
      <c r="BBG203" s="2"/>
      <c r="BBH203" s="2"/>
      <c r="BBI203" s="2"/>
      <c r="BBJ203" s="2"/>
      <c r="BBK203" s="2"/>
      <c r="BBL203" s="2"/>
      <c r="BBM203" s="2"/>
      <c r="BBN203" s="2"/>
      <c r="BBO203" s="2"/>
      <c r="BBP203" s="2"/>
      <c r="BBQ203" s="2"/>
      <c r="BBR203" s="2"/>
      <c r="BBS203" s="2"/>
      <c r="BBT203" s="2"/>
      <c r="BBU203" s="2"/>
      <c r="BBV203" s="2"/>
      <c r="BBW203" s="2"/>
      <c r="BBX203" s="2"/>
      <c r="BBY203" s="2"/>
      <c r="BBZ203" s="2"/>
      <c r="BCA203" s="2"/>
      <c r="BCB203" s="2"/>
      <c r="BCC203" s="2"/>
      <c r="BCD203" s="2"/>
      <c r="BCE203" s="2"/>
      <c r="BCF203" s="2"/>
      <c r="BCG203" s="2"/>
      <c r="BCH203" s="2"/>
      <c r="BCI203" s="2"/>
      <c r="BCJ203" s="2"/>
      <c r="BCK203" s="2"/>
      <c r="BCL203" s="2"/>
      <c r="BCM203" s="2"/>
      <c r="BCN203" s="2"/>
      <c r="BCO203" s="2"/>
      <c r="BCP203" s="2"/>
      <c r="BCQ203" s="2"/>
      <c r="BCR203" s="2"/>
      <c r="BCS203" s="2"/>
      <c r="BCT203" s="2"/>
      <c r="BCU203" s="2"/>
      <c r="BCV203" s="2"/>
      <c r="BCW203" s="2"/>
      <c r="BCX203" s="2"/>
      <c r="BCY203" s="2"/>
      <c r="BCZ203" s="2"/>
      <c r="BDA203" s="2"/>
      <c r="BDB203" s="2"/>
      <c r="BDC203" s="2"/>
      <c r="BDD203" s="2"/>
      <c r="BDE203" s="2"/>
      <c r="BDF203" s="2"/>
      <c r="BDG203" s="2"/>
      <c r="BDH203" s="2"/>
      <c r="BDI203" s="2"/>
      <c r="BDJ203" s="2"/>
      <c r="BDK203" s="2"/>
      <c r="BDL203" s="2"/>
      <c r="BDM203" s="2"/>
      <c r="BDN203" s="2"/>
      <c r="BDO203" s="2"/>
      <c r="BDP203" s="2"/>
      <c r="BDQ203" s="2"/>
      <c r="BDR203" s="2"/>
      <c r="BDS203" s="2"/>
      <c r="BDT203" s="2"/>
      <c r="BDU203" s="2"/>
      <c r="BDV203" s="2"/>
      <c r="BDW203" s="2"/>
      <c r="BDX203" s="2"/>
      <c r="BDY203" s="2"/>
      <c r="BDZ203" s="2"/>
      <c r="BEA203" s="2"/>
      <c r="BEB203" s="2"/>
      <c r="BEC203" s="2"/>
      <c r="BED203" s="2"/>
      <c r="BEE203" s="2"/>
      <c r="BEF203" s="2"/>
      <c r="BEG203" s="2"/>
      <c r="BEH203" s="2"/>
      <c r="BEI203" s="2"/>
      <c r="BEJ203" s="2"/>
      <c r="BEK203" s="2"/>
      <c r="BEL203" s="2"/>
      <c r="BEM203" s="2"/>
      <c r="BEN203" s="2"/>
      <c r="BEO203" s="2"/>
      <c r="BEP203" s="2"/>
      <c r="BEQ203" s="2"/>
      <c r="BER203" s="2"/>
      <c r="BES203" s="2"/>
      <c r="BET203" s="2"/>
      <c r="BEU203" s="2"/>
      <c r="BEV203" s="2"/>
      <c r="BEW203" s="2"/>
      <c r="BEX203" s="2"/>
      <c r="BEY203" s="2"/>
      <c r="BEZ203" s="2"/>
      <c r="BFA203" s="2"/>
      <c r="BFB203" s="2"/>
      <c r="BFC203" s="2"/>
      <c r="BFD203" s="2"/>
      <c r="BFE203" s="2"/>
      <c r="BFF203" s="2"/>
      <c r="BFG203" s="2"/>
      <c r="BFH203" s="2"/>
      <c r="BFI203" s="2"/>
      <c r="BFJ203" s="2"/>
      <c r="BFK203" s="2"/>
      <c r="BFL203" s="2"/>
      <c r="BFM203" s="2"/>
      <c r="BFN203" s="2"/>
      <c r="BFO203" s="2"/>
      <c r="BFP203" s="2"/>
      <c r="BFQ203" s="2"/>
      <c r="BFR203" s="2"/>
      <c r="BFS203" s="2"/>
      <c r="BFT203" s="2"/>
      <c r="BFU203" s="2"/>
      <c r="BFV203" s="2"/>
      <c r="BFW203" s="2"/>
      <c r="BFX203" s="2"/>
      <c r="BFY203" s="2"/>
      <c r="BFZ203" s="2"/>
      <c r="BGA203" s="2"/>
      <c r="BGB203" s="2"/>
      <c r="BGC203" s="2"/>
      <c r="BGD203" s="2"/>
      <c r="BGE203" s="2"/>
      <c r="BGF203" s="2"/>
      <c r="BGG203" s="2"/>
      <c r="BGH203" s="2"/>
      <c r="BGI203" s="2"/>
      <c r="BGJ203" s="2"/>
      <c r="BGK203" s="2"/>
      <c r="BGL203" s="2"/>
      <c r="BGM203" s="2"/>
      <c r="BGN203" s="2"/>
      <c r="BGO203" s="2"/>
      <c r="BGP203" s="2"/>
      <c r="BGQ203" s="2"/>
      <c r="BGR203" s="2"/>
      <c r="BGS203" s="2"/>
      <c r="BGT203" s="2"/>
      <c r="BGU203" s="2"/>
      <c r="BGV203" s="2"/>
      <c r="BGW203" s="2"/>
      <c r="BGX203" s="2"/>
      <c r="BGY203" s="2"/>
      <c r="BGZ203" s="2"/>
      <c r="BHA203" s="2"/>
      <c r="BHB203" s="2"/>
      <c r="BHC203" s="2"/>
      <c r="BHD203" s="2"/>
      <c r="BHE203" s="2"/>
      <c r="BHF203" s="2"/>
      <c r="BHG203" s="2"/>
      <c r="BHH203" s="2"/>
      <c r="BHI203" s="2"/>
      <c r="BHJ203" s="2"/>
      <c r="BHK203" s="2"/>
      <c r="BHL203" s="2"/>
      <c r="BHM203" s="2"/>
      <c r="BHN203" s="2"/>
      <c r="BHO203" s="2"/>
      <c r="BHP203" s="2"/>
      <c r="BHQ203" s="2"/>
      <c r="BHR203" s="2"/>
      <c r="BHS203" s="2"/>
      <c r="BHT203" s="2"/>
      <c r="BHU203" s="2"/>
      <c r="BHV203" s="2"/>
      <c r="BHW203" s="2"/>
      <c r="BHX203" s="2"/>
      <c r="BHY203" s="2"/>
      <c r="BHZ203" s="2"/>
      <c r="BIA203" s="2"/>
      <c r="BIB203" s="2"/>
      <c r="BIC203" s="2"/>
      <c r="BID203" s="2"/>
      <c r="BIE203" s="2"/>
      <c r="BIF203" s="2"/>
      <c r="BIG203" s="2"/>
      <c r="BIH203" s="2"/>
      <c r="BII203" s="2"/>
      <c r="BIJ203" s="2"/>
      <c r="BIK203" s="2"/>
      <c r="BIL203" s="2"/>
      <c r="BIM203" s="2"/>
      <c r="BIN203" s="2"/>
      <c r="BIO203" s="2"/>
      <c r="BIP203" s="2"/>
      <c r="BIQ203" s="2"/>
      <c r="BIR203" s="2"/>
      <c r="BIS203" s="2"/>
      <c r="BIT203" s="2"/>
      <c r="BIU203" s="2"/>
      <c r="BIV203" s="2"/>
      <c r="BIW203" s="2"/>
      <c r="BIX203" s="2"/>
      <c r="BIY203" s="2"/>
      <c r="BIZ203" s="2"/>
      <c r="BJA203" s="2"/>
      <c r="BJB203" s="2"/>
      <c r="BJC203" s="2"/>
      <c r="BJD203" s="2"/>
      <c r="BJE203" s="2"/>
      <c r="BJF203" s="2"/>
      <c r="BJG203" s="2"/>
      <c r="BJH203" s="2"/>
      <c r="BJI203" s="2"/>
      <c r="BJJ203" s="2"/>
      <c r="BJK203" s="2"/>
      <c r="BJL203" s="2"/>
      <c r="BJM203" s="2"/>
      <c r="BJN203" s="2"/>
      <c r="BJO203" s="2"/>
      <c r="BJP203" s="2"/>
      <c r="BJQ203" s="2"/>
      <c r="BJR203" s="2"/>
      <c r="BJS203" s="2"/>
      <c r="BJT203" s="2"/>
      <c r="BJU203" s="2"/>
      <c r="BJV203" s="2"/>
      <c r="BJW203" s="2"/>
      <c r="BJX203" s="2"/>
      <c r="BJY203" s="2"/>
      <c r="BJZ203" s="2"/>
      <c r="BKA203" s="2"/>
      <c r="BKB203" s="2"/>
      <c r="BKC203" s="2"/>
      <c r="BKD203" s="2"/>
      <c r="BKE203" s="2"/>
      <c r="BKF203" s="2"/>
      <c r="BKG203" s="2"/>
      <c r="BKH203" s="2"/>
      <c r="BKI203" s="2"/>
      <c r="BKJ203" s="2"/>
      <c r="BKK203" s="2"/>
      <c r="BKL203" s="2"/>
      <c r="BKM203" s="2"/>
      <c r="BKN203" s="2"/>
      <c r="BKO203" s="2"/>
      <c r="BKP203" s="2"/>
      <c r="BKQ203" s="2"/>
      <c r="BKR203" s="2"/>
      <c r="BKS203" s="2"/>
      <c r="BKT203" s="2"/>
      <c r="BKU203" s="2"/>
      <c r="BKV203" s="2"/>
      <c r="BKW203" s="2"/>
      <c r="BKX203" s="2"/>
      <c r="BKY203" s="2"/>
      <c r="BKZ203" s="2"/>
      <c r="BLA203" s="2"/>
      <c r="BLB203" s="2"/>
      <c r="BLC203" s="2"/>
      <c r="BLD203" s="2"/>
      <c r="BLE203" s="2"/>
      <c r="BLF203" s="2"/>
      <c r="BLG203" s="2"/>
      <c r="BLH203" s="2"/>
      <c r="BLI203" s="2"/>
      <c r="BLJ203" s="2"/>
      <c r="BLK203" s="2"/>
      <c r="BLL203" s="2"/>
      <c r="BLM203" s="2"/>
      <c r="BLN203" s="2"/>
      <c r="BLO203" s="2"/>
      <c r="BLP203" s="2"/>
      <c r="BLQ203" s="2"/>
      <c r="BLR203" s="2"/>
      <c r="BLS203" s="2"/>
      <c r="BLT203" s="2"/>
      <c r="BLU203" s="2"/>
      <c r="BLV203" s="2"/>
      <c r="BLW203" s="2"/>
      <c r="BLX203" s="2"/>
      <c r="BLY203" s="2"/>
      <c r="BLZ203" s="2"/>
      <c r="BMA203" s="2"/>
      <c r="BMB203" s="2"/>
      <c r="BMC203" s="2"/>
      <c r="BMD203" s="2"/>
      <c r="BME203" s="2"/>
      <c r="BMF203" s="2"/>
      <c r="BMG203" s="2"/>
      <c r="BMH203" s="2"/>
      <c r="BMI203" s="2"/>
      <c r="BMJ203" s="2"/>
      <c r="BMK203" s="2"/>
      <c r="BML203" s="2"/>
      <c r="BMM203" s="2"/>
      <c r="BMN203" s="2"/>
      <c r="BMO203" s="2"/>
      <c r="BMP203" s="2"/>
      <c r="BMQ203" s="2"/>
      <c r="BMR203" s="2"/>
      <c r="BMS203" s="2"/>
      <c r="BMT203" s="2"/>
      <c r="BMU203" s="2"/>
      <c r="BMV203" s="2"/>
      <c r="BMW203" s="2"/>
      <c r="BMX203" s="2"/>
      <c r="BMY203" s="2"/>
      <c r="BMZ203" s="2"/>
      <c r="BNA203" s="2"/>
      <c r="BNB203" s="2"/>
      <c r="BNC203" s="2"/>
      <c r="BND203" s="2"/>
      <c r="BNE203" s="2"/>
      <c r="BNF203" s="2"/>
      <c r="BNG203" s="2"/>
      <c r="BNH203" s="2"/>
      <c r="BNI203" s="2"/>
      <c r="BNJ203" s="2"/>
      <c r="BNK203" s="2"/>
      <c r="BNL203" s="2"/>
      <c r="BNM203" s="2"/>
      <c r="BNN203" s="2"/>
      <c r="BNO203" s="2"/>
      <c r="BNP203" s="2"/>
      <c r="BNQ203" s="2"/>
      <c r="BNR203" s="2"/>
      <c r="BNS203" s="2"/>
      <c r="BNT203" s="2"/>
      <c r="BNU203" s="2"/>
      <c r="BNV203" s="2"/>
      <c r="BNW203" s="2"/>
      <c r="BNX203" s="2"/>
      <c r="BNY203" s="2"/>
      <c r="BNZ203" s="2"/>
      <c r="BOA203" s="2"/>
      <c r="BOB203" s="2"/>
      <c r="BOC203" s="2"/>
      <c r="BOD203" s="2"/>
      <c r="BOE203" s="2"/>
      <c r="BOF203" s="2"/>
      <c r="BOG203" s="2"/>
      <c r="BOH203" s="2"/>
      <c r="BOI203" s="2"/>
      <c r="BOJ203" s="2"/>
      <c r="BOK203" s="2"/>
      <c r="BOL203" s="2"/>
      <c r="BOM203" s="2"/>
      <c r="BON203" s="2"/>
      <c r="BOO203" s="2"/>
      <c r="BOP203" s="2"/>
      <c r="BOQ203" s="2"/>
      <c r="BOR203" s="2"/>
      <c r="BOS203" s="2"/>
      <c r="BOT203" s="2"/>
      <c r="BOU203" s="2"/>
      <c r="BOV203" s="2"/>
      <c r="BOW203" s="2"/>
      <c r="BOX203" s="2"/>
      <c r="BOY203" s="2"/>
      <c r="BOZ203" s="2"/>
      <c r="BPA203" s="2"/>
      <c r="BPB203" s="2"/>
      <c r="BPC203" s="2"/>
      <c r="BPD203" s="2"/>
      <c r="BPE203" s="2"/>
      <c r="BPF203" s="2"/>
      <c r="BPG203" s="2"/>
      <c r="BPH203" s="2"/>
      <c r="BPI203" s="2"/>
      <c r="BPJ203" s="2"/>
      <c r="BPK203" s="2"/>
      <c r="BPL203" s="2"/>
      <c r="BPM203" s="2"/>
      <c r="BPN203" s="2"/>
      <c r="BPO203" s="2"/>
      <c r="BPP203" s="2"/>
      <c r="BPQ203" s="2"/>
      <c r="BPR203" s="2"/>
      <c r="BPS203" s="2"/>
      <c r="BPT203" s="2"/>
      <c r="BPU203" s="2"/>
      <c r="BPV203" s="2"/>
      <c r="BPW203" s="2"/>
      <c r="BPX203" s="2"/>
      <c r="BPY203" s="2"/>
      <c r="BPZ203" s="2"/>
      <c r="BQA203" s="2"/>
      <c r="BQB203" s="2"/>
      <c r="BQC203" s="2"/>
      <c r="BQD203" s="2"/>
      <c r="BQE203" s="2"/>
      <c r="BQF203" s="2"/>
      <c r="BQG203" s="2"/>
      <c r="BQH203" s="2"/>
      <c r="BQI203" s="2"/>
      <c r="BQJ203" s="2"/>
      <c r="BQK203" s="2"/>
      <c r="BQL203" s="2"/>
      <c r="BQM203" s="2"/>
      <c r="BQN203" s="2"/>
      <c r="BQO203" s="2"/>
      <c r="BQP203" s="2"/>
      <c r="BQQ203" s="2"/>
      <c r="BQR203" s="2"/>
      <c r="BQS203" s="2"/>
      <c r="BQT203" s="2"/>
      <c r="BQU203" s="2"/>
      <c r="BQV203" s="2"/>
      <c r="BQW203" s="2"/>
      <c r="BQX203" s="2"/>
      <c r="BQY203" s="2"/>
      <c r="BQZ203" s="2"/>
      <c r="BRA203" s="2"/>
      <c r="BRB203" s="2"/>
      <c r="BRC203" s="2"/>
      <c r="BRD203" s="2"/>
      <c r="BRE203" s="2"/>
      <c r="BRF203" s="2"/>
      <c r="BRG203" s="2"/>
      <c r="BRH203" s="2"/>
      <c r="BRI203" s="2"/>
      <c r="BRJ203" s="2"/>
      <c r="BRK203" s="2"/>
      <c r="BRL203" s="2"/>
      <c r="BRM203" s="2"/>
      <c r="BRN203" s="2"/>
      <c r="BRO203" s="2"/>
      <c r="BRP203" s="2"/>
      <c r="BRQ203" s="2"/>
      <c r="BRR203" s="2"/>
      <c r="BRS203" s="2"/>
      <c r="BRT203" s="2"/>
      <c r="BRU203" s="2"/>
      <c r="BRV203" s="2"/>
      <c r="BRW203" s="2"/>
      <c r="BRX203" s="2"/>
      <c r="BRY203" s="2"/>
      <c r="BRZ203" s="2"/>
      <c r="BSA203" s="2"/>
      <c r="BSB203" s="2"/>
      <c r="BSC203" s="2"/>
      <c r="BSD203" s="2"/>
      <c r="BSE203" s="2"/>
      <c r="BSF203" s="2"/>
      <c r="BSG203" s="2"/>
      <c r="BSH203" s="2"/>
      <c r="BSI203" s="2"/>
      <c r="BSJ203" s="2"/>
      <c r="BSK203" s="2"/>
      <c r="BSL203" s="2"/>
      <c r="BSM203" s="2"/>
      <c r="BSN203" s="2"/>
      <c r="BSO203" s="2"/>
      <c r="BSP203" s="2"/>
      <c r="BSQ203" s="2"/>
      <c r="BSR203" s="2"/>
      <c r="BSS203" s="2"/>
      <c r="BST203" s="2"/>
      <c r="BSU203" s="2"/>
      <c r="BSV203" s="2"/>
      <c r="BSW203" s="2"/>
      <c r="BSX203" s="2"/>
      <c r="BSY203" s="2"/>
      <c r="BSZ203" s="2"/>
      <c r="BTA203" s="2"/>
      <c r="BTB203" s="2"/>
      <c r="BTC203" s="2"/>
      <c r="BTD203" s="2"/>
      <c r="BTE203" s="2"/>
      <c r="BTF203" s="2"/>
      <c r="BTG203" s="2"/>
      <c r="BTH203" s="2"/>
      <c r="BTI203" s="2"/>
      <c r="BTJ203" s="2"/>
      <c r="BTK203" s="2"/>
      <c r="BTL203" s="2"/>
      <c r="BTM203" s="2"/>
      <c r="BTN203" s="2"/>
      <c r="BTO203" s="2"/>
      <c r="BTP203" s="2"/>
      <c r="BTQ203" s="2"/>
      <c r="BTR203" s="2"/>
      <c r="BTS203" s="2"/>
      <c r="BTT203" s="2"/>
      <c r="BTU203" s="2"/>
      <c r="BTV203" s="2"/>
      <c r="BTW203" s="2"/>
      <c r="BTX203" s="2"/>
      <c r="BTY203" s="2"/>
      <c r="BTZ203" s="2"/>
      <c r="BUA203" s="2"/>
      <c r="BUB203" s="2"/>
      <c r="BUC203" s="2"/>
      <c r="BUD203" s="2"/>
      <c r="BUE203" s="2"/>
      <c r="BUF203" s="2"/>
      <c r="BUG203" s="2"/>
      <c r="BUH203" s="2"/>
      <c r="BUI203" s="2"/>
      <c r="BUJ203" s="2"/>
      <c r="BUK203" s="2"/>
      <c r="BUL203" s="2"/>
      <c r="BUM203" s="2"/>
      <c r="BUN203" s="2"/>
      <c r="BUO203" s="2"/>
      <c r="BUP203" s="2"/>
      <c r="BUQ203" s="2"/>
      <c r="BUR203" s="2"/>
      <c r="BUS203" s="2"/>
      <c r="BUT203" s="2"/>
      <c r="BUU203" s="2"/>
      <c r="BUV203" s="2"/>
      <c r="BUW203" s="2"/>
      <c r="BUX203" s="2"/>
      <c r="BUY203" s="2"/>
      <c r="BUZ203" s="2"/>
      <c r="BVA203" s="2"/>
      <c r="BVB203" s="2"/>
      <c r="BVC203" s="2"/>
      <c r="BVD203" s="2"/>
      <c r="BVE203" s="2"/>
      <c r="BVF203" s="2"/>
      <c r="BVG203" s="2"/>
      <c r="BVH203" s="2"/>
      <c r="BVI203" s="2"/>
      <c r="BVJ203" s="2"/>
      <c r="BVK203" s="2"/>
      <c r="BVL203" s="2"/>
      <c r="BVM203" s="2"/>
      <c r="BVN203" s="2"/>
      <c r="BVO203" s="2"/>
      <c r="BVP203" s="2"/>
      <c r="BVQ203" s="2"/>
      <c r="BVR203" s="2"/>
      <c r="BVS203" s="2"/>
      <c r="BVT203" s="2"/>
      <c r="BVU203" s="2"/>
      <c r="BVV203" s="2"/>
      <c r="BVW203" s="2"/>
      <c r="BVX203" s="2"/>
      <c r="BVY203" s="2"/>
      <c r="BVZ203" s="2"/>
      <c r="BWA203" s="2"/>
      <c r="BWB203" s="2"/>
      <c r="BWC203" s="2"/>
      <c r="BWD203" s="2"/>
      <c r="BWE203" s="2"/>
      <c r="BWF203" s="2"/>
      <c r="BWG203" s="2"/>
      <c r="BWH203" s="2"/>
      <c r="BWI203" s="2"/>
      <c r="BWJ203" s="2"/>
      <c r="BWK203" s="2"/>
      <c r="BWL203" s="2"/>
      <c r="BWM203" s="2"/>
      <c r="BWN203" s="2"/>
      <c r="BWO203" s="2"/>
      <c r="BWP203" s="2"/>
      <c r="BWQ203" s="2"/>
      <c r="BWR203" s="2"/>
      <c r="BWS203" s="2"/>
      <c r="BWT203" s="2"/>
      <c r="BWU203" s="2"/>
      <c r="BWV203" s="2"/>
      <c r="BWW203" s="2"/>
      <c r="BWX203" s="2"/>
      <c r="BWY203" s="2"/>
      <c r="BWZ203" s="2"/>
      <c r="BXA203" s="2"/>
      <c r="BXB203" s="2"/>
      <c r="BXC203" s="2"/>
      <c r="BXD203" s="2"/>
      <c r="BXE203" s="2"/>
      <c r="BXF203" s="2"/>
      <c r="BXG203" s="2"/>
      <c r="BXH203" s="2"/>
      <c r="BXI203" s="2"/>
      <c r="BXJ203" s="2"/>
      <c r="BXK203" s="2"/>
      <c r="BXL203" s="2"/>
      <c r="BXM203" s="2"/>
      <c r="BXN203" s="2"/>
      <c r="BXO203" s="2"/>
      <c r="BXP203" s="2"/>
      <c r="BXQ203" s="2"/>
      <c r="BXR203" s="2"/>
      <c r="BXS203" s="2"/>
      <c r="BXT203" s="2"/>
      <c r="BXU203" s="2"/>
      <c r="BXV203" s="2"/>
      <c r="BXW203" s="2"/>
      <c r="BXX203" s="2"/>
      <c r="BXY203" s="2"/>
      <c r="BXZ203" s="2"/>
      <c r="BYA203" s="2"/>
      <c r="BYB203" s="2"/>
      <c r="BYC203" s="2"/>
      <c r="BYD203" s="2"/>
      <c r="BYE203" s="2"/>
      <c r="BYF203" s="2"/>
      <c r="BYG203" s="2"/>
      <c r="BYH203" s="2"/>
      <c r="BYI203" s="2"/>
      <c r="BYJ203" s="2"/>
      <c r="BYK203" s="2"/>
      <c r="BYL203" s="2"/>
      <c r="BYM203" s="2"/>
      <c r="BYN203" s="2"/>
      <c r="BYO203" s="2"/>
      <c r="BYP203" s="2"/>
      <c r="BYQ203" s="2"/>
      <c r="BYR203" s="2"/>
      <c r="BYS203" s="2"/>
      <c r="BYT203" s="2"/>
      <c r="BYU203" s="2"/>
      <c r="BYV203" s="2"/>
      <c r="BYW203" s="2"/>
      <c r="BYX203" s="2"/>
      <c r="BYY203" s="2"/>
      <c r="BYZ203" s="2"/>
      <c r="BZA203" s="2"/>
      <c r="BZB203" s="2"/>
      <c r="BZC203" s="2"/>
      <c r="BZD203" s="2"/>
      <c r="BZE203" s="2"/>
      <c r="BZF203" s="2"/>
      <c r="BZG203" s="2"/>
      <c r="BZH203" s="2"/>
      <c r="BZI203" s="2"/>
      <c r="BZJ203" s="2"/>
      <c r="BZK203" s="2"/>
      <c r="BZL203" s="2"/>
      <c r="BZM203" s="2"/>
      <c r="BZN203" s="2"/>
      <c r="BZO203" s="2"/>
      <c r="BZP203" s="2"/>
      <c r="BZQ203" s="2"/>
      <c r="BZR203" s="2"/>
      <c r="BZS203" s="2"/>
      <c r="BZT203" s="2"/>
      <c r="BZU203" s="2"/>
      <c r="BZV203" s="2"/>
      <c r="BZW203" s="2"/>
      <c r="BZX203" s="2"/>
      <c r="BZY203" s="2"/>
      <c r="BZZ203" s="2"/>
      <c r="CAA203" s="2"/>
      <c r="CAB203" s="2"/>
      <c r="CAC203" s="2"/>
      <c r="CAD203" s="2"/>
      <c r="CAE203" s="2"/>
      <c r="CAF203" s="2"/>
      <c r="CAG203" s="2"/>
      <c r="CAH203" s="2"/>
      <c r="CAI203" s="2"/>
      <c r="CAJ203" s="2"/>
      <c r="CAK203" s="2"/>
      <c r="CAL203" s="2"/>
      <c r="CAM203" s="2"/>
      <c r="CAN203" s="2"/>
      <c r="CAO203" s="2"/>
      <c r="CAP203" s="2"/>
      <c r="CAQ203" s="2"/>
      <c r="CAR203" s="2"/>
      <c r="CAS203" s="2"/>
      <c r="CAT203" s="2"/>
      <c r="CAU203" s="2"/>
      <c r="CAV203" s="2"/>
      <c r="CAW203" s="2"/>
      <c r="CAX203" s="2"/>
      <c r="CAY203" s="2"/>
      <c r="CAZ203" s="2"/>
      <c r="CBA203" s="2"/>
      <c r="CBB203" s="2"/>
      <c r="CBC203" s="2"/>
      <c r="CBD203" s="2"/>
      <c r="CBE203" s="2"/>
      <c r="CBF203" s="2"/>
      <c r="CBG203" s="2"/>
      <c r="CBH203" s="2"/>
      <c r="CBI203" s="2"/>
      <c r="CBJ203" s="2"/>
      <c r="CBK203" s="2"/>
      <c r="CBL203" s="2"/>
      <c r="CBM203" s="2"/>
      <c r="CBN203" s="2"/>
      <c r="CBO203" s="2"/>
      <c r="CBP203" s="2"/>
      <c r="CBQ203" s="2"/>
      <c r="CBR203" s="2"/>
      <c r="CBS203" s="2"/>
      <c r="CBT203" s="2"/>
      <c r="CBU203" s="2"/>
      <c r="CBV203" s="2"/>
      <c r="CBW203" s="2"/>
      <c r="CBX203" s="2"/>
      <c r="CBY203" s="2"/>
      <c r="CBZ203" s="2"/>
      <c r="CCA203" s="2"/>
      <c r="CCB203" s="2"/>
      <c r="CCC203" s="2"/>
      <c r="CCD203" s="2"/>
      <c r="CCE203" s="2"/>
      <c r="CCF203" s="2"/>
      <c r="CCG203" s="2"/>
      <c r="CCH203" s="2"/>
      <c r="CCI203" s="2"/>
      <c r="CCJ203" s="2"/>
      <c r="CCK203" s="2"/>
      <c r="CCL203" s="2"/>
      <c r="CCM203" s="2"/>
      <c r="CCN203" s="2"/>
      <c r="CCO203" s="2"/>
      <c r="CCP203" s="2"/>
      <c r="CCQ203" s="2"/>
      <c r="CCR203" s="2"/>
      <c r="CCS203" s="2"/>
      <c r="CCT203" s="2"/>
      <c r="CCU203" s="2"/>
      <c r="CCV203" s="2"/>
      <c r="CCW203" s="2"/>
      <c r="CCX203" s="2"/>
      <c r="CCY203" s="2"/>
      <c r="CCZ203" s="2"/>
      <c r="CDA203" s="2"/>
      <c r="CDB203" s="2"/>
      <c r="CDC203" s="2"/>
      <c r="CDD203" s="2"/>
      <c r="CDE203" s="2"/>
      <c r="CDF203" s="2"/>
      <c r="CDG203" s="2"/>
      <c r="CDH203" s="2"/>
      <c r="CDI203" s="2"/>
      <c r="CDJ203" s="2"/>
      <c r="CDK203" s="2"/>
      <c r="CDL203" s="2"/>
      <c r="CDM203" s="2"/>
      <c r="CDN203" s="2"/>
      <c r="CDO203" s="2"/>
      <c r="CDP203" s="2"/>
      <c r="CDQ203" s="2"/>
      <c r="CDR203" s="2"/>
      <c r="CDS203" s="2"/>
      <c r="CDT203" s="2"/>
      <c r="CDU203" s="2"/>
      <c r="CDV203" s="2"/>
      <c r="CDW203" s="2"/>
      <c r="CDX203" s="2"/>
      <c r="CDY203" s="2"/>
      <c r="CDZ203" s="2"/>
      <c r="CEA203" s="2"/>
      <c r="CEB203" s="2"/>
      <c r="CEC203" s="2"/>
      <c r="CED203" s="2"/>
      <c r="CEE203" s="2"/>
      <c r="CEF203" s="2"/>
      <c r="CEG203" s="2"/>
      <c r="CEH203" s="2"/>
      <c r="CEI203" s="2"/>
      <c r="CEJ203" s="2"/>
      <c r="CEK203" s="2"/>
      <c r="CEL203" s="2"/>
      <c r="CEM203" s="2"/>
      <c r="CEN203" s="2"/>
      <c r="CEO203" s="2"/>
      <c r="CEP203" s="2"/>
      <c r="CEQ203" s="2"/>
      <c r="CER203" s="2"/>
      <c r="CES203" s="2"/>
      <c r="CET203" s="2"/>
      <c r="CEU203" s="2"/>
      <c r="CEV203" s="2"/>
      <c r="CEW203" s="2"/>
      <c r="CEX203" s="2"/>
      <c r="CEY203" s="2"/>
      <c r="CEZ203" s="2"/>
      <c r="CFA203" s="2"/>
      <c r="CFB203" s="2"/>
      <c r="CFC203" s="2"/>
      <c r="CFD203" s="2"/>
      <c r="CFE203" s="2"/>
      <c r="CFF203" s="2"/>
      <c r="CFG203" s="2"/>
      <c r="CFH203" s="2"/>
      <c r="CFI203" s="2"/>
      <c r="CFJ203" s="2"/>
      <c r="CFK203" s="2"/>
      <c r="CFL203" s="2"/>
      <c r="CFM203" s="2"/>
      <c r="CFN203" s="2"/>
      <c r="CFO203" s="2"/>
      <c r="CFP203" s="2"/>
      <c r="CFQ203" s="2"/>
      <c r="CFR203" s="2"/>
      <c r="CFS203" s="2"/>
      <c r="CFT203" s="2"/>
      <c r="CFU203" s="2"/>
      <c r="CFV203" s="2"/>
      <c r="CFW203" s="2"/>
      <c r="CFX203" s="2"/>
      <c r="CFY203" s="2"/>
      <c r="CFZ203" s="2"/>
      <c r="CGA203" s="2"/>
      <c r="CGB203" s="2"/>
      <c r="CGC203" s="2"/>
      <c r="CGD203" s="2"/>
      <c r="CGE203" s="2"/>
      <c r="CGF203" s="2"/>
      <c r="CGG203" s="2"/>
      <c r="CGH203" s="2"/>
      <c r="CGI203" s="2"/>
      <c r="CGJ203" s="2"/>
      <c r="CGK203" s="2"/>
      <c r="CGL203" s="2"/>
      <c r="CGM203" s="2"/>
      <c r="CGN203" s="2"/>
      <c r="CGO203" s="2"/>
      <c r="CGP203" s="2"/>
      <c r="CGQ203" s="2"/>
      <c r="CGR203" s="2"/>
      <c r="CGS203" s="2"/>
      <c r="CGT203" s="2"/>
      <c r="CGU203" s="2"/>
      <c r="CGV203" s="2"/>
      <c r="CGW203" s="2"/>
      <c r="CGX203" s="2"/>
      <c r="CGY203" s="2"/>
      <c r="CGZ203" s="2"/>
      <c r="CHA203" s="2"/>
      <c r="CHB203" s="2"/>
      <c r="CHC203" s="2"/>
      <c r="CHD203" s="2"/>
      <c r="CHE203" s="2"/>
      <c r="CHF203" s="2"/>
      <c r="CHG203" s="2"/>
      <c r="CHH203" s="2"/>
      <c r="CHI203" s="2"/>
      <c r="CHJ203" s="2"/>
      <c r="CHK203" s="2"/>
      <c r="CHL203" s="2"/>
      <c r="CHM203" s="2"/>
      <c r="CHN203" s="2"/>
      <c r="CHO203" s="2"/>
      <c r="CHP203" s="2"/>
      <c r="CHQ203" s="2"/>
      <c r="CHR203" s="2"/>
      <c r="CHS203" s="2"/>
      <c r="CHT203" s="2"/>
      <c r="CHU203" s="2"/>
      <c r="CHV203" s="2"/>
      <c r="CHW203" s="2"/>
      <c r="CHX203" s="2"/>
      <c r="CHY203" s="2"/>
      <c r="CHZ203" s="2"/>
      <c r="CIA203" s="2"/>
      <c r="CIB203" s="2"/>
      <c r="CIC203" s="2"/>
      <c r="CID203" s="2"/>
      <c r="CIE203" s="2"/>
      <c r="CIF203" s="2"/>
      <c r="CIG203" s="2"/>
      <c r="CIH203" s="2"/>
      <c r="CII203" s="2"/>
      <c r="CIJ203" s="2"/>
      <c r="CIK203" s="2"/>
      <c r="CIL203" s="2"/>
      <c r="CIM203" s="2"/>
      <c r="CIN203" s="2"/>
      <c r="CIO203" s="2"/>
      <c r="CIP203" s="2"/>
      <c r="CIQ203" s="2"/>
      <c r="CIR203" s="2"/>
      <c r="CIS203" s="2"/>
      <c r="CIT203" s="2"/>
      <c r="CIU203" s="2"/>
      <c r="CIV203" s="2"/>
      <c r="CIW203" s="2"/>
      <c r="CIX203" s="2"/>
      <c r="CIY203" s="2"/>
      <c r="CIZ203" s="2"/>
      <c r="CJA203" s="2"/>
      <c r="CJB203" s="2"/>
      <c r="CJC203" s="2"/>
      <c r="CJD203" s="2"/>
      <c r="CJE203" s="2"/>
      <c r="CJF203" s="2"/>
      <c r="CJG203" s="2"/>
      <c r="CJH203" s="2"/>
      <c r="CJI203" s="2"/>
      <c r="CJJ203" s="2"/>
      <c r="CJK203" s="2"/>
      <c r="CJL203" s="2"/>
      <c r="CJM203" s="2"/>
      <c r="CJN203" s="2"/>
      <c r="CJO203" s="2"/>
      <c r="CJP203" s="2"/>
      <c r="CJQ203" s="2"/>
      <c r="CJR203" s="2"/>
      <c r="CJS203" s="2"/>
      <c r="CJT203" s="2"/>
      <c r="CJU203" s="2"/>
      <c r="CJV203" s="2"/>
      <c r="CJW203" s="2"/>
      <c r="CJX203" s="2"/>
      <c r="CJY203" s="2"/>
      <c r="CJZ203" s="2"/>
      <c r="CKA203" s="2"/>
      <c r="CKB203" s="2"/>
      <c r="CKC203" s="2"/>
      <c r="CKD203" s="2"/>
      <c r="CKE203" s="2"/>
      <c r="CKF203" s="2"/>
      <c r="CKG203" s="2"/>
      <c r="CKH203" s="2"/>
      <c r="CKI203" s="2"/>
      <c r="CKJ203" s="2"/>
      <c r="CKK203" s="2"/>
      <c r="CKL203" s="2"/>
      <c r="CKM203" s="2"/>
      <c r="CKN203" s="2"/>
      <c r="CKO203" s="2"/>
      <c r="CKP203" s="2"/>
      <c r="CKQ203" s="2"/>
      <c r="CKR203" s="2"/>
      <c r="CKS203" s="2"/>
      <c r="CKT203" s="2"/>
      <c r="CKU203" s="2"/>
      <c r="CKV203" s="2"/>
      <c r="CKW203" s="2"/>
      <c r="CKX203" s="2"/>
      <c r="CKY203" s="2"/>
      <c r="CKZ203" s="2"/>
      <c r="CLA203" s="2"/>
      <c r="CLB203" s="2"/>
      <c r="CLC203" s="2"/>
      <c r="CLD203" s="2"/>
      <c r="CLE203" s="2"/>
      <c r="CLF203" s="2"/>
      <c r="CLG203" s="2"/>
      <c r="CLH203" s="2"/>
      <c r="CLI203" s="2"/>
      <c r="CLJ203" s="2"/>
      <c r="CLK203" s="2"/>
      <c r="CLL203" s="2"/>
      <c r="CLM203" s="2"/>
      <c r="CLN203" s="2"/>
      <c r="CLO203" s="2"/>
      <c r="CLP203" s="2"/>
      <c r="CLQ203" s="2"/>
      <c r="CLR203" s="2"/>
      <c r="CLS203" s="2"/>
      <c r="CLT203" s="2"/>
      <c r="CLU203" s="2"/>
      <c r="CLV203" s="2"/>
      <c r="CLW203" s="2"/>
      <c r="CLX203" s="2"/>
      <c r="CLY203" s="2"/>
      <c r="CLZ203" s="2"/>
      <c r="CMA203" s="2"/>
      <c r="CMB203" s="2"/>
      <c r="CMC203" s="2"/>
      <c r="CMD203" s="2"/>
      <c r="CME203" s="2"/>
      <c r="CMF203" s="2"/>
      <c r="CMG203" s="2"/>
      <c r="CMH203" s="2"/>
      <c r="CMI203" s="2"/>
      <c r="CMJ203" s="2"/>
      <c r="CMK203" s="2"/>
      <c r="CML203" s="2"/>
      <c r="CMM203" s="2"/>
      <c r="CMN203" s="2"/>
      <c r="CMO203" s="2"/>
      <c r="CMP203" s="2"/>
      <c r="CMQ203" s="2"/>
      <c r="CMR203" s="2"/>
      <c r="CMS203" s="2"/>
      <c r="CMT203" s="2"/>
      <c r="CMU203" s="2"/>
      <c r="CMV203" s="2"/>
      <c r="CMW203" s="2"/>
      <c r="CMX203" s="2"/>
      <c r="CMY203" s="2"/>
      <c r="CMZ203" s="2"/>
      <c r="CNA203" s="2"/>
      <c r="CNB203" s="2"/>
      <c r="CNC203" s="2"/>
      <c r="CND203" s="2"/>
      <c r="CNE203" s="2"/>
      <c r="CNF203" s="2"/>
      <c r="CNG203" s="2"/>
      <c r="CNH203" s="2"/>
      <c r="CNI203" s="2"/>
      <c r="CNJ203" s="2"/>
      <c r="CNK203" s="2"/>
      <c r="CNL203" s="2"/>
      <c r="CNM203" s="2"/>
      <c r="CNN203" s="2"/>
      <c r="CNO203" s="2"/>
      <c r="CNP203" s="2"/>
      <c r="CNQ203" s="2"/>
      <c r="CNR203" s="2"/>
      <c r="CNS203" s="2"/>
      <c r="CNT203" s="2"/>
      <c r="CNU203" s="2"/>
      <c r="CNV203" s="2"/>
      <c r="CNW203" s="2"/>
      <c r="CNX203" s="2"/>
      <c r="CNY203" s="2"/>
      <c r="CNZ203" s="2"/>
      <c r="COA203" s="2"/>
      <c r="COB203" s="2"/>
      <c r="COC203" s="2"/>
      <c r="COD203" s="2"/>
      <c r="COE203" s="2"/>
      <c r="COF203" s="2"/>
      <c r="COG203" s="2"/>
      <c r="COH203" s="2"/>
      <c r="COI203" s="2"/>
      <c r="COJ203" s="2"/>
      <c r="COK203" s="2"/>
      <c r="COL203" s="2"/>
      <c r="COM203" s="2"/>
      <c r="CON203" s="2"/>
      <c r="COO203" s="2"/>
      <c r="COP203" s="2"/>
      <c r="COQ203" s="2"/>
      <c r="COR203" s="2"/>
      <c r="COS203" s="2"/>
      <c r="COT203" s="2"/>
      <c r="COU203" s="2"/>
      <c r="COV203" s="2"/>
      <c r="COW203" s="2"/>
      <c r="COX203" s="2"/>
      <c r="COY203" s="2"/>
      <c r="COZ203" s="2"/>
      <c r="CPA203" s="2"/>
      <c r="CPB203" s="2"/>
      <c r="CPC203" s="2"/>
      <c r="CPD203" s="2"/>
      <c r="CPE203" s="2"/>
      <c r="CPF203" s="2"/>
      <c r="CPG203" s="2"/>
      <c r="CPH203" s="2"/>
      <c r="CPI203" s="2"/>
      <c r="CPJ203" s="2"/>
      <c r="CPK203" s="2"/>
      <c r="CPL203" s="2"/>
      <c r="CPM203" s="2"/>
      <c r="CPN203" s="2"/>
      <c r="CPO203" s="2"/>
      <c r="CPP203" s="2"/>
      <c r="CPQ203" s="2"/>
      <c r="CPR203" s="2"/>
      <c r="CPS203" s="2"/>
      <c r="CPT203" s="2"/>
      <c r="CPU203" s="2"/>
      <c r="CPV203" s="2"/>
      <c r="CPW203" s="2"/>
      <c r="CPX203" s="2"/>
      <c r="CPY203" s="2"/>
      <c r="CPZ203" s="2"/>
      <c r="CQA203" s="2"/>
      <c r="CQB203" s="2"/>
      <c r="CQC203" s="2"/>
      <c r="CQD203" s="2"/>
      <c r="CQE203" s="2"/>
      <c r="CQF203" s="2"/>
      <c r="CQG203" s="2"/>
      <c r="CQH203" s="2"/>
      <c r="CQI203" s="2"/>
      <c r="CQJ203" s="2"/>
      <c r="CQK203" s="2"/>
      <c r="CQL203" s="2"/>
      <c r="CQM203" s="2"/>
      <c r="CQN203" s="2"/>
      <c r="CQO203" s="2"/>
      <c r="CQP203" s="2"/>
      <c r="CQQ203" s="2"/>
      <c r="CQR203" s="2"/>
      <c r="CQS203" s="2"/>
      <c r="CQT203" s="2"/>
      <c r="CQU203" s="2"/>
      <c r="CQV203" s="2"/>
      <c r="CQW203" s="2"/>
      <c r="CQX203" s="2"/>
      <c r="CQY203" s="2"/>
      <c r="CQZ203" s="2"/>
      <c r="CRA203" s="2"/>
      <c r="CRB203" s="2"/>
      <c r="CRC203" s="2"/>
      <c r="CRD203" s="2"/>
      <c r="CRE203" s="2"/>
      <c r="CRF203" s="2"/>
      <c r="CRG203" s="2"/>
      <c r="CRH203" s="2"/>
      <c r="CRI203" s="2"/>
      <c r="CRJ203" s="2"/>
      <c r="CRK203" s="2"/>
      <c r="CRL203" s="2"/>
      <c r="CRM203" s="2"/>
      <c r="CRN203" s="2"/>
      <c r="CRO203" s="2"/>
      <c r="CRP203" s="2"/>
      <c r="CRQ203" s="2"/>
      <c r="CRR203" s="2"/>
      <c r="CRS203" s="2"/>
      <c r="CRT203" s="2"/>
      <c r="CRU203" s="2"/>
      <c r="CRV203" s="2"/>
      <c r="CRW203" s="2"/>
      <c r="CRX203" s="2"/>
      <c r="CRY203" s="2"/>
      <c r="CRZ203" s="2"/>
      <c r="CSA203" s="2"/>
      <c r="CSB203" s="2"/>
      <c r="CSC203" s="2"/>
      <c r="CSD203" s="2"/>
      <c r="CSE203" s="2"/>
      <c r="CSF203" s="2"/>
      <c r="CSG203" s="2"/>
      <c r="CSH203" s="2"/>
      <c r="CSI203" s="2"/>
      <c r="CSJ203" s="2"/>
      <c r="CSK203" s="2"/>
      <c r="CSL203" s="2"/>
      <c r="CSM203" s="2"/>
      <c r="CSN203" s="2"/>
      <c r="CSO203" s="2"/>
      <c r="CSP203" s="2"/>
      <c r="CSQ203" s="2"/>
      <c r="CSR203" s="2"/>
      <c r="CSS203" s="2"/>
      <c r="CST203" s="2"/>
      <c r="CSU203" s="2"/>
      <c r="CSV203" s="2"/>
      <c r="CSW203" s="2"/>
      <c r="CSX203" s="2"/>
      <c r="CSY203" s="2"/>
      <c r="CSZ203" s="2"/>
      <c r="CTA203" s="2"/>
      <c r="CTB203" s="2"/>
      <c r="CTC203" s="2"/>
      <c r="CTD203" s="2"/>
      <c r="CTE203" s="2"/>
      <c r="CTF203" s="2"/>
      <c r="CTG203" s="2"/>
      <c r="CTH203" s="2"/>
      <c r="CTI203" s="2"/>
      <c r="CTJ203" s="2"/>
      <c r="CTK203" s="2"/>
      <c r="CTL203" s="2"/>
      <c r="CTM203" s="2"/>
      <c r="CTN203" s="2"/>
      <c r="CTO203" s="2"/>
      <c r="CTP203" s="2"/>
      <c r="CTQ203" s="2"/>
      <c r="CTR203" s="2"/>
      <c r="CTS203" s="2"/>
      <c r="CTT203" s="2"/>
      <c r="CTU203" s="2"/>
      <c r="CTV203" s="2"/>
      <c r="CTW203" s="2"/>
      <c r="CTX203" s="2"/>
      <c r="CTY203" s="2"/>
      <c r="CTZ203" s="2"/>
      <c r="CUA203" s="2"/>
      <c r="CUB203" s="2"/>
      <c r="CUC203" s="2"/>
      <c r="CUD203" s="2"/>
      <c r="CUE203" s="2"/>
      <c r="CUF203" s="2"/>
      <c r="CUG203" s="2"/>
      <c r="CUH203" s="2"/>
      <c r="CUI203" s="2"/>
      <c r="CUJ203" s="2"/>
      <c r="CUK203" s="2"/>
      <c r="CUL203" s="2"/>
      <c r="CUM203" s="2"/>
      <c r="CUN203" s="2"/>
      <c r="CUO203" s="2"/>
      <c r="CUP203" s="2"/>
      <c r="CUQ203" s="2"/>
      <c r="CUR203" s="2"/>
      <c r="CUS203" s="2"/>
      <c r="CUT203" s="2"/>
      <c r="CUU203" s="2"/>
      <c r="CUV203" s="2"/>
      <c r="CUW203" s="2"/>
      <c r="CUX203" s="2"/>
      <c r="CUY203" s="2"/>
      <c r="CUZ203" s="2"/>
      <c r="CVA203" s="2"/>
      <c r="CVB203" s="2"/>
      <c r="CVC203" s="2"/>
      <c r="CVD203" s="2"/>
      <c r="CVE203" s="2"/>
      <c r="CVF203" s="2"/>
      <c r="CVG203" s="2"/>
      <c r="CVH203" s="2"/>
      <c r="CVI203" s="2"/>
      <c r="CVJ203" s="2"/>
      <c r="CVK203" s="2"/>
      <c r="CVL203" s="2"/>
      <c r="CVM203" s="2"/>
      <c r="CVN203" s="2"/>
      <c r="CVO203" s="2"/>
      <c r="CVP203" s="2"/>
      <c r="CVQ203" s="2"/>
      <c r="CVR203" s="2"/>
      <c r="CVS203" s="2"/>
      <c r="CVT203" s="2"/>
      <c r="CVU203" s="2"/>
      <c r="CVV203" s="2"/>
      <c r="CVW203" s="2"/>
      <c r="CVX203" s="2"/>
      <c r="CVY203" s="2"/>
      <c r="CVZ203" s="2"/>
      <c r="CWA203" s="2"/>
      <c r="CWB203" s="2"/>
      <c r="CWC203" s="2"/>
      <c r="CWD203" s="2"/>
      <c r="CWE203" s="2"/>
      <c r="CWF203" s="2"/>
      <c r="CWG203" s="2"/>
      <c r="CWH203" s="2"/>
      <c r="CWI203" s="2"/>
      <c r="CWJ203" s="2"/>
      <c r="CWK203" s="2"/>
      <c r="CWL203" s="2"/>
      <c r="CWM203" s="2"/>
      <c r="CWN203" s="2"/>
      <c r="CWO203" s="2"/>
      <c r="CWP203" s="2"/>
      <c r="CWQ203" s="2"/>
      <c r="CWR203" s="2"/>
      <c r="CWS203" s="2"/>
      <c r="CWT203" s="2"/>
      <c r="CWU203" s="2"/>
      <c r="CWV203" s="2"/>
      <c r="CWW203" s="2"/>
      <c r="CWX203" s="2"/>
      <c r="CWY203" s="2"/>
      <c r="CWZ203" s="2"/>
      <c r="CXA203" s="2"/>
      <c r="CXB203" s="2"/>
      <c r="CXC203" s="2"/>
      <c r="CXD203" s="2"/>
      <c r="CXE203" s="2"/>
      <c r="CXF203" s="2"/>
      <c r="CXG203" s="2"/>
      <c r="CXH203" s="2"/>
      <c r="CXI203" s="2"/>
      <c r="CXJ203" s="2"/>
      <c r="CXK203" s="2"/>
      <c r="CXL203" s="2"/>
      <c r="CXM203" s="2"/>
      <c r="CXN203" s="2"/>
      <c r="CXO203" s="2"/>
      <c r="CXP203" s="2"/>
      <c r="CXQ203" s="2"/>
      <c r="CXR203" s="2"/>
      <c r="CXS203" s="2"/>
      <c r="CXT203" s="2"/>
      <c r="CXU203" s="2"/>
      <c r="CXV203" s="2"/>
      <c r="CXW203" s="2"/>
      <c r="CXX203" s="2"/>
      <c r="CXY203" s="2"/>
      <c r="CXZ203" s="2"/>
      <c r="CYA203" s="2"/>
      <c r="CYB203" s="2"/>
      <c r="CYC203" s="2"/>
      <c r="CYD203" s="2"/>
      <c r="CYE203" s="2"/>
      <c r="CYF203" s="2"/>
      <c r="CYG203" s="2"/>
      <c r="CYH203" s="2"/>
      <c r="CYI203" s="2"/>
      <c r="CYJ203" s="2"/>
      <c r="CYK203" s="2"/>
      <c r="CYL203" s="2"/>
      <c r="CYM203" s="2"/>
      <c r="CYN203" s="2"/>
      <c r="CYO203" s="2"/>
      <c r="CYP203" s="2"/>
      <c r="CYQ203" s="2"/>
      <c r="CYR203" s="2"/>
      <c r="CYS203" s="2"/>
      <c r="CYT203" s="2"/>
      <c r="CYU203" s="2"/>
      <c r="CYV203" s="2"/>
      <c r="CYW203" s="2"/>
      <c r="CYX203" s="2"/>
      <c r="CYY203" s="2"/>
      <c r="CYZ203" s="2"/>
      <c r="CZA203" s="2"/>
      <c r="CZB203" s="2"/>
      <c r="CZC203" s="2"/>
      <c r="CZD203" s="2"/>
      <c r="CZE203" s="2"/>
      <c r="CZF203" s="2"/>
      <c r="CZG203" s="2"/>
      <c r="CZH203" s="2"/>
      <c r="CZI203" s="2"/>
      <c r="CZJ203" s="2"/>
      <c r="CZK203" s="2"/>
      <c r="CZL203" s="2"/>
      <c r="CZM203" s="2"/>
      <c r="CZN203" s="2"/>
      <c r="CZO203" s="2"/>
      <c r="CZP203" s="2"/>
      <c r="CZQ203" s="2"/>
      <c r="CZR203" s="2"/>
      <c r="CZS203" s="2"/>
      <c r="CZT203" s="2"/>
      <c r="CZU203" s="2"/>
      <c r="CZV203" s="2"/>
      <c r="CZW203" s="2"/>
      <c r="CZX203" s="2"/>
      <c r="CZY203" s="2"/>
      <c r="CZZ203" s="2"/>
      <c r="DAA203" s="2"/>
      <c r="DAB203" s="2"/>
      <c r="DAC203" s="2"/>
      <c r="DAD203" s="2"/>
      <c r="DAE203" s="2"/>
      <c r="DAF203" s="2"/>
      <c r="DAG203" s="2"/>
      <c r="DAH203" s="2"/>
      <c r="DAI203" s="2"/>
      <c r="DAJ203" s="2"/>
      <c r="DAK203" s="2"/>
      <c r="DAL203" s="2"/>
      <c r="DAM203" s="2"/>
      <c r="DAN203" s="2"/>
      <c r="DAO203" s="2"/>
      <c r="DAP203" s="2"/>
      <c r="DAQ203" s="2"/>
      <c r="DAR203" s="2"/>
      <c r="DAS203" s="2"/>
      <c r="DAT203" s="2"/>
      <c r="DAU203" s="2"/>
      <c r="DAV203" s="2"/>
      <c r="DAW203" s="2"/>
      <c r="DAX203" s="2"/>
      <c r="DAY203" s="2"/>
      <c r="DAZ203" s="2"/>
      <c r="DBA203" s="2"/>
      <c r="DBB203" s="2"/>
      <c r="DBC203" s="2"/>
      <c r="DBD203" s="2"/>
      <c r="DBE203" s="2"/>
      <c r="DBF203" s="2"/>
      <c r="DBG203" s="2"/>
      <c r="DBH203" s="2"/>
      <c r="DBI203" s="2"/>
      <c r="DBJ203" s="2"/>
      <c r="DBK203" s="2"/>
      <c r="DBL203" s="2"/>
      <c r="DBM203" s="2"/>
      <c r="DBN203" s="2"/>
      <c r="DBO203" s="2"/>
      <c r="DBP203" s="2"/>
      <c r="DBQ203" s="2"/>
      <c r="DBR203" s="2"/>
      <c r="DBS203" s="2"/>
      <c r="DBT203" s="2"/>
      <c r="DBU203" s="2"/>
      <c r="DBV203" s="2"/>
      <c r="DBW203" s="2"/>
      <c r="DBX203" s="2"/>
      <c r="DBY203" s="2"/>
      <c r="DBZ203" s="2"/>
      <c r="DCA203" s="2"/>
      <c r="DCB203" s="2"/>
      <c r="DCC203" s="2"/>
      <c r="DCD203" s="2"/>
      <c r="DCE203" s="2"/>
      <c r="DCF203" s="2"/>
      <c r="DCG203" s="2"/>
      <c r="DCH203" s="2"/>
      <c r="DCI203" s="2"/>
      <c r="DCJ203" s="2"/>
      <c r="DCK203" s="2"/>
      <c r="DCL203" s="2"/>
      <c r="DCM203" s="2"/>
      <c r="DCN203" s="2"/>
      <c r="DCO203" s="2"/>
      <c r="DCP203" s="2"/>
      <c r="DCQ203" s="2"/>
      <c r="DCR203" s="2"/>
      <c r="DCS203" s="2"/>
      <c r="DCT203" s="2"/>
      <c r="DCU203" s="2"/>
      <c r="DCV203" s="2"/>
      <c r="DCW203" s="2"/>
      <c r="DCX203" s="2"/>
      <c r="DCY203" s="2"/>
      <c r="DCZ203" s="2"/>
      <c r="DDA203" s="2"/>
      <c r="DDB203" s="2"/>
      <c r="DDC203" s="2"/>
      <c r="DDD203" s="2"/>
      <c r="DDE203" s="2"/>
      <c r="DDF203" s="2"/>
      <c r="DDG203" s="2"/>
      <c r="DDH203" s="2"/>
      <c r="DDI203" s="2"/>
      <c r="DDJ203" s="2"/>
      <c r="DDK203" s="2"/>
      <c r="DDL203" s="2"/>
      <c r="DDM203" s="2"/>
      <c r="DDN203" s="2"/>
      <c r="DDO203" s="2"/>
      <c r="DDP203" s="2"/>
      <c r="DDQ203" s="2"/>
      <c r="DDR203" s="2"/>
      <c r="DDS203" s="2"/>
      <c r="DDT203" s="2"/>
      <c r="DDU203" s="2"/>
      <c r="DDV203" s="2"/>
      <c r="DDW203" s="2"/>
      <c r="DDX203" s="2"/>
      <c r="DDY203" s="2"/>
      <c r="DDZ203" s="2"/>
      <c r="DEA203" s="2"/>
      <c r="DEB203" s="2"/>
      <c r="DEC203" s="2"/>
      <c r="DED203" s="2"/>
      <c r="DEE203" s="2"/>
      <c r="DEF203" s="2"/>
      <c r="DEG203" s="2"/>
      <c r="DEH203" s="2"/>
      <c r="DEI203" s="2"/>
      <c r="DEJ203" s="2"/>
      <c r="DEK203" s="2"/>
      <c r="DEL203" s="2"/>
      <c r="DEM203" s="2"/>
      <c r="DEN203" s="2"/>
      <c r="DEO203" s="2"/>
      <c r="DEP203" s="2"/>
      <c r="DEQ203" s="2"/>
      <c r="DER203" s="2"/>
      <c r="DES203" s="2"/>
      <c r="DET203" s="2"/>
      <c r="DEU203" s="2"/>
      <c r="DEV203" s="2"/>
      <c r="DEW203" s="2"/>
      <c r="DEX203" s="2"/>
      <c r="DEY203" s="2"/>
      <c r="DEZ203" s="2"/>
      <c r="DFA203" s="2"/>
      <c r="DFB203" s="2"/>
      <c r="DFC203" s="2"/>
      <c r="DFD203" s="2"/>
      <c r="DFE203" s="2"/>
      <c r="DFF203" s="2"/>
      <c r="DFG203" s="2"/>
      <c r="DFH203" s="2"/>
      <c r="DFI203" s="2"/>
      <c r="DFJ203" s="2"/>
      <c r="DFK203" s="2"/>
      <c r="DFL203" s="2"/>
      <c r="DFM203" s="2"/>
      <c r="DFN203" s="2"/>
      <c r="DFO203" s="2"/>
      <c r="DFP203" s="2"/>
      <c r="DFQ203" s="2"/>
      <c r="DFR203" s="2"/>
      <c r="DFS203" s="2"/>
      <c r="DFT203" s="2"/>
      <c r="DFU203" s="2"/>
      <c r="DFV203" s="2"/>
      <c r="DFW203" s="2"/>
      <c r="DFX203" s="2"/>
      <c r="DFY203" s="2"/>
      <c r="DFZ203" s="2"/>
      <c r="DGA203" s="2"/>
      <c r="DGB203" s="2"/>
      <c r="DGC203" s="2"/>
      <c r="DGD203" s="2"/>
      <c r="DGE203" s="2"/>
      <c r="DGF203" s="2"/>
      <c r="DGG203" s="2"/>
      <c r="DGH203" s="2"/>
      <c r="DGI203" s="2"/>
      <c r="DGJ203" s="2"/>
      <c r="DGK203" s="2"/>
      <c r="DGL203" s="2"/>
      <c r="DGM203" s="2"/>
      <c r="DGN203" s="2"/>
      <c r="DGO203" s="2"/>
      <c r="DGP203" s="2"/>
      <c r="DGQ203" s="2"/>
      <c r="DGR203" s="2"/>
      <c r="DGS203" s="2"/>
      <c r="DGT203" s="2"/>
      <c r="DGU203" s="2"/>
      <c r="DGV203" s="2"/>
      <c r="DGW203" s="2"/>
      <c r="DGX203" s="2"/>
      <c r="DGY203" s="2"/>
      <c r="DGZ203" s="2"/>
      <c r="DHA203" s="2"/>
      <c r="DHB203" s="2"/>
      <c r="DHC203" s="2"/>
      <c r="DHD203" s="2"/>
      <c r="DHE203" s="2"/>
      <c r="DHF203" s="2"/>
      <c r="DHG203" s="2"/>
      <c r="DHH203" s="2"/>
      <c r="DHI203" s="2"/>
      <c r="DHJ203" s="2"/>
      <c r="DHK203" s="2"/>
      <c r="DHL203" s="2"/>
      <c r="DHM203" s="2"/>
      <c r="DHN203" s="2"/>
      <c r="DHO203" s="2"/>
      <c r="DHP203" s="2"/>
      <c r="DHQ203" s="2"/>
      <c r="DHR203" s="2"/>
      <c r="DHS203" s="2"/>
      <c r="DHT203" s="2"/>
      <c r="DHU203" s="2"/>
      <c r="DHV203" s="2"/>
      <c r="DHW203" s="2"/>
      <c r="DHX203" s="2"/>
      <c r="DHY203" s="2"/>
      <c r="DHZ203" s="2"/>
      <c r="DIA203" s="2"/>
      <c r="DIB203" s="2"/>
      <c r="DIC203" s="2"/>
      <c r="DID203" s="2"/>
      <c r="DIE203" s="2"/>
      <c r="DIF203" s="2"/>
      <c r="DIG203" s="2"/>
      <c r="DIH203" s="2"/>
      <c r="DII203" s="2"/>
      <c r="DIJ203" s="2"/>
      <c r="DIK203" s="2"/>
      <c r="DIL203" s="2"/>
      <c r="DIM203" s="2"/>
      <c r="DIN203" s="2"/>
      <c r="DIO203" s="2"/>
      <c r="DIP203" s="2"/>
      <c r="DIQ203" s="2"/>
      <c r="DIR203" s="2"/>
      <c r="DIS203" s="2"/>
      <c r="DIT203" s="2"/>
      <c r="DIU203" s="2"/>
      <c r="DIV203" s="2"/>
      <c r="DIW203" s="2"/>
      <c r="DIX203" s="2"/>
      <c r="DIY203" s="2"/>
      <c r="DIZ203" s="2"/>
      <c r="DJA203" s="2"/>
      <c r="DJB203" s="2"/>
      <c r="DJC203" s="2"/>
      <c r="DJD203" s="2"/>
      <c r="DJE203" s="2"/>
      <c r="DJF203" s="2"/>
      <c r="DJG203" s="2"/>
      <c r="DJH203" s="2"/>
      <c r="DJI203" s="2"/>
      <c r="DJJ203" s="2"/>
      <c r="DJK203" s="2"/>
      <c r="DJL203" s="2"/>
      <c r="DJM203" s="2"/>
      <c r="DJN203" s="2"/>
      <c r="DJO203" s="2"/>
      <c r="DJP203" s="2"/>
      <c r="DJQ203" s="2"/>
      <c r="DJR203" s="2"/>
      <c r="DJS203" s="2"/>
      <c r="DJT203" s="2"/>
      <c r="DJU203" s="2"/>
      <c r="DJV203" s="2"/>
      <c r="DJW203" s="2"/>
      <c r="DJX203" s="2"/>
      <c r="DJY203" s="2"/>
      <c r="DJZ203" s="2"/>
      <c r="DKA203" s="2"/>
      <c r="DKB203" s="2"/>
      <c r="DKC203" s="2"/>
      <c r="DKD203" s="2"/>
      <c r="DKE203" s="2"/>
      <c r="DKF203" s="2"/>
      <c r="DKG203" s="2"/>
      <c r="DKH203" s="2"/>
      <c r="DKI203" s="2"/>
      <c r="DKJ203" s="2"/>
      <c r="DKK203" s="2"/>
      <c r="DKL203" s="2"/>
      <c r="DKM203" s="2"/>
      <c r="DKN203" s="2"/>
      <c r="DKO203" s="2"/>
      <c r="DKP203" s="2"/>
      <c r="DKQ203" s="2"/>
      <c r="DKR203" s="2"/>
      <c r="DKS203" s="2"/>
      <c r="DKT203" s="2"/>
      <c r="DKU203" s="2"/>
      <c r="DKV203" s="2"/>
      <c r="DKW203" s="2"/>
      <c r="DKX203" s="2"/>
      <c r="DKY203" s="2"/>
      <c r="DKZ203" s="2"/>
      <c r="DLA203" s="2"/>
      <c r="DLB203" s="2"/>
      <c r="DLC203" s="2"/>
      <c r="DLD203" s="2"/>
      <c r="DLE203" s="2"/>
      <c r="DLF203" s="2"/>
      <c r="DLG203" s="2"/>
      <c r="DLH203" s="2"/>
      <c r="DLI203" s="2"/>
      <c r="DLJ203" s="2"/>
      <c r="DLK203" s="2"/>
      <c r="DLL203" s="2"/>
      <c r="DLM203" s="2"/>
      <c r="DLN203" s="2"/>
      <c r="DLO203" s="2"/>
      <c r="DLP203" s="2"/>
      <c r="DLQ203" s="2"/>
      <c r="DLR203" s="2"/>
      <c r="DLS203" s="2"/>
      <c r="DLT203" s="2"/>
      <c r="DLU203" s="2"/>
      <c r="DLV203" s="2"/>
      <c r="DLW203" s="2"/>
      <c r="DLX203" s="2"/>
      <c r="DLY203" s="2"/>
      <c r="DLZ203" s="2"/>
      <c r="DMA203" s="2"/>
      <c r="DMB203" s="2"/>
      <c r="DMC203" s="2"/>
      <c r="DMD203" s="2"/>
      <c r="DME203" s="2"/>
      <c r="DMF203" s="2"/>
      <c r="DMG203" s="2"/>
      <c r="DMH203" s="2"/>
      <c r="DMI203" s="2"/>
      <c r="DMJ203" s="2"/>
      <c r="DMK203" s="2"/>
      <c r="DML203" s="2"/>
      <c r="DMM203" s="2"/>
      <c r="DMN203" s="2"/>
      <c r="DMO203" s="2"/>
      <c r="DMP203" s="2"/>
      <c r="DMQ203" s="2"/>
      <c r="DMR203" s="2"/>
      <c r="DMS203" s="2"/>
      <c r="DMT203" s="2"/>
      <c r="DMU203" s="2"/>
      <c r="DMV203" s="2"/>
      <c r="DMW203" s="2"/>
      <c r="DMX203" s="2"/>
      <c r="DMY203" s="2"/>
      <c r="DMZ203" s="2"/>
      <c r="DNA203" s="2"/>
      <c r="DNB203" s="2"/>
      <c r="DNC203" s="2"/>
      <c r="DND203" s="2"/>
      <c r="DNE203" s="2"/>
      <c r="DNF203" s="2"/>
      <c r="DNG203" s="2"/>
      <c r="DNH203" s="2"/>
      <c r="DNI203" s="2"/>
      <c r="DNJ203" s="2"/>
      <c r="DNK203" s="2"/>
      <c r="DNL203" s="2"/>
      <c r="DNM203" s="2"/>
      <c r="DNN203" s="2"/>
      <c r="DNO203" s="2"/>
      <c r="DNP203" s="2"/>
      <c r="DNQ203" s="2"/>
      <c r="DNR203" s="2"/>
      <c r="DNS203" s="2"/>
      <c r="DNT203" s="2"/>
      <c r="DNU203" s="2"/>
      <c r="DNV203" s="2"/>
      <c r="DNW203" s="2"/>
      <c r="DNX203" s="2"/>
      <c r="DNY203" s="2"/>
      <c r="DNZ203" s="2"/>
      <c r="DOA203" s="2"/>
      <c r="DOB203" s="2"/>
      <c r="DOC203" s="2"/>
      <c r="DOD203" s="2"/>
      <c r="DOE203" s="2"/>
      <c r="DOF203" s="2"/>
      <c r="DOG203" s="2"/>
      <c r="DOH203" s="2"/>
      <c r="DOI203" s="2"/>
      <c r="DOJ203" s="2"/>
      <c r="DOK203" s="2"/>
      <c r="DOL203" s="2"/>
      <c r="DOM203" s="2"/>
      <c r="DON203" s="2"/>
      <c r="DOO203" s="2"/>
      <c r="DOP203" s="2"/>
      <c r="DOQ203" s="2"/>
      <c r="DOR203" s="2"/>
      <c r="DOS203" s="2"/>
      <c r="DOT203" s="2"/>
      <c r="DOU203" s="2"/>
      <c r="DOV203" s="2"/>
      <c r="DOW203" s="2"/>
      <c r="DOX203" s="2"/>
      <c r="DOY203" s="2"/>
      <c r="DOZ203" s="2"/>
      <c r="DPA203" s="2"/>
      <c r="DPB203" s="2"/>
      <c r="DPC203" s="2"/>
      <c r="DPD203" s="2"/>
      <c r="DPE203" s="2"/>
      <c r="DPF203" s="2"/>
      <c r="DPG203" s="2"/>
      <c r="DPH203" s="2"/>
      <c r="DPI203" s="2"/>
      <c r="DPJ203" s="2"/>
      <c r="DPK203" s="2"/>
      <c r="DPL203" s="2"/>
      <c r="DPM203" s="2"/>
      <c r="DPN203" s="2"/>
      <c r="DPO203" s="2"/>
      <c r="DPP203" s="2"/>
      <c r="DPQ203" s="2"/>
      <c r="DPR203" s="2"/>
      <c r="DPS203" s="2"/>
      <c r="DPT203" s="2"/>
      <c r="DPU203" s="2"/>
      <c r="DPV203" s="2"/>
      <c r="DPW203" s="2"/>
      <c r="DPX203" s="2"/>
      <c r="DPY203" s="2"/>
      <c r="DPZ203" s="2"/>
      <c r="DQA203" s="2"/>
      <c r="DQB203" s="2"/>
      <c r="DQC203" s="2"/>
      <c r="DQD203" s="2"/>
      <c r="DQE203" s="2"/>
      <c r="DQF203" s="2"/>
      <c r="DQG203" s="2"/>
      <c r="DQH203" s="2"/>
      <c r="DQI203" s="2"/>
      <c r="DQJ203" s="2"/>
      <c r="DQK203" s="2"/>
      <c r="DQL203" s="2"/>
      <c r="DQM203" s="2"/>
      <c r="DQN203" s="2"/>
      <c r="DQO203" s="2"/>
      <c r="DQP203" s="2"/>
      <c r="DQQ203" s="2"/>
      <c r="DQR203" s="2"/>
      <c r="DQS203" s="2"/>
      <c r="DQT203" s="2"/>
      <c r="DQU203" s="2"/>
      <c r="DQV203" s="2"/>
      <c r="DQW203" s="2"/>
      <c r="DQX203" s="2"/>
      <c r="DQY203" s="2"/>
      <c r="DQZ203" s="2"/>
      <c r="DRA203" s="2"/>
      <c r="DRB203" s="2"/>
      <c r="DRC203" s="2"/>
      <c r="DRD203" s="2"/>
      <c r="DRE203" s="2"/>
      <c r="DRF203" s="2"/>
      <c r="DRG203" s="2"/>
      <c r="DRH203" s="2"/>
      <c r="DRI203" s="2"/>
      <c r="DRJ203" s="2"/>
      <c r="DRK203" s="2"/>
      <c r="DRL203" s="2"/>
      <c r="DRM203" s="2"/>
      <c r="DRN203" s="2"/>
      <c r="DRO203" s="2"/>
      <c r="DRP203" s="2"/>
      <c r="DRQ203" s="2"/>
      <c r="DRR203" s="2"/>
      <c r="DRS203" s="2"/>
      <c r="DRT203" s="2"/>
      <c r="DRU203" s="2"/>
      <c r="DRV203" s="2"/>
      <c r="DRW203" s="2"/>
      <c r="DRX203" s="2"/>
      <c r="DRY203" s="2"/>
      <c r="DRZ203" s="2"/>
      <c r="DSA203" s="2"/>
      <c r="DSB203" s="2"/>
      <c r="DSC203" s="2"/>
      <c r="DSD203" s="2"/>
      <c r="DSE203" s="2"/>
      <c r="DSF203" s="2"/>
      <c r="DSG203" s="2"/>
      <c r="DSH203" s="2"/>
      <c r="DSI203" s="2"/>
      <c r="DSJ203" s="2"/>
      <c r="DSK203" s="2"/>
      <c r="DSL203" s="2"/>
      <c r="DSM203" s="2"/>
      <c r="DSN203" s="2"/>
      <c r="DSO203" s="2"/>
      <c r="DSP203" s="2"/>
      <c r="DSQ203" s="2"/>
      <c r="DSR203" s="2"/>
      <c r="DSS203" s="2"/>
      <c r="DST203" s="2"/>
      <c r="DSU203" s="2"/>
      <c r="DSV203" s="2"/>
      <c r="DSW203" s="2"/>
      <c r="DSX203" s="2"/>
      <c r="DSY203" s="2"/>
      <c r="DSZ203" s="2"/>
      <c r="DTA203" s="2"/>
      <c r="DTB203" s="2"/>
      <c r="DTC203" s="2"/>
      <c r="DTD203" s="2"/>
      <c r="DTE203" s="2"/>
      <c r="DTF203" s="2"/>
      <c r="DTG203" s="2"/>
      <c r="DTH203" s="2"/>
      <c r="DTI203" s="2"/>
      <c r="DTJ203" s="2"/>
      <c r="DTK203" s="2"/>
      <c r="DTL203" s="2"/>
      <c r="DTM203" s="2"/>
      <c r="DTN203" s="2"/>
      <c r="DTO203" s="2"/>
      <c r="DTP203" s="2"/>
      <c r="DTQ203" s="2"/>
      <c r="DTR203" s="2"/>
      <c r="DTS203" s="2"/>
      <c r="DTT203" s="2"/>
      <c r="DTU203" s="2"/>
      <c r="DTV203" s="2"/>
      <c r="DTW203" s="2"/>
      <c r="DTX203" s="2"/>
      <c r="DTY203" s="2"/>
      <c r="DTZ203" s="2"/>
      <c r="DUA203" s="2"/>
      <c r="DUB203" s="2"/>
      <c r="DUC203" s="2"/>
      <c r="DUD203" s="2"/>
      <c r="DUE203" s="2"/>
      <c r="DUF203" s="2"/>
      <c r="DUG203" s="2"/>
      <c r="DUH203" s="2"/>
      <c r="DUI203" s="2"/>
      <c r="DUJ203" s="2"/>
      <c r="DUK203" s="2"/>
      <c r="DUL203" s="2"/>
      <c r="DUM203" s="2"/>
      <c r="DUN203" s="2"/>
      <c r="DUO203" s="2"/>
      <c r="DUP203" s="2"/>
      <c r="DUQ203" s="2"/>
      <c r="DUR203" s="2"/>
      <c r="DUS203" s="2"/>
      <c r="DUT203" s="2"/>
      <c r="DUU203" s="2"/>
      <c r="DUV203" s="2"/>
      <c r="DUW203" s="2"/>
      <c r="DUX203" s="2"/>
      <c r="DUY203" s="2"/>
      <c r="DUZ203" s="2"/>
      <c r="DVA203" s="2"/>
      <c r="DVB203" s="2"/>
      <c r="DVC203" s="2"/>
      <c r="DVD203" s="2"/>
      <c r="DVE203" s="2"/>
      <c r="DVF203" s="2"/>
      <c r="DVG203" s="2"/>
      <c r="DVH203" s="2"/>
      <c r="DVI203" s="2"/>
      <c r="DVJ203" s="2"/>
      <c r="DVK203" s="2"/>
      <c r="DVL203" s="2"/>
      <c r="DVM203" s="2"/>
      <c r="DVN203" s="2"/>
      <c r="DVO203" s="2"/>
      <c r="DVP203" s="2"/>
      <c r="DVQ203" s="2"/>
      <c r="DVR203" s="2"/>
      <c r="DVS203" s="2"/>
      <c r="DVT203" s="2"/>
      <c r="DVU203" s="2"/>
      <c r="DVV203" s="2"/>
      <c r="DVW203" s="2"/>
      <c r="DVX203" s="2"/>
      <c r="DVY203" s="2"/>
      <c r="DVZ203" s="2"/>
      <c r="DWA203" s="2"/>
      <c r="DWB203" s="2"/>
      <c r="DWC203" s="2"/>
      <c r="DWD203" s="2"/>
      <c r="DWE203" s="2"/>
      <c r="DWF203" s="2"/>
      <c r="DWG203" s="2"/>
      <c r="DWH203" s="2"/>
      <c r="DWI203" s="2"/>
      <c r="DWJ203" s="2"/>
      <c r="DWK203" s="2"/>
      <c r="DWL203" s="2"/>
      <c r="DWM203" s="2"/>
      <c r="DWN203" s="2"/>
      <c r="DWO203" s="2"/>
      <c r="DWP203" s="2"/>
      <c r="DWQ203" s="2"/>
      <c r="DWR203" s="2"/>
      <c r="DWS203" s="2"/>
      <c r="DWT203" s="2"/>
      <c r="DWU203" s="2"/>
      <c r="DWV203" s="2"/>
      <c r="DWW203" s="2"/>
      <c r="DWX203" s="2"/>
      <c r="DWY203" s="2"/>
      <c r="DWZ203" s="2"/>
      <c r="DXA203" s="2"/>
      <c r="DXB203" s="2"/>
      <c r="DXC203" s="2"/>
      <c r="DXD203" s="2"/>
      <c r="DXE203" s="2"/>
      <c r="DXF203" s="2"/>
      <c r="DXG203" s="2"/>
      <c r="DXH203" s="2"/>
      <c r="DXI203" s="2"/>
      <c r="DXJ203" s="2"/>
      <c r="DXK203" s="2"/>
      <c r="DXL203" s="2"/>
      <c r="DXM203" s="2"/>
      <c r="DXN203" s="2"/>
      <c r="DXO203" s="2"/>
      <c r="DXP203" s="2"/>
      <c r="DXQ203" s="2"/>
      <c r="DXR203" s="2"/>
      <c r="DXS203" s="2"/>
      <c r="DXT203" s="2"/>
      <c r="DXU203" s="2"/>
      <c r="DXV203" s="2"/>
      <c r="DXW203" s="2"/>
      <c r="DXX203" s="2"/>
      <c r="DXY203" s="2"/>
      <c r="DXZ203" s="2"/>
      <c r="DYA203" s="2"/>
      <c r="DYB203" s="2"/>
      <c r="DYC203" s="2"/>
      <c r="DYD203" s="2"/>
      <c r="DYE203" s="2"/>
      <c r="DYF203" s="2"/>
      <c r="DYG203" s="2"/>
      <c r="DYH203" s="2"/>
      <c r="DYI203" s="2"/>
      <c r="DYJ203" s="2"/>
      <c r="DYK203" s="2"/>
      <c r="DYL203" s="2"/>
      <c r="DYM203" s="2"/>
      <c r="DYN203" s="2"/>
      <c r="DYO203" s="2"/>
      <c r="DYP203" s="2"/>
      <c r="DYQ203" s="2"/>
      <c r="DYR203" s="2"/>
      <c r="DYS203" s="2"/>
      <c r="DYT203" s="2"/>
      <c r="DYU203" s="2"/>
      <c r="DYV203" s="2"/>
      <c r="DYW203" s="2"/>
      <c r="DYX203" s="2"/>
      <c r="DYY203" s="2"/>
      <c r="DYZ203" s="2"/>
      <c r="DZA203" s="2"/>
      <c r="DZB203" s="2"/>
      <c r="DZC203" s="2"/>
      <c r="DZD203" s="2"/>
      <c r="DZE203" s="2"/>
      <c r="DZF203" s="2"/>
      <c r="DZG203" s="2"/>
      <c r="DZH203" s="2"/>
      <c r="DZI203" s="2"/>
      <c r="DZJ203" s="2"/>
      <c r="DZK203" s="2"/>
      <c r="DZL203" s="2"/>
      <c r="DZM203" s="2"/>
      <c r="DZN203" s="2"/>
      <c r="DZO203" s="2"/>
      <c r="DZP203" s="2"/>
      <c r="DZQ203" s="2"/>
      <c r="DZR203" s="2"/>
      <c r="DZS203" s="2"/>
      <c r="DZT203" s="2"/>
      <c r="DZU203" s="2"/>
      <c r="DZV203" s="2"/>
      <c r="DZW203" s="2"/>
      <c r="DZX203" s="2"/>
      <c r="DZY203" s="2"/>
      <c r="DZZ203" s="2"/>
      <c r="EAA203" s="2"/>
      <c r="EAB203" s="2"/>
      <c r="EAC203" s="2"/>
      <c r="EAD203" s="2"/>
      <c r="EAE203" s="2"/>
      <c r="EAF203" s="2"/>
      <c r="EAG203" s="2"/>
      <c r="EAH203" s="2"/>
      <c r="EAI203" s="2"/>
      <c r="EAJ203" s="2"/>
      <c r="EAK203" s="2"/>
      <c r="EAL203" s="2"/>
      <c r="EAM203" s="2"/>
      <c r="EAN203" s="2"/>
      <c r="EAO203" s="2"/>
      <c r="EAP203" s="2"/>
      <c r="EAQ203" s="2"/>
      <c r="EAR203" s="2"/>
      <c r="EAS203" s="2"/>
      <c r="EAT203" s="2"/>
      <c r="EAU203" s="2"/>
      <c r="EAV203" s="2"/>
      <c r="EAW203" s="2"/>
      <c r="EAX203" s="2"/>
      <c r="EAY203" s="2"/>
      <c r="EAZ203" s="2"/>
      <c r="EBA203" s="2"/>
      <c r="EBB203" s="2"/>
      <c r="EBC203" s="2"/>
      <c r="EBD203" s="2"/>
      <c r="EBE203" s="2"/>
      <c r="EBF203" s="2"/>
      <c r="EBG203" s="2"/>
      <c r="EBH203" s="2"/>
      <c r="EBI203" s="2"/>
      <c r="EBJ203" s="2"/>
      <c r="EBK203" s="2"/>
      <c r="EBL203" s="2"/>
      <c r="EBM203" s="2"/>
      <c r="EBN203" s="2"/>
      <c r="EBO203" s="2"/>
      <c r="EBP203" s="2"/>
      <c r="EBQ203" s="2"/>
      <c r="EBR203" s="2"/>
      <c r="EBS203" s="2"/>
      <c r="EBT203" s="2"/>
      <c r="EBU203" s="2"/>
      <c r="EBV203" s="2"/>
      <c r="EBW203" s="2"/>
      <c r="EBX203" s="2"/>
      <c r="EBY203" s="2"/>
      <c r="EBZ203" s="2"/>
      <c r="ECA203" s="2"/>
      <c r="ECB203" s="2"/>
      <c r="ECC203" s="2"/>
      <c r="ECD203" s="2"/>
      <c r="ECE203" s="2"/>
      <c r="ECF203" s="2"/>
      <c r="ECG203" s="2"/>
      <c r="ECH203" s="2"/>
      <c r="ECI203" s="2"/>
      <c r="ECJ203" s="2"/>
      <c r="ECK203" s="2"/>
      <c r="ECL203" s="2"/>
      <c r="ECM203" s="2"/>
      <c r="ECN203" s="2"/>
      <c r="ECO203" s="2"/>
      <c r="ECP203" s="2"/>
      <c r="ECQ203" s="2"/>
      <c r="ECR203" s="2"/>
      <c r="ECS203" s="2"/>
      <c r="ECT203" s="2"/>
      <c r="ECU203" s="2"/>
      <c r="ECV203" s="2"/>
      <c r="ECW203" s="2"/>
      <c r="ECX203" s="2"/>
      <c r="ECY203" s="2"/>
      <c r="ECZ203" s="2"/>
      <c r="EDA203" s="2"/>
      <c r="EDB203" s="2"/>
      <c r="EDC203" s="2"/>
      <c r="EDD203" s="2"/>
      <c r="EDE203" s="2"/>
      <c r="EDF203" s="2"/>
      <c r="EDG203" s="2"/>
      <c r="EDH203" s="2"/>
      <c r="EDI203" s="2"/>
      <c r="EDJ203" s="2"/>
      <c r="EDK203" s="2"/>
      <c r="EDL203" s="2"/>
      <c r="EDM203" s="2"/>
      <c r="EDN203" s="2"/>
      <c r="EDO203" s="2"/>
      <c r="EDP203" s="2"/>
      <c r="EDQ203" s="2"/>
      <c r="EDR203" s="2"/>
      <c r="EDS203" s="2"/>
      <c r="EDT203" s="2"/>
      <c r="EDU203" s="2"/>
      <c r="EDV203" s="2"/>
      <c r="EDW203" s="2"/>
      <c r="EDX203" s="2"/>
      <c r="EDY203" s="2"/>
      <c r="EDZ203" s="2"/>
      <c r="EEA203" s="2"/>
      <c r="EEB203" s="2"/>
      <c r="EEC203" s="2"/>
      <c r="EED203" s="2"/>
      <c r="EEE203" s="2"/>
      <c r="EEF203" s="2"/>
      <c r="EEG203" s="2"/>
      <c r="EEH203" s="2"/>
      <c r="EEI203" s="2"/>
      <c r="EEJ203" s="2"/>
      <c r="EEK203" s="2"/>
      <c r="EEL203" s="2"/>
      <c r="EEM203" s="2"/>
      <c r="EEN203" s="2"/>
      <c r="EEO203" s="2"/>
      <c r="EEP203" s="2"/>
      <c r="EEQ203" s="2"/>
      <c r="EER203" s="2"/>
      <c r="EES203" s="2"/>
      <c r="EET203" s="2"/>
      <c r="EEU203" s="2"/>
      <c r="EEV203" s="2"/>
      <c r="EEW203" s="2"/>
      <c r="EEX203" s="2"/>
      <c r="EEY203" s="2"/>
      <c r="EEZ203" s="2"/>
      <c r="EFA203" s="2"/>
      <c r="EFB203" s="2"/>
      <c r="EFC203" s="2"/>
      <c r="EFD203" s="2"/>
      <c r="EFE203" s="2"/>
      <c r="EFF203" s="2"/>
      <c r="EFG203" s="2"/>
      <c r="EFH203" s="2"/>
      <c r="EFI203" s="2"/>
      <c r="EFJ203" s="2"/>
      <c r="EFK203" s="2"/>
      <c r="EFL203" s="2"/>
      <c r="EFM203" s="2"/>
      <c r="EFN203" s="2"/>
      <c r="EFO203" s="2"/>
      <c r="EFP203" s="2"/>
      <c r="EFQ203" s="2"/>
      <c r="EFR203" s="2"/>
      <c r="EFS203" s="2"/>
      <c r="EFT203" s="2"/>
      <c r="EFU203" s="2"/>
      <c r="EFV203" s="2"/>
      <c r="EFW203" s="2"/>
      <c r="EFX203" s="2"/>
      <c r="EFY203" s="2"/>
      <c r="EFZ203" s="2"/>
      <c r="EGA203" s="2"/>
      <c r="EGB203" s="2"/>
      <c r="EGC203" s="2"/>
      <c r="EGD203" s="2"/>
      <c r="EGE203" s="2"/>
      <c r="EGF203" s="2"/>
      <c r="EGG203" s="2"/>
      <c r="EGH203" s="2"/>
      <c r="EGI203" s="2"/>
      <c r="EGJ203" s="2"/>
      <c r="EGK203" s="2"/>
      <c r="EGL203" s="2"/>
      <c r="EGM203" s="2"/>
      <c r="EGN203" s="2"/>
      <c r="EGO203" s="2"/>
      <c r="EGP203" s="2"/>
      <c r="EGQ203" s="2"/>
      <c r="EGR203" s="2"/>
      <c r="EGS203" s="2"/>
      <c r="EGT203" s="2"/>
      <c r="EGU203" s="2"/>
      <c r="EGV203" s="2"/>
      <c r="EGW203" s="2"/>
      <c r="EGX203" s="2"/>
      <c r="EGY203" s="2"/>
      <c r="EGZ203" s="2"/>
      <c r="EHA203" s="2"/>
      <c r="EHB203" s="2"/>
      <c r="EHC203" s="2"/>
      <c r="EHD203" s="2"/>
      <c r="EHE203" s="2"/>
      <c r="EHF203" s="2"/>
      <c r="EHG203" s="2"/>
      <c r="EHH203" s="2"/>
      <c r="EHI203" s="2"/>
      <c r="EHJ203" s="2"/>
      <c r="EHK203" s="2"/>
      <c r="EHL203" s="2"/>
      <c r="EHM203" s="2"/>
      <c r="EHN203" s="2"/>
      <c r="EHO203" s="2"/>
      <c r="EHP203" s="2"/>
      <c r="EHQ203" s="2"/>
      <c r="EHR203" s="2"/>
      <c r="EHS203" s="2"/>
      <c r="EHT203" s="2"/>
      <c r="EHU203" s="2"/>
      <c r="EHV203" s="2"/>
      <c r="EHW203" s="2"/>
      <c r="EHX203" s="2"/>
      <c r="EHY203" s="2"/>
      <c r="EHZ203" s="2"/>
      <c r="EIA203" s="2"/>
      <c r="EIB203" s="2"/>
      <c r="EIC203" s="2"/>
      <c r="EID203" s="2"/>
      <c r="EIE203" s="2"/>
      <c r="EIF203" s="2"/>
      <c r="EIG203" s="2"/>
      <c r="EIH203" s="2"/>
      <c r="EII203" s="2"/>
      <c r="EIJ203" s="2"/>
      <c r="EIK203" s="2"/>
      <c r="EIL203" s="2"/>
      <c r="EIM203" s="2"/>
      <c r="EIN203" s="2"/>
      <c r="EIO203" s="2"/>
      <c r="EIP203" s="2"/>
      <c r="EIQ203" s="2"/>
      <c r="EIR203" s="2"/>
      <c r="EIS203" s="2"/>
      <c r="EIT203" s="2"/>
      <c r="EIU203" s="2"/>
      <c r="EIV203" s="2"/>
      <c r="EIW203" s="2"/>
      <c r="EIX203" s="2"/>
      <c r="EIY203" s="2"/>
      <c r="EIZ203" s="2"/>
      <c r="EJA203" s="2"/>
      <c r="EJB203" s="2"/>
      <c r="EJC203" s="2"/>
      <c r="EJD203" s="2"/>
      <c r="EJE203" s="2"/>
      <c r="EJF203" s="2"/>
      <c r="EJG203" s="2"/>
      <c r="EJH203" s="2"/>
      <c r="EJI203" s="2"/>
      <c r="EJJ203" s="2"/>
      <c r="EJK203" s="2"/>
      <c r="EJL203" s="2"/>
      <c r="EJM203" s="2"/>
      <c r="EJN203" s="2"/>
      <c r="EJO203" s="2"/>
      <c r="EJP203" s="2"/>
      <c r="EJQ203" s="2"/>
      <c r="EJR203" s="2"/>
      <c r="EJS203" s="2"/>
      <c r="EJT203" s="2"/>
      <c r="EJU203" s="2"/>
      <c r="EJV203" s="2"/>
      <c r="EJW203" s="2"/>
      <c r="EJX203" s="2"/>
      <c r="EJY203" s="2"/>
      <c r="EJZ203" s="2"/>
      <c r="EKA203" s="2"/>
      <c r="EKB203" s="2"/>
      <c r="EKC203" s="2"/>
      <c r="EKD203" s="2"/>
      <c r="EKE203" s="2"/>
      <c r="EKF203" s="2"/>
      <c r="EKG203" s="2"/>
      <c r="EKH203" s="2"/>
      <c r="EKI203" s="2"/>
      <c r="EKJ203" s="2"/>
      <c r="EKK203" s="2"/>
      <c r="EKL203" s="2"/>
      <c r="EKM203" s="2"/>
      <c r="EKN203" s="2"/>
      <c r="EKO203" s="2"/>
      <c r="EKP203" s="2"/>
      <c r="EKQ203" s="2"/>
      <c r="EKR203" s="2"/>
      <c r="EKS203" s="2"/>
      <c r="EKT203" s="2"/>
      <c r="EKU203" s="2"/>
      <c r="EKV203" s="2"/>
      <c r="EKW203" s="2"/>
      <c r="EKX203" s="2"/>
      <c r="EKY203" s="2"/>
      <c r="EKZ203" s="2"/>
      <c r="ELA203" s="2"/>
      <c r="ELB203" s="2"/>
      <c r="ELC203" s="2"/>
      <c r="ELD203" s="2"/>
      <c r="ELE203" s="2"/>
      <c r="ELF203" s="2"/>
      <c r="ELG203" s="2"/>
      <c r="ELH203" s="2"/>
      <c r="ELI203" s="2"/>
      <c r="ELJ203" s="2"/>
      <c r="ELK203" s="2"/>
      <c r="ELL203" s="2"/>
      <c r="ELM203" s="2"/>
      <c r="ELN203" s="2"/>
      <c r="ELO203" s="2"/>
      <c r="ELP203" s="2"/>
      <c r="ELQ203" s="2"/>
      <c r="ELR203" s="2"/>
      <c r="ELS203" s="2"/>
      <c r="ELT203" s="2"/>
      <c r="ELU203" s="2"/>
      <c r="ELV203" s="2"/>
      <c r="ELW203" s="2"/>
      <c r="ELX203" s="2"/>
      <c r="ELY203" s="2"/>
      <c r="ELZ203" s="2"/>
      <c r="EMA203" s="2"/>
      <c r="EMB203" s="2"/>
      <c r="EMC203" s="2"/>
      <c r="EMD203" s="2"/>
      <c r="EME203" s="2"/>
      <c r="EMF203" s="2"/>
      <c r="EMG203" s="2"/>
      <c r="EMH203" s="2"/>
      <c r="EMI203" s="2"/>
      <c r="EMJ203" s="2"/>
      <c r="EMK203" s="2"/>
      <c r="EML203" s="2"/>
      <c r="EMM203" s="2"/>
      <c r="EMN203" s="2"/>
      <c r="EMO203" s="2"/>
      <c r="EMP203" s="2"/>
      <c r="EMQ203" s="2"/>
      <c r="EMR203" s="2"/>
      <c r="EMS203" s="2"/>
      <c r="EMT203" s="2"/>
      <c r="EMU203" s="2"/>
      <c r="EMV203" s="2"/>
      <c r="EMW203" s="2"/>
      <c r="EMX203" s="2"/>
      <c r="EMY203" s="2"/>
      <c r="EMZ203" s="2"/>
      <c r="ENA203" s="2"/>
      <c r="ENB203" s="2"/>
      <c r="ENC203" s="2"/>
      <c r="END203" s="2"/>
      <c r="ENE203" s="2"/>
      <c r="ENF203" s="2"/>
      <c r="ENG203" s="2"/>
      <c r="ENH203" s="2"/>
      <c r="ENI203" s="2"/>
      <c r="ENJ203" s="2"/>
      <c r="ENK203" s="2"/>
      <c r="ENL203" s="2"/>
      <c r="ENM203" s="2"/>
      <c r="ENN203" s="2"/>
      <c r="ENO203" s="2"/>
      <c r="ENP203" s="2"/>
      <c r="ENQ203" s="2"/>
      <c r="ENR203" s="2"/>
      <c r="ENS203" s="2"/>
      <c r="ENT203" s="2"/>
      <c r="ENU203" s="2"/>
      <c r="ENV203" s="2"/>
      <c r="ENW203" s="2"/>
      <c r="ENX203" s="2"/>
      <c r="ENY203" s="2"/>
      <c r="ENZ203" s="2"/>
      <c r="EOA203" s="2"/>
      <c r="EOB203" s="2"/>
      <c r="EOC203" s="2"/>
      <c r="EOD203" s="2"/>
      <c r="EOE203" s="2"/>
      <c r="EOF203" s="2"/>
      <c r="EOG203" s="2"/>
      <c r="EOH203" s="2"/>
      <c r="EOI203" s="2"/>
      <c r="EOJ203" s="2"/>
      <c r="EOK203" s="2"/>
      <c r="EOL203" s="2"/>
      <c r="EOM203" s="2"/>
      <c r="EON203" s="2"/>
      <c r="EOO203" s="2"/>
      <c r="EOP203" s="2"/>
      <c r="EOQ203" s="2"/>
      <c r="EOR203" s="2"/>
      <c r="EOS203" s="2"/>
      <c r="EOT203" s="2"/>
      <c r="EOU203" s="2"/>
      <c r="EOV203" s="2"/>
      <c r="EOW203" s="2"/>
      <c r="EOX203" s="2"/>
      <c r="EOY203" s="2"/>
      <c r="EOZ203" s="2"/>
      <c r="EPA203" s="2"/>
      <c r="EPB203" s="2"/>
      <c r="EPC203" s="2"/>
      <c r="EPD203" s="2"/>
      <c r="EPE203" s="2"/>
      <c r="EPF203" s="2"/>
      <c r="EPG203" s="2"/>
      <c r="EPH203" s="2"/>
      <c r="EPI203" s="2"/>
      <c r="EPJ203" s="2"/>
      <c r="EPK203" s="2"/>
      <c r="EPL203" s="2"/>
      <c r="EPM203" s="2"/>
      <c r="EPN203" s="2"/>
      <c r="EPO203" s="2"/>
      <c r="EPP203" s="2"/>
      <c r="EPQ203" s="2"/>
      <c r="EPR203" s="2"/>
      <c r="EPS203" s="2"/>
      <c r="EPT203" s="2"/>
      <c r="EPU203" s="2"/>
      <c r="EPV203" s="2"/>
      <c r="EPW203" s="2"/>
      <c r="EPX203" s="2"/>
      <c r="EPY203" s="2"/>
      <c r="EPZ203" s="2"/>
      <c r="EQA203" s="2"/>
      <c r="EQB203" s="2"/>
      <c r="EQC203" s="2"/>
      <c r="EQD203" s="2"/>
      <c r="EQE203" s="2"/>
      <c r="EQF203" s="2"/>
      <c r="EQG203" s="2"/>
      <c r="EQH203" s="2"/>
      <c r="EQI203" s="2"/>
      <c r="EQJ203" s="2"/>
      <c r="EQK203" s="2"/>
      <c r="EQL203" s="2"/>
      <c r="EQM203" s="2"/>
      <c r="EQN203" s="2"/>
      <c r="EQO203" s="2"/>
      <c r="EQP203" s="2"/>
      <c r="EQQ203" s="2"/>
      <c r="EQR203" s="2"/>
      <c r="EQS203" s="2"/>
      <c r="EQT203" s="2"/>
      <c r="EQU203" s="2"/>
      <c r="EQV203" s="2"/>
      <c r="EQW203" s="2"/>
      <c r="EQX203" s="2"/>
      <c r="EQY203" s="2"/>
      <c r="EQZ203" s="2"/>
      <c r="ERA203" s="2"/>
      <c r="ERB203" s="2"/>
      <c r="ERC203" s="2"/>
      <c r="ERD203" s="2"/>
      <c r="ERE203" s="2"/>
      <c r="ERF203" s="2"/>
      <c r="ERG203" s="2"/>
      <c r="ERH203" s="2"/>
      <c r="ERI203" s="2"/>
      <c r="ERJ203" s="2"/>
      <c r="ERK203" s="2"/>
      <c r="ERL203" s="2"/>
      <c r="ERM203" s="2"/>
      <c r="ERN203" s="2"/>
      <c r="ERO203" s="2"/>
      <c r="ERP203" s="2"/>
      <c r="ERQ203" s="2"/>
      <c r="ERR203" s="2"/>
      <c r="ERS203" s="2"/>
      <c r="ERT203" s="2"/>
      <c r="ERU203" s="2"/>
      <c r="ERV203" s="2"/>
      <c r="ERW203" s="2"/>
      <c r="ERX203" s="2"/>
      <c r="ERY203" s="2"/>
      <c r="ERZ203" s="2"/>
      <c r="ESA203" s="2"/>
      <c r="ESB203" s="2"/>
      <c r="ESC203" s="2"/>
      <c r="ESD203" s="2"/>
      <c r="ESE203" s="2"/>
      <c r="ESF203" s="2"/>
      <c r="ESG203" s="2"/>
      <c r="ESH203" s="2"/>
      <c r="ESI203" s="2"/>
      <c r="ESJ203" s="2"/>
      <c r="ESK203" s="2"/>
      <c r="ESL203" s="2"/>
      <c r="ESM203" s="2"/>
      <c r="ESN203" s="2"/>
      <c r="ESO203" s="2"/>
      <c r="ESP203" s="2"/>
      <c r="ESQ203" s="2"/>
      <c r="ESR203" s="2"/>
      <c r="ESS203" s="2"/>
      <c r="EST203" s="2"/>
      <c r="ESU203" s="2"/>
      <c r="ESV203" s="2"/>
      <c r="ESW203" s="2"/>
      <c r="ESX203" s="2"/>
      <c r="ESY203" s="2"/>
      <c r="ESZ203" s="2"/>
      <c r="ETA203" s="2"/>
      <c r="ETB203" s="2"/>
      <c r="ETC203" s="2"/>
      <c r="ETD203" s="2"/>
      <c r="ETE203" s="2"/>
      <c r="ETF203" s="2"/>
      <c r="ETG203" s="2"/>
      <c r="ETH203" s="2"/>
      <c r="ETI203" s="2"/>
      <c r="ETJ203" s="2"/>
      <c r="ETK203" s="2"/>
      <c r="ETL203" s="2"/>
      <c r="ETM203" s="2"/>
      <c r="ETN203" s="2"/>
      <c r="ETO203" s="2"/>
      <c r="ETP203" s="2"/>
      <c r="ETQ203" s="2"/>
      <c r="ETR203" s="2"/>
      <c r="ETS203" s="2"/>
      <c r="ETT203" s="2"/>
      <c r="ETU203" s="2"/>
      <c r="ETV203" s="2"/>
      <c r="ETW203" s="2"/>
      <c r="ETX203" s="2"/>
      <c r="ETY203" s="2"/>
      <c r="ETZ203" s="2"/>
      <c r="EUA203" s="2"/>
      <c r="EUB203" s="2"/>
      <c r="EUC203" s="2"/>
      <c r="EUD203" s="2"/>
      <c r="EUE203" s="2"/>
      <c r="EUF203" s="2"/>
      <c r="EUG203" s="2"/>
      <c r="EUH203" s="2"/>
      <c r="EUI203" s="2"/>
      <c r="EUJ203" s="2"/>
      <c r="EUK203" s="2"/>
      <c r="EUL203" s="2"/>
      <c r="EUM203" s="2"/>
      <c r="EUN203" s="2"/>
      <c r="EUO203" s="2"/>
      <c r="EUP203" s="2"/>
      <c r="EUQ203" s="2"/>
      <c r="EUR203" s="2"/>
      <c r="EUS203" s="2"/>
      <c r="EUT203" s="2"/>
      <c r="EUU203" s="2"/>
      <c r="EUV203" s="2"/>
      <c r="EUW203" s="2"/>
      <c r="EUX203" s="2"/>
      <c r="EUY203" s="2"/>
      <c r="EUZ203" s="2"/>
      <c r="EVA203" s="2"/>
      <c r="EVB203" s="2"/>
      <c r="EVC203" s="2"/>
      <c r="EVD203" s="2"/>
      <c r="EVE203" s="2"/>
      <c r="EVF203" s="2"/>
      <c r="EVG203" s="2"/>
      <c r="EVH203" s="2"/>
      <c r="EVI203" s="2"/>
      <c r="EVJ203" s="2"/>
      <c r="EVK203" s="2"/>
      <c r="EVL203" s="2"/>
      <c r="EVM203" s="2"/>
      <c r="EVN203" s="2"/>
      <c r="EVO203" s="2"/>
      <c r="EVP203" s="2"/>
      <c r="EVQ203" s="2"/>
      <c r="EVR203" s="2"/>
      <c r="EVS203" s="2"/>
      <c r="EVT203" s="2"/>
      <c r="EVU203" s="2"/>
      <c r="EVV203" s="2"/>
      <c r="EVW203" s="2"/>
      <c r="EVX203" s="2"/>
      <c r="EVY203" s="2"/>
      <c r="EVZ203" s="2"/>
      <c r="EWA203" s="2"/>
      <c r="EWB203" s="2"/>
      <c r="EWC203" s="2"/>
      <c r="EWD203" s="2"/>
      <c r="EWE203" s="2"/>
      <c r="EWF203" s="2"/>
      <c r="EWG203" s="2"/>
      <c r="EWH203" s="2"/>
      <c r="EWI203" s="2"/>
      <c r="EWJ203" s="2"/>
      <c r="EWK203" s="2"/>
      <c r="EWL203" s="2"/>
      <c r="EWM203" s="2"/>
      <c r="EWN203" s="2"/>
      <c r="EWO203" s="2"/>
      <c r="EWP203" s="2"/>
      <c r="EWQ203" s="2"/>
      <c r="EWR203" s="2"/>
      <c r="EWS203" s="2"/>
      <c r="EWT203" s="2"/>
      <c r="EWU203" s="2"/>
      <c r="EWV203" s="2"/>
      <c r="EWW203" s="2"/>
      <c r="EWX203" s="2"/>
      <c r="EWY203" s="2"/>
      <c r="EWZ203" s="2"/>
      <c r="EXA203" s="2"/>
      <c r="EXB203" s="2"/>
      <c r="EXC203" s="2"/>
      <c r="EXD203" s="2"/>
      <c r="EXE203" s="2"/>
      <c r="EXF203" s="2"/>
      <c r="EXG203" s="2"/>
      <c r="EXH203" s="2"/>
      <c r="EXI203" s="2"/>
      <c r="EXJ203" s="2"/>
      <c r="EXK203" s="2"/>
      <c r="EXL203" s="2"/>
      <c r="EXM203" s="2"/>
      <c r="EXN203" s="2"/>
      <c r="EXO203" s="2"/>
      <c r="EXP203" s="2"/>
      <c r="EXQ203" s="2"/>
      <c r="EXR203" s="2"/>
      <c r="EXS203" s="2"/>
      <c r="EXT203" s="2"/>
      <c r="EXU203" s="2"/>
      <c r="EXV203" s="2"/>
      <c r="EXW203" s="2"/>
      <c r="EXX203" s="2"/>
      <c r="EXY203" s="2"/>
      <c r="EXZ203" s="2"/>
      <c r="EYA203" s="2"/>
      <c r="EYB203" s="2"/>
      <c r="EYC203" s="2"/>
      <c r="EYD203" s="2"/>
      <c r="EYE203" s="2"/>
      <c r="EYF203" s="2"/>
      <c r="EYG203" s="2"/>
      <c r="EYH203" s="2"/>
      <c r="EYI203" s="2"/>
      <c r="EYJ203" s="2"/>
      <c r="EYK203" s="2"/>
      <c r="EYL203" s="2"/>
      <c r="EYM203" s="2"/>
      <c r="EYN203" s="2"/>
      <c r="EYO203" s="2"/>
      <c r="EYP203" s="2"/>
      <c r="EYQ203" s="2"/>
      <c r="EYR203" s="2"/>
      <c r="EYS203" s="2"/>
      <c r="EYT203" s="2"/>
      <c r="EYU203" s="2"/>
      <c r="EYV203" s="2"/>
      <c r="EYW203" s="2"/>
      <c r="EYX203" s="2"/>
      <c r="EYY203" s="2"/>
      <c r="EYZ203" s="2"/>
      <c r="EZA203" s="2"/>
      <c r="EZB203" s="2"/>
      <c r="EZC203" s="2"/>
      <c r="EZD203" s="2"/>
      <c r="EZE203" s="2"/>
      <c r="EZF203" s="2"/>
      <c r="EZG203" s="2"/>
      <c r="EZH203" s="2"/>
      <c r="EZI203" s="2"/>
      <c r="EZJ203" s="2"/>
      <c r="EZK203" s="2"/>
      <c r="EZL203" s="2"/>
      <c r="EZM203" s="2"/>
      <c r="EZN203" s="2"/>
      <c r="EZO203" s="2"/>
      <c r="EZP203" s="2"/>
      <c r="EZQ203" s="2"/>
      <c r="EZR203" s="2"/>
      <c r="EZS203" s="2"/>
      <c r="EZT203" s="2"/>
      <c r="EZU203" s="2"/>
      <c r="EZV203" s="2"/>
      <c r="EZW203" s="2"/>
      <c r="EZX203" s="2"/>
      <c r="EZY203" s="2"/>
      <c r="EZZ203" s="2"/>
      <c r="FAA203" s="2"/>
      <c r="FAB203" s="2"/>
      <c r="FAC203" s="2"/>
      <c r="FAD203" s="2"/>
      <c r="FAE203" s="2"/>
      <c r="FAF203" s="2"/>
      <c r="FAG203" s="2"/>
      <c r="FAH203" s="2"/>
      <c r="FAI203" s="2"/>
      <c r="FAJ203" s="2"/>
      <c r="FAK203" s="2"/>
      <c r="FAL203" s="2"/>
      <c r="FAM203" s="2"/>
      <c r="FAN203" s="2"/>
      <c r="FAO203" s="2"/>
      <c r="FAP203" s="2"/>
      <c r="FAQ203" s="2"/>
      <c r="FAR203" s="2"/>
      <c r="FAS203" s="2"/>
      <c r="FAT203" s="2"/>
      <c r="FAU203" s="2"/>
      <c r="FAV203" s="2"/>
      <c r="FAW203" s="2"/>
      <c r="FAX203" s="2"/>
      <c r="FAY203" s="2"/>
      <c r="FAZ203" s="2"/>
      <c r="FBA203" s="2"/>
      <c r="FBB203" s="2"/>
      <c r="FBC203" s="2"/>
      <c r="FBD203" s="2"/>
      <c r="FBE203" s="2"/>
      <c r="FBF203" s="2"/>
      <c r="FBG203" s="2"/>
      <c r="FBH203" s="2"/>
      <c r="FBI203" s="2"/>
      <c r="FBJ203" s="2"/>
      <c r="FBK203" s="2"/>
      <c r="FBL203" s="2"/>
      <c r="FBM203" s="2"/>
      <c r="FBN203" s="2"/>
      <c r="FBO203" s="2"/>
      <c r="FBP203" s="2"/>
      <c r="FBQ203" s="2"/>
      <c r="FBR203" s="2"/>
      <c r="FBS203" s="2"/>
      <c r="FBT203" s="2"/>
      <c r="FBU203" s="2"/>
      <c r="FBV203" s="2"/>
      <c r="FBW203" s="2"/>
      <c r="FBX203" s="2"/>
      <c r="FBY203" s="2"/>
      <c r="FBZ203" s="2"/>
      <c r="FCA203" s="2"/>
      <c r="FCB203" s="2"/>
      <c r="FCC203" s="2"/>
      <c r="FCD203" s="2"/>
      <c r="FCE203" s="2"/>
      <c r="FCF203" s="2"/>
      <c r="FCG203" s="2"/>
      <c r="FCH203" s="2"/>
      <c r="FCI203" s="2"/>
      <c r="FCJ203" s="2"/>
      <c r="FCK203" s="2"/>
      <c r="FCL203" s="2"/>
      <c r="FCM203" s="2"/>
      <c r="FCN203" s="2"/>
      <c r="FCO203" s="2"/>
      <c r="FCP203" s="2"/>
      <c r="FCQ203" s="2"/>
      <c r="FCR203" s="2"/>
      <c r="FCS203" s="2"/>
      <c r="FCT203" s="2"/>
      <c r="FCU203" s="2"/>
      <c r="FCV203" s="2"/>
      <c r="FCW203" s="2"/>
      <c r="FCX203" s="2"/>
      <c r="FCY203" s="2"/>
      <c r="FCZ203" s="2"/>
      <c r="FDA203" s="2"/>
      <c r="FDB203" s="2"/>
      <c r="FDC203" s="2"/>
      <c r="FDD203" s="2"/>
      <c r="FDE203" s="2"/>
      <c r="FDF203" s="2"/>
      <c r="FDG203" s="2"/>
      <c r="FDH203" s="2"/>
      <c r="FDI203" s="2"/>
      <c r="FDJ203" s="2"/>
      <c r="FDK203" s="2"/>
      <c r="FDL203" s="2"/>
      <c r="FDM203" s="2"/>
      <c r="FDN203" s="2"/>
      <c r="FDO203" s="2"/>
      <c r="FDP203" s="2"/>
      <c r="FDQ203" s="2"/>
      <c r="FDR203" s="2"/>
      <c r="FDS203" s="2"/>
      <c r="FDT203" s="2"/>
      <c r="FDU203" s="2"/>
      <c r="FDV203" s="2"/>
      <c r="FDW203" s="2"/>
      <c r="FDX203" s="2"/>
      <c r="FDY203" s="2"/>
      <c r="FDZ203" s="2"/>
      <c r="FEA203" s="2"/>
      <c r="FEB203" s="2"/>
      <c r="FEC203" s="2"/>
      <c r="FED203" s="2"/>
      <c r="FEE203" s="2"/>
      <c r="FEF203" s="2"/>
      <c r="FEG203" s="2"/>
      <c r="FEH203" s="2"/>
      <c r="FEI203" s="2"/>
      <c r="FEJ203" s="2"/>
      <c r="FEK203" s="2"/>
      <c r="FEL203" s="2"/>
      <c r="FEM203" s="2"/>
      <c r="FEN203" s="2"/>
      <c r="FEO203" s="2"/>
      <c r="FEP203" s="2"/>
      <c r="FEQ203" s="2"/>
      <c r="FER203" s="2"/>
      <c r="FES203" s="2"/>
      <c r="FET203" s="2"/>
      <c r="FEU203" s="2"/>
      <c r="FEV203" s="2"/>
      <c r="FEW203" s="2"/>
      <c r="FEX203" s="2"/>
      <c r="FEY203" s="2"/>
      <c r="FEZ203" s="2"/>
      <c r="FFA203" s="2"/>
      <c r="FFB203" s="2"/>
      <c r="FFC203" s="2"/>
      <c r="FFD203" s="2"/>
      <c r="FFE203" s="2"/>
      <c r="FFF203" s="2"/>
      <c r="FFG203" s="2"/>
      <c r="FFH203" s="2"/>
      <c r="FFI203" s="2"/>
      <c r="FFJ203" s="2"/>
      <c r="FFK203" s="2"/>
      <c r="FFL203" s="2"/>
      <c r="FFM203" s="2"/>
      <c r="FFN203" s="2"/>
      <c r="FFO203" s="2"/>
      <c r="FFP203" s="2"/>
      <c r="FFQ203" s="2"/>
      <c r="FFR203" s="2"/>
      <c r="FFS203" s="2"/>
      <c r="FFT203" s="2"/>
      <c r="FFU203" s="2"/>
      <c r="FFV203" s="2"/>
      <c r="FFW203" s="2"/>
      <c r="FFX203" s="2"/>
      <c r="FFY203" s="2"/>
      <c r="FFZ203" s="2"/>
      <c r="FGA203" s="2"/>
      <c r="FGB203" s="2"/>
      <c r="FGC203" s="2"/>
      <c r="FGD203" s="2"/>
      <c r="FGE203" s="2"/>
      <c r="FGF203" s="2"/>
      <c r="FGG203" s="2"/>
      <c r="FGH203" s="2"/>
      <c r="FGI203" s="2"/>
      <c r="FGJ203" s="2"/>
      <c r="FGK203" s="2"/>
      <c r="FGL203" s="2"/>
      <c r="FGM203" s="2"/>
      <c r="FGN203" s="2"/>
      <c r="FGO203" s="2"/>
      <c r="FGP203" s="2"/>
      <c r="FGQ203" s="2"/>
      <c r="FGR203" s="2"/>
      <c r="FGS203" s="2"/>
      <c r="FGT203" s="2"/>
      <c r="FGU203" s="2"/>
      <c r="FGV203" s="2"/>
      <c r="FGW203" s="2"/>
      <c r="FGX203" s="2"/>
      <c r="FGY203" s="2"/>
      <c r="FGZ203" s="2"/>
      <c r="FHA203" s="2"/>
      <c r="FHB203" s="2"/>
      <c r="FHC203" s="2"/>
      <c r="FHD203" s="2"/>
      <c r="FHE203" s="2"/>
      <c r="FHF203" s="2"/>
      <c r="FHG203" s="2"/>
      <c r="FHH203" s="2"/>
      <c r="FHI203" s="2"/>
      <c r="FHJ203" s="2"/>
      <c r="FHK203" s="2"/>
      <c r="FHL203" s="2"/>
      <c r="FHM203" s="2"/>
      <c r="FHN203" s="2"/>
      <c r="FHO203" s="2"/>
      <c r="FHP203" s="2"/>
      <c r="FHQ203" s="2"/>
      <c r="FHR203" s="2"/>
      <c r="FHS203" s="2"/>
      <c r="FHT203" s="2"/>
      <c r="FHU203" s="2"/>
      <c r="FHV203" s="2"/>
      <c r="FHW203" s="2"/>
      <c r="FHX203" s="2"/>
      <c r="FHY203" s="2"/>
      <c r="FHZ203" s="2"/>
      <c r="FIA203" s="2"/>
      <c r="FIB203" s="2"/>
      <c r="FIC203" s="2"/>
      <c r="FID203" s="2"/>
      <c r="FIE203" s="2"/>
      <c r="FIF203" s="2"/>
      <c r="FIG203" s="2"/>
      <c r="FIH203" s="2"/>
      <c r="FII203" s="2"/>
      <c r="FIJ203" s="2"/>
      <c r="FIK203" s="2"/>
      <c r="FIL203" s="2"/>
      <c r="FIM203" s="2"/>
      <c r="FIN203" s="2"/>
      <c r="FIO203" s="2"/>
      <c r="FIP203" s="2"/>
      <c r="FIQ203" s="2"/>
      <c r="FIR203" s="2"/>
      <c r="FIS203" s="2"/>
      <c r="FIT203" s="2"/>
      <c r="FIU203" s="2"/>
      <c r="FIV203" s="2"/>
      <c r="FIW203" s="2"/>
      <c r="FIX203" s="2"/>
      <c r="FIY203" s="2"/>
      <c r="FIZ203" s="2"/>
      <c r="FJA203" s="2"/>
      <c r="FJB203" s="2"/>
      <c r="FJC203" s="2"/>
      <c r="FJD203" s="2"/>
      <c r="FJE203" s="2"/>
      <c r="FJF203" s="2"/>
      <c r="FJG203" s="2"/>
      <c r="FJH203" s="2"/>
      <c r="FJI203" s="2"/>
      <c r="FJJ203" s="2"/>
      <c r="FJK203" s="2"/>
      <c r="FJL203" s="2"/>
      <c r="FJM203" s="2"/>
      <c r="FJN203" s="2"/>
      <c r="FJO203" s="2"/>
      <c r="FJP203" s="2"/>
      <c r="FJQ203" s="2"/>
      <c r="FJR203" s="2"/>
      <c r="FJS203" s="2"/>
      <c r="FJT203" s="2"/>
      <c r="FJU203" s="2"/>
      <c r="FJV203" s="2"/>
      <c r="FJW203" s="2"/>
      <c r="FJX203" s="2"/>
      <c r="FJY203" s="2"/>
      <c r="FJZ203" s="2"/>
      <c r="FKA203" s="2"/>
      <c r="FKB203" s="2"/>
      <c r="FKC203" s="2"/>
      <c r="FKD203" s="2"/>
      <c r="FKE203" s="2"/>
      <c r="FKF203" s="2"/>
      <c r="FKG203" s="2"/>
      <c r="FKH203" s="2"/>
      <c r="FKI203" s="2"/>
      <c r="FKJ203" s="2"/>
      <c r="FKK203" s="2"/>
      <c r="FKL203" s="2"/>
      <c r="FKM203" s="2"/>
      <c r="FKN203" s="2"/>
      <c r="FKO203" s="2"/>
      <c r="FKP203" s="2"/>
      <c r="FKQ203" s="2"/>
      <c r="FKR203" s="2"/>
      <c r="FKS203" s="2"/>
      <c r="FKT203" s="2"/>
      <c r="FKU203" s="2"/>
      <c r="FKV203" s="2"/>
      <c r="FKW203" s="2"/>
      <c r="FKX203" s="2"/>
      <c r="FKY203" s="2"/>
      <c r="FKZ203" s="2"/>
      <c r="FLA203" s="2"/>
      <c r="FLB203" s="2"/>
      <c r="FLC203" s="2"/>
      <c r="FLD203" s="2"/>
      <c r="FLE203" s="2"/>
      <c r="FLF203" s="2"/>
      <c r="FLG203" s="2"/>
      <c r="FLH203" s="2"/>
      <c r="FLI203" s="2"/>
      <c r="FLJ203" s="2"/>
      <c r="FLK203" s="2"/>
      <c r="FLL203" s="2"/>
      <c r="FLM203" s="2"/>
      <c r="FLN203" s="2"/>
      <c r="FLO203" s="2"/>
      <c r="FLP203" s="2"/>
      <c r="FLQ203" s="2"/>
      <c r="FLR203" s="2"/>
      <c r="FLS203" s="2"/>
      <c r="FLT203" s="2"/>
      <c r="FLU203" s="2"/>
      <c r="FLV203" s="2"/>
      <c r="FLW203" s="2"/>
      <c r="FLX203" s="2"/>
      <c r="FLY203" s="2"/>
      <c r="FLZ203" s="2"/>
      <c r="FMA203" s="2"/>
      <c r="FMB203" s="2"/>
      <c r="FMC203" s="2"/>
      <c r="FMD203" s="2"/>
      <c r="FME203" s="2"/>
      <c r="FMF203" s="2"/>
      <c r="FMG203" s="2"/>
      <c r="FMH203" s="2"/>
      <c r="FMI203" s="2"/>
      <c r="FMJ203" s="2"/>
      <c r="FMK203" s="2"/>
      <c r="FML203" s="2"/>
      <c r="FMM203" s="2"/>
      <c r="FMN203" s="2"/>
      <c r="FMO203" s="2"/>
      <c r="FMP203" s="2"/>
      <c r="FMQ203" s="2"/>
      <c r="FMR203" s="2"/>
      <c r="FMS203" s="2"/>
      <c r="FMT203" s="2"/>
      <c r="FMU203" s="2"/>
      <c r="FMV203" s="2"/>
      <c r="FMW203" s="2"/>
      <c r="FMX203" s="2"/>
      <c r="FMY203" s="2"/>
      <c r="FMZ203" s="2"/>
      <c r="FNA203" s="2"/>
      <c r="FNB203" s="2"/>
      <c r="FNC203" s="2"/>
      <c r="FND203" s="2"/>
      <c r="FNE203" s="2"/>
      <c r="FNF203" s="2"/>
      <c r="FNG203" s="2"/>
      <c r="FNH203" s="2"/>
      <c r="FNI203" s="2"/>
      <c r="FNJ203" s="2"/>
      <c r="FNK203" s="2"/>
      <c r="FNL203" s="2"/>
      <c r="FNM203" s="2"/>
      <c r="FNN203" s="2"/>
      <c r="FNO203" s="2"/>
      <c r="FNP203" s="2"/>
      <c r="FNQ203" s="2"/>
      <c r="FNR203" s="2"/>
      <c r="FNS203" s="2"/>
      <c r="FNT203" s="2"/>
      <c r="FNU203" s="2"/>
      <c r="FNV203" s="2"/>
      <c r="FNW203" s="2"/>
      <c r="FNX203" s="2"/>
      <c r="FNY203" s="2"/>
      <c r="FNZ203" s="2"/>
      <c r="FOA203" s="2"/>
      <c r="FOB203" s="2"/>
      <c r="FOC203" s="2"/>
      <c r="FOD203" s="2"/>
      <c r="FOE203" s="2"/>
      <c r="FOF203" s="2"/>
      <c r="FOG203" s="2"/>
      <c r="FOH203" s="2"/>
      <c r="FOI203" s="2"/>
      <c r="FOJ203" s="2"/>
      <c r="FOK203" s="2"/>
      <c r="FOL203" s="2"/>
      <c r="FOM203" s="2"/>
      <c r="FON203" s="2"/>
      <c r="FOO203" s="2"/>
      <c r="FOP203" s="2"/>
      <c r="FOQ203" s="2"/>
      <c r="FOR203" s="2"/>
      <c r="FOS203" s="2"/>
      <c r="FOT203" s="2"/>
      <c r="FOU203" s="2"/>
      <c r="FOV203" s="2"/>
      <c r="FOW203" s="2"/>
      <c r="FOX203" s="2"/>
      <c r="FOY203" s="2"/>
      <c r="FOZ203" s="2"/>
      <c r="FPA203" s="2"/>
      <c r="FPB203" s="2"/>
      <c r="FPC203" s="2"/>
      <c r="FPD203" s="2"/>
      <c r="FPE203" s="2"/>
      <c r="FPF203" s="2"/>
      <c r="FPG203" s="2"/>
      <c r="FPH203" s="2"/>
      <c r="FPI203" s="2"/>
      <c r="FPJ203" s="2"/>
      <c r="FPK203" s="2"/>
      <c r="FPL203" s="2"/>
      <c r="FPM203" s="2"/>
      <c r="FPN203" s="2"/>
      <c r="FPO203" s="2"/>
      <c r="FPP203" s="2"/>
      <c r="FPQ203" s="2"/>
      <c r="FPR203" s="2"/>
      <c r="FPS203" s="2"/>
      <c r="FPT203" s="2"/>
      <c r="FPU203" s="2"/>
      <c r="FPV203" s="2"/>
      <c r="FPW203" s="2"/>
      <c r="FPX203" s="2"/>
      <c r="FPY203" s="2"/>
      <c r="FPZ203" s="2"/>
      <c r="FQA203" s="2"/>
      <c r="FQB203" s="2"/>
      <c r="FQC203" s="2"/>
      <c r="FQD203" s="2"/>
      <c r="FQE203" s="2"/>
      <c r="FQF203" s="2"/>
      <c r="FQG203" s="2"/>
      <c r="FQH203" s="2"/>
      <c r="FQI203" s="2"/>
      <c r="FQJ203" s="2"/>
      <c r="FQK203" s="2"/>
      <c r="FQL203" s="2"/>
      <c r="FQM203" s="2"/>
      <c r="FQN203" s="2"/>
      <c r="FQO203" s="2"/>
      <c r="FQP203" s="2"/>
      <c r="FQQ203" s="2"/>
      <c r="FQR203" s="2"/>
      <c r="FQS203" s="2"/>
      <c r="FQT203" s="2"/>
      <c r="FQU203" s="2"/>
      <c r="FQV203" s="2"/>
      <c r="FQW203" s="2"/>
      <c r="FQX203" s="2"/>
      <c r="FQY203" s="2"/>
      <c r="FQZ203" s="2"/>
      <c r="FRA203" s="2"/>
      <c r="FRB203" s="2"/>
      <c r="FRC203" s="2"/>
      <c r="FRD203" s="2"/>
      <c r="FRE203" s="2"/>
      <c r="FRF203" s="2"/>
      <c r="FRG203" s="2"/>
      <c r="FRH203" s="2"/>
      <c r="FRI203" s="2"/>
      <c r="FRJ203" s="2"/>
      <c r="FRK203" s="2"/>
      <c r="FRL203" s="2"/>
      <c r="FRM203" s="2"/>
      <c r="FRN203" s="2"/>
      <c r="FRO203" s="2"/>
      <c r="FRP203" s="2"/>
      <c r="FRQ203" s="2"/>
      <c r="FRR203" s="2"/>
      <c r="FRS203" s="2"/>
      <c r="FRT203" s="2"/>
      <c r="FRU203" s="2"/>
      <c r="FRV203" s="2"/>
      <c r="FRW203" s="2"/>
      <c r="FRX203" s="2"/>
      <c r="FRY203" s="2"/>
      <c r="FRZ203" s="2"/>
      <c r="FSA203" s="2"/>
      <c r="FSB203" s="2"/>
      <c r="FSC203" s="2"/>
      <c r="FSD203" s="2"/>
      <c r="FSE203" s="2"/>
      <c r="FSF203" s="2"/>
      <c r="FSG203" s="2"/>
      <c r="FSH203" s="2"/>
      <c r="FSI203" s="2"/>
      <c r="FSJ203" s="2"/>
      <c r="FSK203" s="2"/>
      <c r="FSL203" s="2"/>
      <c r="FSM203" s="2"/>
      <c r="FSN203" s="2"/>
      <c r="FSO203" s="2"/>
      <c r="FSP203" s="2"/>
      <c r="FSQ203" s="2"/>
      <c r="FSR203" s="2"/>
      <c r="FSS203" s="2"/>
      <c r="FST203" s="2"/>
      <c r="FSU203" s="2"/>
      <c r="FSV203" s="2"/>
      <c r="FSW203" s="2"/>
      <c r="FSX203" s="2"/>
      <c r="FSY203" s="2"/>
      <c r="FSZ203" s="2"/>
      <c r="FTA203" s="2"/>
      <c r="FTB203" s="2"/>
      <c r="FTC203" s="2"/>
      <c r="FTD203" s="2"/>
      <c r="FTE203" s="2"/>
      <c r="FTF203" s="2"/>
      <c r="FTG203" s="2"/>
      <c r="FTH203" s="2"/>
      <c r="FTI203" s="2"/>
      <c r="FTJ203" s="2"/>
      <c r="FTK203" s="2"/>
      <c r="FTL203" s="2"/>
      <c r="FTM203" s="2"/>
      <c r="FTN203" s="2"/>
      <c r="FTO203" s="2"/>
      <c r="FTP203" s="2"/>
      <c r="FTQ203" s="2"/>
      <c r="FTR203" s="2"/>
      <c r="FTS203" s="2"/>
      <c r="FTT203" s="2"/>
      <c r="FTU203" s="2"/>
      <c r="FTV203" s="2"/>
      <c r="FTW203" s="2"/>
      <c r="FTX203" s="2"/>
      <c r="FTY203" s="2"/>
      <c r="FTZ203" s="2"/>
      <c r="FUA203" s="2"/>
      <c r="FUB203" s="2"/>
      <c r="FUC203" s="2"/>
      <c r="FUD203" s="2"/>
      <c r="FUE203" s="2"/>
      <c r="FUF203" s="2"/>
      <c r="FUG203" s="2"/>
      <c r="FUH203" s="2"/>
      <c r="FUI203" s="2"/>
      <c r="FUJ203" s="2"/>
      <c r="FUK203" s="2"/>
      <c r="FUL203" s="2"/>
      <c r="FUM203" s="2"/>
      <c r="FUN203" s="2"/>
      <c r="FUO203" s="2"/>
      <c r="FUP203" s="2"/>
      <c r="FUQ203" s="2"/>
      <c r="FUR203" s="2"/>
      <c r="FUS203" s="2"/>
      <c r="FUT203" s="2"/>
      <c r="FUU203" s="2"/>
      <c r="FUV203" s="2"/>
      <c r="FUW203" s="2"/>
      <c r="FUX203" s="2"/>
      <c r="FUY203" s="2"/>
      <c r="FUZ203" s="2"/>
      <c r="FVA203" s="2"/>
      <c r="FVB203" s="2"/>
      <c r="FVC203" s="2"/>
      <c r="FVD203" s="2"/>
      <c r="FVE203" s="2"/>
      <c r="FVF203" s="2"/>
      <c r="FVG203" s="2"/>
      <c r="FVH203" s="2"/>
      <c r="FVI203" s="2"/>
      <c r="FVJ203" s="2"/>
      <c r="FVK203" s="2"/>
      <c r="FVL203" s="2"/>
      <c r="FVM203" s="2"/>
      <c r="FVN203" s="2"/>
      <c r="FVO203" s="2"/>
      <c r="FVP203" s="2"/>
      <c r="FVQ203" s="2"/>
      <c r="FVR203" s="2"/>
      <c r="FVS203" s="2"/>
      <c r="FVT203" s="2"/>
      <c r="FVU203" s="2"/>
      <c r="FVV203" s="2"/>
      <c r="FVW203" s="2"/>
      <c r="FVX203" s="2"/>
      <c r="FVY203" s="2"/>
      <c r="FVZ203" s="2"/>
      <c r="FWA203" s="2"/>
      <c r="FWB203" s="2"/>
      <c r="FWC203" s="2"/>
      <c r="FWD203" s="2"/>
      <c r="FWE203" s="2"/>
      <c r="FWF203" s="2"/>
      <c r="FWG203" s="2"/>
      <c r="FWH203" s="2"/>
      <c r="FWI203" s="2"/>
      <c r="FWJ203" s="2"/>
      <c r="FWK203" s="2"/>
      <c r="FWL203" s="2"/>
      <c r="FWM203" s="2"/>
      <c r="FWN203" s="2"/>
      <c r="FWO203" s="2"/>
      <c r="FWP203" s="2"/>
      <c r="FWQ203" s="2"/>
      <c r="FWR203" s="2"/>
      <c r="FWS203" s="2"/>
      <c r="FWT203" s="2"/>
      <c r="FWU203" s="2"/>
      <c r="FWV203" s="2"/>
      <c r="FWW203" s="2"/>
      <c r="FWX203" s="2"/>
      <c r="FWY203" s="2"/>
      <c r="FWZ203" s="2"/>
      <c r="FXA203" s="2"/>
      <c r="FXB203" s="2"/>
      <c r="FXC203" s="2"/>
      <c r="FXD203" s="2"/>
      <c r="FXE203" s="2"/>
      <c r="FXF203" s="2"/>
      <c r="FXG203" s="2"/>
      <c r="FXH203" s="2"/>
      <c r="FXI203" s="2"/>
      <c r="FXJ203" s="2"/>
      <c r="FXK203" s="2"/>
      <c r="FXL203" s="2"/>
      <c r="FXM203" s="2"/>
      <c r="FXN203" s="2"/>
      <c r="FXO203" s="2"/>
      <c r="FXP203" s="2"/>
      <c r="FXQ203" s="2"/>
      <c r="FXR203" s="2"/>
      <c r="FXS203" s="2"/>
      <c r="FXT203" s="2"/>
      <c r="FXU203" s="2"/>
      <c r="FXV203" s="2"/>
      <c r="FXW203" s="2"/>
      <c r="FXX203" s="2"/>
      <c r="FXY203" s="2"/>
      <c r="FXZ203" s="2"/>
      <c r="FYA203" s="2"/>
      <c r="FYB203" s="2"/>
      <c r="FYC203" s="2"/>
      <c r="FYD203" s="2"/>
      <c r="FYE203" s="2"/>
      <c r="FYF203" s="2"/>
      <c r="FYG203" s="2"/>
      <c r="FYH203" s="2"/>
      <c r="FYI203" s="2"/>
      <c r="FYJ203" s="2"/>
      <c r="FYK203" s="2"/>
      <c r="FYL203" s="2"/>
      <c r="FYM203" s="2"/>
      <c r="FYN203" s="2"/>
      <c r="FYO203" s="2"/>
      <c r="FYP203" s="2"/>
      <c r="FYQ203" s="2"/>
      <c r="FYR203" s="2"/>
      <c r="FYS203" s="2"/>
      <c r="FYT203" s="2"/>
      <c r="FYU203" s="2"/>
      <c r="FYV203" s="2"/>
      <c r="FYW203" s="2"/>
      <c r="FYX203" s="2"/>
      <c r="FYY203" s="2"/>
      <c r="FYZ203" s="2"/>
      <c r="FZA203" s="2"/>
      <c r="FZB203" s="2"/>
      <c r="FZC203" s="2"/>
      <c r="FZD203" s="2"/>
      <c r="FZE203" s="2"/>
      <c r="FZF203" s="2"/>
      <c r="FZG203" s="2"/>
      <c r="FZH203" s="2"/>
      <c r="FZI203" s="2"/>
      <c r="FZJ203" s="2"/>
      <c r="FZK203" s="2"/>
      <c r="FZL203" s="2"/>
      <c r="FZM203" s="2"/>
      <c r="FZN203" s="2"/>
      <c r="FZO203" s="2"/>
      <c r="FZP203" s="2"/>
      <c r="FZQ203" s="2"/>
      <c r="FZR203" s="2"/>
      <c r="FZS203" s="2"/>
      <c r="FZT203" s="2"/>
      <c r="FZU203" s="2"/>
      <c r="FZV203" s="2"/>
      <c r="FZW203" s="2"/>
      <c r="FZX203" s="2"/>
      <c r="FZY203" s="2"/>
      <c r="FZZ203" s="2"/>
      <c r="GAA203" s="2"/>
      <c r="GAB203" s="2"/>
      <c r="GAC203" s="2"/>
      <c r="GAD203" s="2"/>
      <c r="GAE203" s="2"/>
      <c r="GAF203" s="2"/>
      <c r="GAG203" s="2"/>
      <c r="GAH203" s="2"/>
      <c r="GAI203" s="2"/>
      <c r="GAJ203" s="2"/>
      <c r="GAK203" s="2"/>
      <c r="GAL203" s="2"/>
      <c r="GAM203" s="2"/>
      <c r="GAN203" s="2"/>
      <c r="GAO203" s="2"/>
      <c r="GAP203" s="2"/>
      <c r="GAQ203" s="2"/>
      <c r="GAR203" s="2"/>
      <c r="GAS203" s="2"/>
      <c r="GAT203" s="2"/>
      <c r="GAU203" s="2"/>
      <c r="GAV203" s="2"/>
      <c r="GAW203" s="2"/>
      <c r="GAX203" s="2"/>
      <c r="GAY203" s="2"/>
      <c r="GAZ203" s="2"/>
      <c r="GBA203" s="2"/>
      <c r="GBB203" s="2"/>
      <c r="GBC203" s="2"/>
      <c r="GBD203" s="2"/>
      <c r="GBE203" s="2"/>
      <c r="GBF203" s="2"/>
      <c r="GBG203" s="2"/>
      <c r="GBH203" s="2"/>
      <c r="GBI203" s="2"/>
      <c r="GBJ203" s="2"/>
      <c r="GBK203" s="2"/>
      <c r="GBL203" s="2"/>
      <c r="GBM203" s="2"/>
      <c r="GBN203" s="2"/>
      <c r="GBO203" s="2"/>
      <c r="GBP203" s="2"/>
      <c r="GBQ203" s="2"/>
      <c r="GBR203" s="2"/>
      <c r="GBS203" s="2"/>
      <c r="GBT203" s="2"/>
      <c r="GBU203" s="2"/>
      <c r="GBV203" s="2"/>
      <c r="GBW203" s="2"/>
      <c r="GBX203" s="2"/>
      <c r="GBY203" s="2"/>
      <c r="GBZ203" s="2"/>
      <c r="GCA203" s="2"/>
      <c r="GCB203" s="2"/>
      <c r="GCC203" s="2"/>
      <c r="GCD203" s="2"/>
      <c r="GCE203" s="2"/>
      <c r="GCF203" s="2"/>
      <c r="GCG203" s="2"/>
      <c r="GCH203" s="2"/>
      <c r="GCI203" s="2"/>
      <c r="GCJ203" s="2"/>
      <c r="GCK203" s="2"/>
      <c r="GCL203" s="2"/>
      <c r="GCM203" s="2"/>
      <c r="GCN203" s="2"/>
      <c r="GCO203" s="2"/>
      <c r="GCP203" s="2"/>
      <c r="GCQ203" s="2"/>
      <c r="GCR203" s="2"/>
      <c r="GCS203" s="2"/>
      <c r="GCT203" s="2"/>
      <c r="GCU203" s="2"/>
      <c r="GCV203" s="2"/>
      <c r="GCW203" s="2"/>
      <c r="GCX203" s="2"/>
      <c r="GCY203" s="2"/>
      <c r="GCZ203" s="2"/>
      <c r="GDA203" s="2"/>
      <c r="GDB203" s="2"/>
      <c r="GDC203" s="2"/>
      <c r="GDD203" s="2"/>
      <c r="GDE203" s="2"/>
      <c r="GDF203" s="2"/>
      <c r="GDG203" s="2"/>
      <c r="GDH203" s="2"/>
      <c r="GDI203" s="2"/>
      <c r="GDJ203" s="2"/>
      <c r="GDK203" s="2"/>
      <c r="GDL203" s="2"/>
      <c r="GDM203" s="2"/>
      <c r="GDN203" s="2"/>
      <c r="GDO203" s="2"/>
      <c r="GDP203" s="2"/>
      <c r="GDQ203" s="2"/>
      <c r="GDR203" s="2"/>
      <c r="GDS203" s="2"/>
      <c r="GDT203" s="2"/>
      <c r="GDU203" s="2"/>
      <c r="GDV203" s="2"/>
      <c r="GDW203" s="2"/>
      <c r="GDX203" s="2"/>
      <c r="GDY203" s="2"/>
      <c r="GDZ203" s="2"/>
      <c r="GEA203" s="2"/>
      <c r="GEB203" s="2"/>
      <c r="GEC203" s="2"/>
      <c r="GED203" s="2"/>
      <c r="GEE203" s="2"/>
      <c r="GEF203" s="2"/>
      <c r="GEG203" s="2"/>
      <c r="GEH203" s="2"/>
      <c r="GEI203" s="2"/>
      <c r="GEJ203" s="2"/>
      <c r="GEK203" s="2"/>
      <c r="GEL203" s="2"/>
      <c r="GEM203" s="2"/>
      <c r="GEN203" s="2"/>
      <c r="GEO203" s="2"/>
      <c r="GEP203" s="2"/>
      <c r="GEQ203" s="2"/>
      <c r="GER203" s="2"/>
      <c r="GES203" s="2"/>
      <c r="GET203" s="2"/>
      <c r="GEU203" s="2"/>
      <c r="GEV203" s="2"/>
      <c r="GEW203" s="2"/>
      <c r="GEX203" s="2"/>
      <c r="GEY203" s="2"/>
      <c r="GEZ203" s="2"/>
      <c r="GFA203" s="2"/>
      <c r="GFB203" s="2"/>
      <c r="GFC203" s="2"/>
      <c r="GFD203" s="2"/>
      <c r="GFE203" s="2"/>
      <c r="GFF203" s="2"/>
      <c r="GFG203" s="2"/>
      <c r="GFH203" s="2"/>
      <c r="GFI203" s="2"/>
      <c r="GFJ203" s="2"/>
      <c r="GFK203" s="2"/>
      <c r="GFL203" s="2"/>
      <c r="GFM203" s="2"/>
      <c r="GFN203" s="2"/>
      <c r="GFO203" s="2"/>
      <c r="GFP203" s="2"/>
      <c r="GFQ203" s="2"/>
      <c r="GFR203" s="2"/>
      <c r="GFS203" s="2"/>
      <c r="GFT203" s="2"/>
      <c r="GFU203" s="2"/>
      <c r="GFV203" s="2"/>
      <c r="GFW203" s="2"/>
      <c r="GFX203" s="2"/>
      <c r="GFY203" s="2"/>
      <c r="GFZ203" s="2"/>
      <c r="GGA203" s="2"/>
      <c r="GGB203" s="2"/>
      <c r="GGC203" s="2"/>
      <c r="GGD203" s="2"/>
      <c r="GGE203" s="2"/>
      <c r="GGF203" s="2"/>
      <c r="GGG203" s="2"/>
      <c r="GGH203" s="2"/>
      <c r="GGI203" s="2"/>
      <c r="GGJ203" s="2"/>
      <c r="GGK203" s="2"/>
      <c r="GGL203" s="2"/>
      <c r="GGM203" s="2"/>
      <c r="GGN203" s="2"/>
      <c r="GGO203" s="2"/>
      <c r="GGP203" s="2"/>
      <c r="GGQ203" s="2"/>
      <c r="GGR203" s="2"/>
      <c r="GGS203" s="2"/>
      <c r="GGT203" s="2"/>
      <c r="GGU203" s="2"/>
      <c r="GGV203" s="2"/>
      <c r="GGW203" s="2"/>
      <c r="GGX203" s="2"/>
      <c r="GGY203" s="2"/>
      <c r="GGZ203" s="2"/>
      <c r="GHA203" s="2"/>
      <c r="GHB203" s="2"/>
      <c r="GHC203" s="2"/>
      <c r="GHD203" s="2"/>
      <c r="GHE203" s="2"/>
      <c r="GHF203" s="2"/>
      <c r="GHG203" s="2"/>
      <c r="GHH203" s="2"/>
      <c r="GHI203" s="2"/>
      <c r="GHJ203" s="2"/>
      <c r="GHK203" s="2"/>
      <c r="GHL203" s="2"/>
      <c r="GHM203" s="2"/>
      <c r="GHN203" s="2"/>
      <c r="GHO203" s="2"/>
      <c r="GHP203" s="2"/>
      <c r="GHQ203" s="2"/>
      <c r="GHR203" s="2"/>
      <c r="GHS203" s="2"/>
      <c r="GHT203" s="2"/>
      <c r="GHU203" s="2"/>
      <c r="GHV203" s="2"/>
      <c r="GHW203" s="2"/>
      <c r="GHX203" s="2"/>
      <c r="GHY203" s="2"/>
      <c r="GHZ203" s="2"/>
      <c r="GIA203" s="2"/>
      <c r="GIB203" s="2"/>
      <c r="GIC203" s="2"/>
      <c r="GID203" s="2"/>
      <c r="GIE203" s="2"/>
      <c r="GIF203" s="2"/>
      <c r="GIG203" s="2"/>
      <c r="GIH203" s="2"/>
      <c r="GII203" s="2"/>
      <c r="GIJ203" s="2"/>
      <c r="GIK203" s="2"/>
      <c r="GIL203" s="2"/>
      <c r="GIM203" s="2"/>
      <c r="GIN203" s="2"/>
      <c r="GIO203" s="2"/>
      <c r="GIP203" s="2"/>
      <c r="GIQ203" s="2"/>
      <c r="GIR203" s="2"/>
      <c r="GIS203" s="2"/>
      <c r="GIT203" s="2"/>
      <c r="GIU203" s="2"/>
      <c r="GIV203" s="2"/>
      <c r="GIW203" s="2"/>
      <c r="GIX203" s="2"/>
      <c r="GIY203" s="2"/>
      <c r="GIZ203" s="2"/>
      <c r="GJA203" s="2"/>
      <c r="GJB203" s="2"/>
      <c r="GJC203" s="2"/>
      <c r="GJD203" s="2"/>
      <c r="GJE203" s="2"/>
      <c r="GJF203" s="2"/>
      <c r="GJG203" s="2"/>
      <c r="GJH203" s="2"/>
      <c r="GJI203" s="2"/>
      <c r="GJJ203" s="2"/>
      <c r="GJK203" s="2"/>
      <c r="GJL203" s="2"/>
      <c r="GJM203" s="2"/>
      <c r="GJN203" s="2"/>
      <c r="GJO203" s="2"/>
      <c r="GJP203" s="2"/>
      <c r="GJQ203" s="2"/>
      <c r="GJR203" s="2"/>
      <c r="GJS203" s="2"/>
      <c r="GJT203" s="2"/>
      <c r="GJU203" s="2"/>
      <c r="GJV203" s="2"/>
      <c r="GJW203" s="2"/>
      <c r="GJX203" s="2"/>
      <c r="GJY203" s="2"/>
      <c r="GJZ203" s="2"/>
      <c r="GKA203" s="2"/>
      <c r="GKB203" s="2"/>
      <c r="GKC203" s="2"/>
      <c r="GKD203" s="2"/>
      <c r="GKE203" s="2"/>
      <c r="GKF203" s="2"/>
      <c r="GKG203" s="2"/>
      <c r="GKH203" s="2"/>
      <c r="GKI203" s="2"/>
      <c r="GKJ203" s="2"/>
      <c r="GKK203" s="2"/>
      <c r="GKL203" s="2"/>
      <c r="GKM203" s="2"/>
      <c r="GKN203" s="2"/>
      <c r="GKO203" s="2"/>
      <c r="GKP203" s="2"/>
      <c r="GKQ203" s="2"/>
      <c r="GKR203" s="2"/>
      <c r="GKS203" s="2"/>
      <c r="GKT203" s="2"/>
      <c r="GKU203" s="2"/>
      <c r="GKV203" s="2"/>
      <c r="GKW203" s="2"/>
      <c r="GKX203" s="2"/>
      <c r="GKY203" s="2"/>
      <c r="GKZ203" s="2"/>
      <c r="GLA203" s="2"/>
      <c r="GLB203" s="2"/>
      <c r="GLC203" s="2"/>
      <c r="GLD203" s="2"/>
      <c r="GLE203" s="2"/>
      <c r="GLF203" s="2"/>
      <c r="GLG203" s="2"/>
      <c r="GLH203" s="2"/>
      <c r="GLI203" s="2"/>
      <c r="GLJ203" s="2"/>
      <c r="GLK203" s="2"/>
      <c r="GLL203" s="2"/>
      <c r="GLM203" s="2"/>
      <c r="GLN203" s="2"/>
      <c r="GLO203" s="2"/>
      <c r="GLP203" s="2"/>
      <c r="GLQ203" s="2"/>
      <c r="GLR203" s="2"/>
      <c r="GLS203" s="2"/>
      <c r="GLT203" s="2"/>
      <c r="GLU203" s="2"/>
      <c r="GLV203" s="2"/>
      <c r="GLW203" s="2"/>
      <c r="GLX203" s="2"/>
      <c r="GLY203" s="2"/>
      <c r="GLZ203" s="2"/>
      <c r="GMA203" s="2"/>
      <c r="GMB203" s="2"/>
      <c r="GMC203" s="2"/>
      <c r="GMD203" s="2"/>
      <c r="GME203" s="2"/>
      <c r="GMF203" s="2"/>
      <c r="GMG203" s="2"/>
      <c r="GMH203" s="2"/>
      <c r="GMI203" s="2"/>
      <c r="GMJ203" s="2"/>
      <c r="GMK203" s="2"/>
      <c r="GML203" s="2"/>
      <c r="GMM203" s="2"/>
      <c r="GMN203" s="2"/>
      <c r="GMO203" s="2"/>
      <c r="GMP203" s="2"/>
      <c r="GMQ203" s="2"/>
      <c r="GMR203" s="2"/>
      <c r="GMS203" s="2"/>
      <c r="GMT203" s="2"/>
      <c r="GMU203" s="2"/>
      <c r="GMV203" s="2"/>
      <c r="GMW203" s="2"/>
      <c r="GMX203" s="2"/>
      <c r="GMY203" s="2"/>
      <c r="GMZ203" s="2"/>
      <c r="GNA203" s="2"/>
      <c r="GNB203" s="2"/>
      <c r="GNC203" s="2"/>
      <c r="GND203" s="2"/>
      <c r="GNE203" s="2"/>
      <c r="GNF203" s="2"/>
      <c r="GNG203" s="2"/>
      <c r="GNH203" s="2"/>
      <c r="GNI203" s="2"/>
      <c r="GNJ203" s="2"/>
      <c r="GNK203" s="2"/>
      <c r="GNL203" s="2"/>
      <c r="GNM203" s="2"/>
      <c r="GNN203" s="2"/>
      <c r="GNO203" s="2"/>
      <c r="GNP203" s="2"/>
      <c r="GNQ203" s="2"/>
      <c r="GNR203" s="2"/>
      <c r="GNS203" s="2"/>
      <c r="GNT203" s="2"/>
      <c r="GNU203" s="2"/>
      <c r="GNV203" s="2"/>
      <c r="GNW203" s="2"/>
      <c r="GNX203" s="2"/>
      <c r="GNY203" s="2"/>
      <c r="GNZ203" s="2"/>
      <c r="GOA203" s="2"/>
      <c r="GOB203" s="2"/>
      <c r="GOC203" s="2"/>
      <c r="GOD203" s="2"/>
      <c r="GOE203" s="2"/>
      <c r="GOF203" s="2"/>
      <c r="GOG203" s="2"/>
      <c r="GOH203" s="2"/>
      <c r="GOI203" s="2"/>
      <c r="GOJ203" s="2"/>
      <c r="GOK203" s="2"/>
      <c r="GOL203" s="2"/>
      <c r="GOM203" s="2"/>
      <c r="GON203" s="2"/>
      <c r="GOO203" s="2"/>
      <c r="GOP203" s="2"/>
      <c r="GOQ203" s="2"/>
      <c r="GOR203" s="2"/>
      <c r="GOS203" s="2"/>
      <c r="GOT203" s="2"/>
      <c r="GOU203" s="2"/>
      <c r="GOV203" s="2"/>
      <c r="GOW203" s="2"/>
      <c r="GOX203" s="2"/>
      <c r="GOY203" s="2"/>
      <c r="GOZ203" s="2"/>
      <c r="GPA203" s="2"/>
      <c r="GPB203" s="2"/>
      <c r="GPC203" s="2"/>
      <c r="GPD203" s="2"/>
      <c r="GPE203" s="2"/>
      <c r="GPF203" s="2"/>
      <c r="GPG203" s="2"/>
      <c r="GPH203" s="2"/>
      <c r="GPI203" s="2"/>
      <c r="GPJ203" s="2"/>
      <c r="GPK203" s="2"/>
      <c r="GPL203" s="2"/>
      <c r="GPM203" s="2"/>
      <c r="GPN203" s="2"/>
      <c r="GPO203" s="2"/>
      <c r="GPP203" s="2"/>
      <c r="GPQ203" s="2"/>
      <c r="GPR203" s="2"/>
      <c r="GPS203" s="2"/>
      <c r="GPT203" s="2"/>
      <c r="GPU203" s="2"/>
      <c r="GPV203" s="2"/>
      <c r="GPW203" s="2"/>
      <c r="GPX203" s="2"/>
      <c r="GPY203" s="2"/>
      <c r="GPZ203" s="2"/>
      <c r="GQA203" s="2"/>
      <c r="GQB203" s="2"/>
      <c r="GQC203" s="2"/>
      <c r="GQD203" s="2"/>
      <c r="GQE203" s="2"/>
      <c r="GQF203" s="2"/>
      <c r="GQG203" s="2"/>
      <c r="GQH203" s="2"/>
      <c r="GQI203" s="2"/>
      <c r="GQJ203" s="2"/>
      <c r="GQK203" s="2"/>
      <c r="GQL203" s="2"/>
      <c r="GQM203" s="2"/>
      <c r="GQN203" s="2"/>
      <c r="GQO203" s="2"/>
      <c r="GQP203" s="2"/>
      <c r="GQQ203" s="2"/>
      <c r="GQR203" s="2"/>
      <c r="GQS203" s="2"/>
      <c r="GQT203" s="2"/>
      <c r="GQU203" s="2"/>
      <c r="GQV203" s="2"/>
      <c r="GQW203" s="2"/>
      <c r="GQX203" s="2"/>
      <c r="GQY203" s="2"/>
      <c r="GQZ203" s="2"/>
      <c r="GRA203" s="2"/>
      <c r="GRB203" s="2"/>
      <c r="GRC203" s="2"/>
      <c r="GRD203" s="2"/>
      <c r="GRE203" s="2"/>
      <c r="GRF203" s="2"/>
      <c r="GRG203" s="2"/>
      <c r="GRH203" s="2"/>
      <c r="GRI203" s="2"/>
      <c r="GRJ203" s="2"/>
      <c r="GRK203" s="2"/>
      <c r="GRL203" s="2"/>
      <c r="GRM203" s="2"/>
      <c r="GRN203" s="2"/>
      <c r="GRO203" s="2"/>
      <c r="GRP203" s="2"/>
      <c r="GRQ203" s="2"/>
      <c r="GRR203" s="2"/>
      <c r="GRS203" s="2"/>
      <c r="GRT203" s="2"/>
      <c r="GRU203" s="2"/>
      <c r="GRV203" s="2"/>
      <c r="GRW203" s="2"/>
      <c r="GRX203" s="2"/>
      <c r="GRY203" s="2"/>
      <c r="GRZ203" s="2"/>
      <c r="GSA203" s="2"/>
      <c r="GSB203" s="2"/>
      <c r="GSC203" s="2"/>
      <c r="GSD203" s="2"/>
      <c r="GSE203" s="2"/>
      <c r="GSF203" s="2"/>
      <c r="GSG203" s="2"/>
      <c r="GSH203" s="2"/>
      <c r="GSI203" s="2"/>
      <c r="GSJ203" s="2"/>
      <c r="GSK203" s="2"/>
      <c r="GSL203" s="2"/>
      <c r="GSM203" s="2"/>
      <c r="GSN203" s="2"/>
      <c r="GSO203" s="2"/>
      <c r="GSP203" s="2"/>
      <c r="GSQ203" s="2"/>
      <c r="GSR203" s="2"/>
      <c r="GSS203" s="2"/>
      <c r="GST203" s="2"/>
      <c r="GSU203" s="2"/>
      <c r="GSV203" s="2"/>
      <c r="GSW203" s="2"/>
      <c r="GSX203" s="2"/>
      <c r="GSY203" s="2"/>
      <c r="GSZ203" s="2"/>
      <c r="GTA203" s="2"/>
      <c r="GTB203" s="2"/>
      <c r="GTC203" s="2"/>
      <c r="GTD203" s="2"/>
      <c r="GTE203" s="2"/>
      <c r="GTF203" s="2"/>
      <c r="GTG203" s="2"/>
      <c r="GTH203" s="2"/>
      <c r="GTI203" s="2"/>
      <c r="GTJ203" s="2"/>
      <c r="GTK203" s="2"/>
      <c r="GTL203" s="2"/>
      <c r="GTM203" s="2"/>
      <c r="GTN203" s="2"/>
      <c r="GTO203" s="2"/>
      <c r="GTP203" s="2"/>
      <c r="GTQ203" s="2"/>
      <c r="GTR203" s="2"/>
      <c r="GTS203" s="2"/>
      <c r="GTT203" s="2"/>
      <c r="GTU203" s="2"/>
      <c r="GTV203" s="2"/>
      <c r="GTW203" s="2"/>
      <c r="GTX203" s="2"/>
      <c r="GTY203" s="2"/>
      <c r="GTZ203" s="2"/>
      <c r="GUA203" s="2"/>
      <c r="GUB203" s="2"/>
      <c r="GUC203" s="2"/>
      <c r="GUD203" s="2"/>
      <c r="GUE203" s="2"/>
      <c r="GUF203" s="2"/>
      <c r="GUG203" s="2"/>
      <c r="GUH203" s="2"/>
      <c r="GUI203" s="2"/>
      <c r="GUJ203" s="2"/>
      <c r="GUK203" s="2"/>
      <c r="GUL203" s="2"/>
      <c r="GUM203" s="2"/>
      <c r="GUN203" s="2"/>
      <c r="GUO203" s="2"/>
      <c r="GUP203" s="2"/>
      <c r="GUQ203" s="2"/>
      <c r="GUR203" s="2"/>
      <c r="GUS203" s="2"/>
      <c r="GUT203" s="2"/>
      <c r="GUU203" s="2"/>
      <c r="GUV203" s="2"/>
      <c r="GUW203" s="2"/>
      <c r="GUX203" s="2"/>
      <c r="GUY203" s="2"/>
      <c r="GUZ203" s="2"/>
      <c r="GVA203" s="2"/>
      <c r="GVB203" s="2"/>
      <c r="GVC203" s="2"/>
      <c r="GVD203" s="2"/>
      <c r="GVE203" s="2"/>
      <c r="GVF203" s="2"/>
      <c r="GVG203" s="2"/>
      <c r="GVH203" s="2"/>
      <c r="GVI203" s="2"/>
      <c r="GVJ203" s="2"/>
      <c r="GVK203" s="2"/>
      <c r="GVL203" s="2"/>
      <c r="GVM203" s="2"/>
      <c r="GVN203" s="2"/>
      <c r="GVO203" s="2"/>
      <c r="GVP203" s="2"/>
      <c r="GVQ203" s="2"/>
      <c r="GVR203" s="2"/>
      <c r="GVS203" s="2"/>
      <c r="GVT203" s="2"/>
      <c r="GVU203" s="2"/>
      <c r="GVV203" s="2"/>
      <c r="GVW203" s="2"/>
      <c r="GVX203" s="2"/>
      <c r="GVY203" s="2"/>
      <c r="GVZ203" s="2"/>
      <c r="GWA203" s="2"/>
      <c r="GWB203" s="2"/>
      <c r="GWC203" s="2"/>
      <c r="GWD203" s="2"/>
      <c r="GWE203" s="2"/>
      <c r="GWF203" s="2"/>
      <c r="GWG203" s="2"/>
      <c r="GWH203" s="2"/>
      <c r="GWI203" s="2"/>
      <c r="GWJ203" s="2"/>
      <c r="GWK203" s="2"/>
      <c r="GWL203" s="2"/>
      <c r="GWM203" s="2"/>
      <c r="GWN203" s="2"/>
      <c r="GWO203" s="2"/>
      <c r="GWP203" s="2"/>
      <c r="GWQ203" s="2"/>
      <c r="GWR203" s="2"/>
      <c r="GWS203" s="2"/>
      <c r="GWT203" s="2"/>
      <c r="GWU203" s="2"/>
      <c r="GWV203" s="2"/>
      <c r="GWW203" s="2"/>
      <c r="GWX203" s="2"/>
      <c r="GWY203" s="2"/>
      <c r="GWZ203" s="2"/>
      <c r="GXA203" s="2"/>
      <c r="GXB203" s="2"/>
      <c r="GXC203" s="2"/>
      <c r="GXD203" s="2"/>
      <c r="GXE203" s="2"/>
      <c r="GXF203" s="2"/>
      <c r="GXG203" s="2"/>
      <c r="GXH203" s="2"/>
      <c r="GXI203" s="2"/>
      <c r="GXJ203" s="2"/>
      <c r="GXK203" s="2"/>
      <c r="GXL203" s="2"/>
      <c r="GXM203" s="2"/>
      <c r="GXN203" s="2"/>
      <c r="GXO203" s="2"/>
      <c r="GXP203" s="2"/>
      <c r="GXQ203" s="2"/>
      <c r="GXR203" s="2"/>
      <c r="GXS203" s="2"/>
      <c r="GXT203" s="2"/>
      <c r="GXU203" s="2"/>
      <c r="GXV203" s="2"/>
      <c r="GXW203" s="2"/>
      <c r="GXX203" s="2"/>
      <c r="GXY203" s="2"/>
      <c r="GXZ203" s="2"/>
      <c r="GYA203" s="2"/>
      <c r="GYB203" s="2"/>
      <c r="GYC203" s="2"/>
      <c r="GYD203" s="2"/>
      <c r="GYE203" s="2"/>
      <c r="GYF203" s="2"/>
      <c r="GYG203" s="2"/>
      <c r="GYH203" s="2"/>
      <c r="GYI203" s="2"/>
      <c r="GYJ203" s="2"/>
      <c r="GYK203" s="2"/>
      <c r="GYL203" s="2"/>
      <c r="GYM203" s="2"/>
      <c r="GYN203" s="2"/>
      <c r="GYO203" s="2"/>
      <c r="GYP203" s="2"/>
      <c r="GYQ203" s="2"/>
      <c r="GYR203" s="2"/>
      <c r="GYS203" s="2"/>
      <c r="GYT203" s="2"/>
      <c r="GYU203" s="2"/>
      <c r="GYV203" s="2"/>
      <c r="GYW203" s="2"/>
      <c r="GYX203" s="2"/>
      <c r="GYY203" s="2"/>
      <c r="GYZ203" s="2"/>
      <c r="GZA203" s="2"/>
      <c r="GZB203" s="2"/>
      <c r="GZC203" s="2"/>
      <c r="GZD203" s="2"/>
      <c r="GZE203" s="2"/>
      <c r="GZF203" s="2"/>
      <c r="GZG203" s="2"/>
      <c r="GZH203" s="2"/>
      <c r="GZI203" s="2"/>
      <c r="GZJ203" s="2"/>
      <c r="GZK203" s="2"/>
      <c r="GZL203" s="2"/>
      <c r="GZM203" s="2"/>
      <c r="GZN203" s="2"/>
      <c r="GZO203" s="2"/>
      <c r="GZP203" s="2"/>
      <c r="GZQ203" s="2"/>
      <c r="GZR203" s="2"/>
      <c r="GZS203" s="2"/>
      <c r="GZT203" s="2"/>
      <c r="GZU203" s="2"/>
      <c r="GZV203" s="2"/>
      <c r="GZW203" s="2"/>
      <c r="GZX203" s="2"/>
      <c r="GZY203" s="2"/>
      <c r="GZZ203" s="2"/>
      <c r="HAA203" s="2"/>
      <c r="HAB203" s="2"/>
      <c r="HAC203" s="2"/>
      <c r="HAD203" s="2"/>
      <c r="HAE203" s="2"/>
      <c r="HAF203" s="2"/>
      <c r="HAG203" s="2"/>
      <c r="HAH203" s="2"/>
      <c r="HAI203" s="2"/>
      <c r="HAJ203" s="2"/>
      <c r="HAK203" s="2"/>
      <c r="HAL203" s="2"/>
      <c r="HAM203" s="2"/>
      <c r="HAN203" s="2"/>
      <c r="HAO203" s="2"/>
      <c r="HAP203" s="2"/>
      <c r="HAQ203" s="2"/>
      <c r="HAR203" s="2"/>
      <c r="HAS203" s="2"/>
      <c r="HAT203" s="2"/>
      <c r="HAU203" s="2"/>
      <c r="HAV203" s="2"/>
      <c r="HAW203" s="2"/>
      <c r="HAX203" s="2"/>
      <c r="HAY203" s="2"/>
      <c r="HAZ203" s="2"/>
      <c r="HBA203" s="2"/>
      <c r="HBB203" s="2"/>
      <c r="HBC203" s="2"/>
      <c r="HBD203" s="2"/>
      <c r="HBE203" s="2"/>
      <c r="HBF203" s="2"/>
      <c r="HBG203" s="2"/>
      <c r="HBH203" s="2"/>
      <c r="HBI203" s="2"/>
      <c r="HBJ203" s="2"/>
      <c r="HBK203" s="2"/>
      <c r="HBL203" s="2"/>
      <c r="HBM203" s="2"/>
      <c r="HBN203" s="2"/>
      <c r="HBO203" s="2"/>
      <c r="HBP203" s="2"/>
      <c r="HBQ203" s="2"/>
      <c r="HBR203" s="2"/>
      <c r="HBS203" s="2"/>
      <c r="HBT203" s="2"/>
      <c r="HBU203" s="2"/>
      <c r="HBV203" s="2"/>
      <c r="HBW203" s="2"/>
      <c r="HBX203" s="2"/>
      <c r="HBY203" s="2"/>
      <c r="HBZ203" s="2"/>
      <c r="HCA203" s="2"/>
      <c r="HCB203" s="2"/>
      <c r="HCC203" s="2"/>
      <c r="HCD203" s="2"/>
      <c r="HCE203" s="2"/>
      <c r="HCF203" s="2"/>
      <c r="HCG203" s="2"/>
      <c r="HCH203" s="2"/>
      <c r="HCI203" s="2"/>
      <c r="HCJ203" s="2"/>
      <c r="HCK203" s="2"/>
      <c r="HCL203" s="2"/>
      <c r="HCM203" s="2"/>
      <c r="HCN203" s="2"/>
      <c r="HCO203" s="2"/>
      <c r="HCP203" s="2"/>
      <c r="HCQ203" s="2"/>
      <c r="HCR203" s="2"/>
      <c r="HCS203" s="2"/>
      <c r="HCT203" s="2"/>
      <c r="HCU203" s="2"/>
      <c r="HCV203" s="2"/>
      <c r="HCW203" s="2"/>
      <c r="HCX203" s="2"/>
      <c r="HCY203" s="2"/>
      <c r="HCZ203" s="2"/>
      <c r="HDA203" s="2"/>
      <c r="HDB203" s="2"/>
      <c r="HDC203" s="2"/>
      <c r="HDD203" s="2"/>
      <c r="HDE203" s="2"/>
      <c r="HDF203" s="2"/>
      <c r="HDG203" s="2"/>
      <c r="HDH203" s="2"/>
      <c r="HDI203" s="2"/>
      <c r="HDJ203" s="2"/>
      <c r="HDK203" s="2"/>
      <c r="HDL203" s="2"/>
      <c r="HDM203" s="2"/>
      <c r="HDN203" s="2"/>
      <c r="HDO203" s="2"/>
      <c r="HDP203" s="2"/>
      <c r="HDQ203" s="2"/>
      <c r="HDR203" s="2"/>
      <c r="HDS203" s="2"/>
      <c r="HDT203" s="2"/>
      <c r="HDU203" s="2"/>
      <c r="HDV203" s="2"/>
      <c r="HDW203" s="2"/>
      <c r="HDX203" s="2"/>
      <c r="HDY203" s="2"/>
      <c r="HDZ203" s="2"/>
      <c r="HEA203" s="2"/>
      <c r="HEB203" s="2"/>
      <c r="HEC203" s="2"/>
      <c r="HED203" s="2"/>
      <c r="HEE203" s="2"/>
      <c r="HEF203" s="2"/>
      <c r="HEG203" s="2"/>
      <c r="HEH203" s="2"/>
      <c r="HEI203" s="2"/>
      <c r="HEJ203" s="2"/>
      <c r="HEK203" s="2"/>
      <c r="HEL203" s="2"/>
      <c r="HEM203" s="2"/>
      <c r="HEN203" s="2"/>
      <c r="HEO203" s="2"/>
      <c r="HEP203" s="2"/>
      <c r="HEQ203" s="2"/>
      <c r="HER203" s="2"/>
      <c r="HES203" s="2"/>
      <c r="HET203" s="2"/>
      <c r="HEU203" s="2"/>
      <c r="HEV203" s="2"/>
      <c r="HEW203" s="2"/>
      <c r="HEX203" s="2"/>
      <c r="HEY203" s="2"/>
      <c r="HEZ203" s="2"/>
      <c r="HFA203" s="2"/>
      <c r="HFB203" s="2"/>
      <c r="HFC203" s="2"/>
      <c r="HFD203" s="2"/>
      <c r="HFE203" s="2"/>
      <c r="HFF203" s="2"/>
      <c r="HFG203" s="2"/>
      <c r="HFH203" s="2"/>
      <c r="HFI203" s="2"/>
      <c r="HFJ203" s="2"/>
      <c r="HFK203" s="2"/>
      <c r="HFL203" s="2"/>
      <c r="HFM203" s="2"/>
      <c r="HFN203" s="2"/>
      <c r="HFO203" s="2"/>
      <c r="HFP203" s="2"/>
      <c r="HFQ203" s="2"/>
      <c r="HFR203" s="2"/>
      <c r="HFS203" s="2"/>
      <c r="HFT203" s="2"/>
      <c r="HFU203" s="2"/>
      <c r="HFV203" s="2"/>
      <c r="HFW203" s="2"/>
      <c r="HFX203" s="2"/>
      <c r="HFY203" s="2"/>
      <c r="HFZ203" s="2"/>
      <c r="HGA203" s="2"/>
      <c r="HGB203" s="2"/>
      <c r="HGC203" s="2"/>
      <c r="HGD203" s="2"/>
      <c r="HGE203" s="2"/>
      <c r="HGF203" s="2"/>
      <c r="HGG203" s="2"/>
      <c r="HGH203" s="2"/>
      <c r="HGI203" s="2"/>
      <c r="HGJ203" s="2"/>
      <c r="HGK203" s="2"/>
      <c r="HGL203" s="2"/>
      <c r="HGM203" s="2"/>
      <c r="HGN203" s="2"/>
      <c r="HGO203" s="2"/>
      <c r="HGP203" s="2"/>
      <c r="HGQ203" s="2"/>
      <c r="HGR203" s="2"/>
      <c r="HGS203" s="2"/>
      <c r="HGT203" s="2"/>
      <c r="HGU203" s="2"/>
      <c r="HGV203" s="2"/>
      <c r="HGW203" s="2"/>
      <c r="HGX203" s="2"/>
      <c r="HGY203" s="2"/>
      <c r="HGZ203" s="2"/>
      <c r="HHA203" s="2"/>
      <c r="HHB203" s="2"/>
      <c r="HHC203" s="2"/>
      <c r="HHD203" s="2"/>
      <c r="HHE203" s="2"/>
      <c r="HHF203" s="2"/>
      <c r="HHG203" s="2"/>
      <c r="HHH203" s="2"/>
      <c r="HHI203" s="2"/>
      <c r="HHJ203" s="2"/>
      <c r="HHK203" s="2"/>
      <c r="HHL203" s="2"/>
      <c r="HHM203" s="2"/>
      <c r="HHN203" s="2"/>
      <c r="HHO203" s="2"/>
      <c r="HHP203" s="2"/>
      <c r="HHQ203" s="2"/>
      <c r="HHR203" s="2"/>
      <c r="HHS203" s="2"/>
      <c r="HHT203" s="2"/>
      <c r="HHU203" s="2"/>
      <c r="HHV203" s="2"/>
      <c r="HHW203" s="2"/>
      <c r="HHX203" s="2"/>
      <c r="HHY203" s="2"/>
      <c r="HHZ203" s="2"/>
      <c r="HIA203" s="2"/>
      <c r="HIB203" s="2"/>
      <c r="HIC203" s="2"/>
      <c r="HID203" s="2"/>
      <c r="HIE203" s="2"/>
      <c r="HIF203" s="2"/>
      <c r="HIG203" s="2"/>
      <c r="HIH203" s="2"/>
      <c r="HII203" s="2"/>
      <c r="HIJ203" s="2"/>
      <c r="HIK203" s="2"/>
      <c r="HIL203" s="2"/>
      <c r="HIM203" s="2"/>
      <c r="HIN203" s="2"/>
      <c r="HIO203" s="2"/>
      <c r="HIP203" s="2"/>
      <c r="HIQ203" s="2"/>
      <c r="HIR203" s="2"/>
      <c r="HIS203" s="2"/>
      <c r="HIT203" s="2"/>
      <c r="HIU203" s="2"/>
      <c r="HIV203" s="2"/>
      <c r="HIW203" s="2"/>
      <c r="HIX203" s="2"/>
      <c r="HIY203" s="2"/>
      <c r="HIZ203" s="2"/>
      <c r="HJA203" s="2"/>
      <c r="HJB203" s="2"/>
      <c r="HJC203" s="2"/>
      <c r="HJD203" s="2"/>
      <c r="HJE203" s="2"/>
      <c r="HJF203" s="2"/>
      <c r="HJG203" s="2"/>
      <c r="HJH203" s="2"/>
      <c r="HJI203" s="2"/>
      <c r="HJJ203" s="2"/>
      <c r="HJK203" s="2"/>
      <c r="HJL203" s="2"/>
      <c r="HJM203" s="2"/>
      <c r="HJN203" s="2"/>
      <c r="HJO203" s="2"/>
      <c r="HJP203" s="2"/>
      <c r="HJQ203" s="2"/>
      <c r="HJR203" s="2"/>
      <c r="HJS203" s="2"/>
      <c r="HJT203" s="2"/>
      <c r="HJU203" s="2"/>
      <c r="HJV203" s="2"/>
      <c r="HJW203" s="2"/>
      <c r="HJX203" s="2"/>
      <c r="HJY203" s="2"/>
      <c r="HJZ203" s="2"/>
      <c r="HKA203" s="2"/>
      <c r="HKB203" s="2"/>
      <c r="HKC203" s="2"/>
      <c r="HKD203" s="2"/>
      <c r="HKE203" s="2"/>
      <c r="HKF203" s="2"/>
      <c r="HKG203" s="2"/>
      <c r="HKH203" s="2"/>
      <c r="HKI203" s="2"/>
      <c r="HKJ203" s="2"/>
      <c r="HKK203" s="2"/>
      <c r="HKL203" s="2"/>
      <c r="HKM203" s="2"/>
      <c r="HKN203" s="2"/>
      <c r="HKO203" s="2"/>
      <c r="HKP203" s="2"/>
      <c r="HKQ203" s="2"/>
      <c r="HKR203" s="2"/>
      <c r="HKS203" s="2"/>
      <c r="HKT203" s="2"/>
      <c r="HKU203" s="2"/>
      <c r="HKV203" s="2"/>
      <c r="HKW203" s="2"/>
      <c r="HKX203" s="2"/>
      <c r="HKY203" s="2"/>
      <c r="HKZ203" s="2"/>
      <c r="HLA203" s="2"/>
      <c r="HLB203" s="2"/>
      <c r="HLC203" s="2"/>
      <c r="HLD203" s="2"/>
      <c r="HLE203" s="2"/>
      <c r="HLF203" s="2"/>
      <c r="HLG203" s="2"/>
      <c r="HLH203" s="2"/>
      <c r="HLI203" s="2"/>
      <c r="HLJ203" s="2"/>
      <c r="HLK203" s="2"/>
      <c r="HLL203" s="2"/>
      <c r="HLM203" s="2"/>
      <c r="HLN203" s="2"/>
      <c r="HLO203" s="2"/>
      <c r="HLP203" s="2"/>
      <c r="HLQ203" s="2"/>
      <c r="HLR203" s="2"/>
      <c r="HLS203" s="2"/>
      <c r="HLT203" s="2"/>
      <c r="HLU203" s="2"/>
      <c r="HLV203" s="2"/>
      <c r="HLW203" s="2"/>
      <c r="HLX203" s="2"/>
      <c r="HLY203" s="2"/>
      <c r="HLZ203" s="2"/>
      <c r="HMA203" s="2"/>
      <c r="HMB203" s="2"/>
      <c r="HMC203" s="2"/>
      <c r="HMD203" s="2"/>
      <c r="HME203" s="2"/>
      <c r="HMF203" s="2"/>
      <c r="HMG203" s="2"/>
      <c r="HMH203" s="2"/>
      <c r="HMI203" s="2"/>
      <c r="HMJ203" s="2"/>
      <c r="HMK203" s="2"/>
      <c r="HML203" s="2"/>
      <c r="HMM203" s="2"/>
      <c r="HMN203" s="2"/>
      <c r="HMO203" s="2"/>
      <c r="HMP203" s="2"/>
      <c r="HMQ203" s="2"/>
      <c r="HMR203" s="2"/>
      <c r="HMS203" s="2"/>
      <c r="HMT203" s="2"/>
      <c r="HMU203" s="2"/>
      <c r="HMV203" s="2"/>
      <c r="HMW203" s="2"/>
      <c r="HMX203" s="2"/>
      <c r="HMY203" s="2"/>
      <c r="HMZ203" s="2"/>
      <c r="HNA203" s="2"/>
      <c r="HNB203" s="2"/>
      <c r="HNC203" s="2"/>
      <c r="HND203" s="2"/>
      <c r="HNE203" s="2"/>
      <c r="HNF203" s="2"/>
      <c r="HNG203" s="2"/>
      <c r="HNH203" s="2"/>
      <c r="HNI203" s="2"/>
      <c r="HNJ203" s="2"/>
      <c r="HNK203" s="2"/>
      <c r="HNL203" s="2"/>
      <c r="HNM203" s="2"/>
      <c r="HNN203" s="2"/>
      <c r="HNO203" s="2"/>
      <c r="HNP203" s="2"/>
      <c r="HNQ203" s="2"/>
      <c r="HNR203" s="2"/>
      <c r="HNS203" s="2"/>
      <c r="HNT203" s="2"/>
      <c r="HNU203" s="2"/>
      <c r="HNV203" s="2"/>
      <c r="HNW203" s="2"/>
      <c r="HNX203" s="2"/>
      <c r="HNY203" s="2"/>
      <c r="HNZ203" s="2"/>
      <c r="HOA203" s="2"/>
      <c r="HOB203" s="2"/>
      <c r="HOC203" s="2"/>
      <c r="HOD203" s="2"/>
      <c r="HOE203" s="2"/>
      <c r="HOF203" s="2"/>
      <c r="HOG203" s="2"/>
      <c r="HOH203" s="2"/>
      <c r="HOI203" s="2"/>
      <c r="HOJ203" s="2"/>
      <c r="HOK203" s="2"/>
      <c r="HOL203" s="2"/>
      <c r="HOM203" s="2"/>
      <c r="HON203" s="2"/>
      <c r="HOO203" s="2"/>
      <c r="HOP203" s="2"/>
      <c r="HOQ203" s="2"/>
      <c r="HOR203" s="2"/>
      <c r="HOS203" s="2"/>
      <c r="HOT203" s="2"/>
      <c r="HOU203" s="2"/>
      <c r="HOV203" s="2"/>
      <c r="HOW203" s="2"/>
      <c r="HOX203" s="2"/>
      <c r="HOY203" s="2"/>
      <c r="HOZ203" s="2"/>
      <c r="HPA203" s="2"/>
      <c r="HPB203" s="2"/>
      <c r="HPC203" s="2"/>
      <c r="HPD203" s="2"/>
      <c r="HPE203" s="2"/>
      <c r="HPF203" s="2"/>
      <c r="HPG203" s="2"/>
      <c r="HPH203" s="2"/>
      <c r="HPI203" s="2"/>
      <c r="HPJ203" s="2"/>
      <c r="HPK203" s="2"/>
      <c r="HPL203" s="2"/>
      <c r="HPM203" s="2"/>
      <c r="HPN203" s="2"/>
      <c r="HPO203" s="2"/>
      <c r="HPP203" s="2"/>
      <c r="HPQ203" s="2"/>
      <c r="HPR203" s="2"/>
      <c r="HPS203" s="2"/>
      <c r="HPT203" s="2"/>
      <c r="HPU203" s="2"/>
      <c r="HPV203" s="2"/>
      <c r="HPW203" s="2"/>
      <c r="HPX203" s="2"/>
      <c r="HPY203" s="2"/>
      <c r="HPZ203" s="2"/>
      <c r="HQA203" s="2"/>
      <c r="HQB203" s="2"/>
      <c r="HQC203" s="2"/>
      <c r="HQD203" s="2"/>
      <c r="HQE203" s="2"/>
      <c r="HQF203" s="2"/>
      <c r="HQG203" s="2"/>
      <c r="HQH203" s="2"/>
      <c r="HQI203" s="2"/>
      <c r="HQJ203" s="2"/>
      <c r="HQK203" s="2"/>
      <c r="HQL203" s="2"/>
      <c r="HQM203" s="2"/>
      <c r="HQN203" s="2"/>
      <c r="HQO203" s="2"/>
      <c r="HQP203" s="2"/>
      <c r="HQQ203" s="2"/>
      <c r="HQR203" s="2"/>
      <c r="HQS203" s="2"/>
      <c r="HQT203" s="2"/>
      <c r="HQU203" s="2"/>
      <c r="HQV203" s="2"/>
      <c r="HQW203" s="2"/>
      <c r="HQX203" s="2"/>
      <c r="HQY203" s="2"/>
      <c r="HQZ203" s="2"/>
      <c r="HRA203" s="2"/>
      <c r="HRB203" s="2"/>
      <c r="HRC203" s="2"/>
      <c r="HRD203" s="2"/>
      <c r="HRE203" s="2"/>
      <c r="HRF203" s="2"/>
      <c r="HRG203" s="2"/>
      <c r="HRH203" s="2"/>
      <c r="HRI203" s="2"/>
      <c r="HRJ203" s="2"/>
      <c r="HRK203" s="2"/>
      <c r="HRL203" s="2"/>
      <c r="HRM203" s="2"/>
      <c r="HRN203" s="2"/>
      <c r="HRO203" s="2"/>
      <c r="HRP203" s="2"/>
      <c r="HRQ203" s="2"/>
      <c r="HRR203" s="2"/>
      <c r="HRS203" s="2"/>
      <c r="HRT203" s="2"/>
      <c r="HRU203" s="2"/>
      <c r="HRV203" s="2"/>
      <c r="HRW203" s="2"/>
      <c r="HRX203" s="2"/>
      <c r="HRY203" s="2"/>
      <c r="HRZ203" s="2"/>
      <c r="HSA203" s="2"/>
      <c r="HSB203" s="2"/>
      <c r="HSC203" s="2"/>
      <c r="HSD203" s="2"/>
      <c r="HSE203" s="2"/>
      <c r="HSF203" s="2"/>
      <c r="HSG203" s="2"/>
      <c r="HSH203" s="2"/>
      <c r="HSI203" s="2"/>
      <c r="HSJ203" s="2"/>
      <c r="HSK203" s="2"/>
      <c r="HSL203" s="2"/>
      <c r="HSM203" s="2"/>
      <c r="HSN203" s="2"/>
      <c r="HSO203" s="2"/>
      <c r="HSP203" s="2"/>
      <c r="HSQ203" s="2"/>
      <c r="HSR203" s="2"/>
      <c r="HSS203" s="2"/>
      <c r="HST203" s="2"/>
      <c r="HSU203" s="2"/>
      <c r="HSV203" s="2"/>
      <c r="HSW203" s="2"/>
      <c r="HSX203" s="2"/>
      <c r="HSY203" s="2"/>
      <c r="HSZ203" s="2"/>
      <c r="HTA203" s="2"/>
      <c r="HTB203" s="2"/>
      <c r="HTC203" s="2"/>
      <c r="HTD203" s="2"/>
      <c r="HTE203" s="2"/>
      <c r="HTF203" s="2"/>
      <c r="HTG203" s="2"/>
      <c r="HTH203" s="2"/>
      <c r="HTI203" s="2"/>
      <c r="HTJ203" s="2"/>
      <c r="HTK203" s="2"/>
      <c r="HTL203" s="2"/>
      <c r="HTM203" s="2"/>
      <c r="HTN203" s="2"/>
      <c r="HTO203" s="2"/>
      <c r="HTP203" s="2"/>
      <c r="HTQ203" s="2"/>
      <c r="HTR203" s="2"/>
      <c r="HTS203" s="2"/>
      <c r="HTT203" s="2"/>
      <c r="HTU203" s="2"/>
      <c r="HTV203" s="2"/>
      <c r="HTW203" s="2"/>
      <c r="HTX203" s="2"/>
      <c r="HTY203" s="2"/>
      <c r="HTZ203" s="2"/>
      <c r="HUA203" s="2"/>
      <c r="HUB203" s="2"/>
      <c r="HUC203" s="2"/>
      <c r="HUD203" s="2"/>
      <c r="HUE203" s="2"/>
      <c r="HUF203" s="2"/>
      <c r="HUG203" s="2"/>
      <c r="HUH203" s="2"/>
      <c r="HUI203" s="2"/>
      <c r="HUJ203" s="2"/>
      <c r="HUK203" s="2"/>
      <c r="HUL203" s="2"/>
      <c r="HUM203" s="2"/>
      <c r="HUN203" s="2"/>
      <c r="HUO203" s="2"/>
      <c r="HUP203" s="2"/>
      <c r="HUQ203" s="2"/>
      <c r="HUR203" s="2"/>
      <c r="HUS203" s="2"/>
      <c r="HUT203" s="2"/>
      <c r="HUU203" s="2"/>
      <c r="HUV203" s="2"/>
      <c r="HUW203" s="2"/>
      <c r="HUX203" s="2"/>
      <c r="HUY203" s="2"/>
      <c r="HUZ203" s="2"/>
      <c r="HVA203" s="2"/>
      <c r="HVB203" s="2"/>
      <c r="HVC203" s="2"/>
      <c r="HVD203" s="2"/>
      <c r="HVE203" s="2"/>
      <c r="HVF203" s="2"/>
      <c r="HVG203" s="2"/>
      <c r="HVH203" s="2"/>
      <c r="HVI203" s="2"/>
      <c r="HVJ203" s="2"/>
      <c r="HVK203" s="2"/>
      <c r="HVL203" s="2"/>
      <c r="HVM203" s="2"/>
      <c r="HVN203" s="2"/>
      <c r="HVO203" s="2"/>
      <c r="HVP203" s="2"/>
      <c r="HVQ203" s="2"/>
      <c r="HVR203" s="2"/>
      <c r="HVS203" s="2"/>
      <c r="HVT203" s="2"/>
      <c r="HVU203" s="2"/>
      <c r="HVV203" s="2"/>
      <c r="HVW203" s="2"/>
      <c r="HVX203" s="2"/>
      <c r="HVY203" s="2"/>
      <c r="HVZ203" s="2"/>
      <c r="HWA203" s="2"/>
      <c r="HWB203" s="2"/>
      <c r="HWC203" s="2"/>
      <c r="HWD203" s="2"/>
      <c r="HWE203" s="2"/>
      <c r="HWF203" s="2"/>
      <c r="HWG203" s="2"/>
      <c r="HWH203" s="2"/>
      <c r="HWI203" s="2"/>
      <c r="HWJ203" s="2"/>
      <c r="HWK203" s="2"/>
      <c r="HWL203" s="2"/>
      <c r="HWM203" s="2"/>
      <c r="HWN203" s="2"/>
      <c r="HWO203" s="2"/>
      <c r="HWP203" s="2"/>
      <c r="HWQ203" s="2"/>
      <c r="HWR203" s="2"/>
      <c r="HWS203" s="2"/>
      <c r="HWT203" s="2"/>
      <c r="HWU203" s="2"/>
      <c r="HWV203" s="2"/>
      <c r="HWW203" s="2"/>
      <c r="HWX203" s="2"/>
      <c r="HWY203" s="2"/>
      <c r="HWZ203" s="2"/>
      <c r="HXA203" s="2"/>
      <c r="HXB203" s="2"/>
      <c r="HXC203" s="2"/>
      <c r="HXD203" s="2"/>
      <c r="HXE203" s="2"/>
      <c r="HXF203" s="2"/>
      <c r="HXG203" s="2"/>
      <c r="HXH203" s="2"/>
      <c r="HXI203" s="2"/>
      <c r="HXJ203" s="2"/>
      <c r="HXK203" s="2"/>
      <c r="HXL203" s="2"/>
      <c r="HXM203" s="2"/>
      <c r="HXN203" s="2"/>
      <c r="HXO203" s="2"/>
      <c r="HXP203" s="2"/>
      <c r="HXQ203" s="2"/>
      <c r="HXR203" s="2"/>
      <c r="HXS203" s="2"/>
      <c r="HXT203" s="2"/>
      <c r="HXU203" s="2"/>
      <c r="HXV203" s="2"/>
      <c r="HXW203" s="2"/>
      <c r="HXX203" s="2"/>
      <c r="HXY203" s="2"/>
      <c r="HXZ203" s="2"/>
      <c r="HYA203" s="2"/>
      <c r="HYB203" s="2"/>
      <c r="HYC203" s="2"/>
      <c r="HYD203" s="2"/>
      <c r="HYE203" s="2"/>
      <c r="HYF203" s="2"/>
      <c r="HYG203" s="2"/>
      <c r="HYH203" s="2"/>
      <c r="HYI203" s="2"/>
      <c r="HYJ203" s="2"/>
      <c r="HYK203" s="2"/>
      <c r="HYL203" s="2"/>
      <c r="HYM203" s="2"/>
      <c r="HYN203" s="2"/>
      <c r="HYO203" s="2"/>
      <c r="HYP203" s="2"/>
      <c r="HYQ203" s="2"/>
      <c r="HYR203" s="2"/>
      <c r="HYS203" s="2"/>
      <c r="HYT203" s="2"/>
      <c r="HYU203" s="2"/>
      <c r="HYV203" s="2"/>
      <c r="HYW203" s="2"/>
      <c r="HYX203" s="2"/>
      <c r="HYY203" s="2"/>
      <c r="HYZ203" s="2"/>
      <c r="HZA203" s="2"/>
      <c r="HZB203" s="2"/>
      <c r="HZC203" s="2"/>
      <c r="HZD203" s="2"/>
      <c r="HZE203" s="2"/>
      <c r="HZF203" s="2"/>
      <c r="HZG203" s="2"/>
      <c r="HZH203" s="2"/>
      <c r="HZI203" s="2"/>
      <c r="HZJ203" s="2"/>
      <c r="HZK203" s="2"/>
      <c r="HZL203" s="2"/>
      <c r="HZM203" s="2"/>
      <c r="HZN203" s="2"/>
      <c r="HZO203" s="2"/>
      <c r="HZP203" s="2"/>
      <c r="HZQ203" s="2"/>
      <c r="HZR203" s="2"/>
      <c r="HZS203" s="2"/>
      <c r="HZT203" s="2"/>
      <c r="HZU203" s="2"/>
      <c r="HZV203" s="2"/>
      <c r="HZW203" s="2"/>
      <c r="HZX203" s="2"/>
      <c r="HZY203" s="2"/>
      <c r="HZZ203" s="2"/>
      <c r="IAA203" s="2"/>
      <c r="IAB203" s="2"/>
      <c r="IAC203" s="2"/>
      <c r="IAD203" s="2"/>
      <c r="IAE203" s="2"/>
      <c r="IAF203" s="2"/>
      <c r="IAG203" s="2"/>
      <c r="IAH203" s="2"/>
      <c r="IAI203" s="2"/>
      <c r="IAJ203" s="2"/>
      <c r="IAK203" s="2"/>
      <c r="IAL203" s="2"/>
      <c r="IAM203" s="2"/>
      <c r="IAN203" s="2"/>
      <c r="IAO203" s="2"/>
      <c r="IAP203" s="2"/>
      <c r="IAQ203" s="2"/>
      <c r="IAR203" s="2"/>
      <c r="IAS203" s="2"/>
      <c r="IAT203" s="2"/>
      <c r="IAU203" s="2"/>
      <c r="IAV203" s="2"/>
      <c r="IAW203" s="2"/>
      <c r="IAX203" s="2"/>
      <c r="IAY203" s="2"/>
      <c r="IAZ203" s="2"/>
      <c r="IBA203" s="2"/>
      <c r="IBB203" s="2"/>
      <c r="IBC203" s="2"/>
      <c r="IBD203" s="2"/>
      <c r="IBE203" s="2"/>
      <c r="IBF203" s="2"/>
      <c r="IBG203" s="2"/>
      <c r="IBH203" s="2"/>
      <c r="IBI203" s="2"/>
      <c r="IBJ203" s="2"/>
      <c r="IBK203" s="2"/>
      <c r="IBL203" s="2"/>
      <c r="IBM203" s="2"/>
      <c r="IBN203" s="2"/>
      <c r="IBO203" s="2"/>
      <c r="IBP203" s="2"/>
      <c r="IBQ203" s="2"/>
      <c r="IBR203" s="2"/>
      <c r="IBS203" s="2"/>
      <c r="IBT203" s="2"/>
      <c r="IBU203" s="2"/>
      <c r="IBV203" s="2"/>
      <c r="IBW203" s="2"/>
      <c r="IBX203" s="2"/>
      <c r="IBY203" s="2"/>
      <c r="IBZ203" s="2"/>
      <c r="ICA203" s="2"/>
      <c r="ICB203" s="2"/>
      <c r="ICC203" s="2"/>
      <c r="ICD203" s="2"/>
      <c r="ICE203" s="2"/>
      <c r="ICF203" s="2"/>
      <c r="ICG203" s="2"/>
      <c r="ICH203" s="2"/>
      <c r="ICI203" s="2"/>
      <c r="ICJ203" s="2"/>
      <c r="ICK203" s="2"/>
      <c r="ICL203" s="2"/>
      <c r="ICM203" s="2"/>
      <c r="ICN203" s="2"/>
      <c r="ICO203" s="2"/>
      <c r="ICP203" s="2"/>
      <c r="ICQ203" s="2"/>
      <c r="ICR203" s="2"/>
      <c r="ICS203" s="2"/>
      <c r="ICT203" s="2"/>
      <c r="ICU203" s="2"/>
      <c r="ICV203" s="2"/>
      <c r="ICW203" s="2"/>
      <c r="ICX203" s="2"/>
      <c r="ICY203" s="2"/>
      <c r="ICZ203" s="2"/>
      <c r="IDA203" s="2"/>
      <c r="IDB203" s="2"/>
      <c r="IDC203" s="2"/>
      <c r="IDD203" s="2"/>
      <c r="IDE203" s="2"/>
      <c r="IDF203" s="2"/>
      <c r="IDG203" s="2"/>
      <c r="IDH203" s="2"/>
      <c r="IDI203" s="2"/>
      <c r="IDJ203" s="2"/>
      <c r="IDK203" s="2"/>
      <c r="IDL203" s="2"/>
      <c r="IDM203" s="2"/>
      <c r="IDN203" s="2"/>
      <c r="IDO203" s="2"/>
      <c r="IDP203" s="2"/>
      <c r="IDQ203" s="2"/>
      <c r="IDR203" s="2"/>
      <c r="IDS203" s="2"/>
      <c r="IDT203" s="2"/>
      <c r="IDU203" s="2"/>
      <c r="IDV203" s="2"/>
      <c r="IDW203" s="2"/>
      <c r="IDX203" s="2"/>
      <c r="IDY203" s="2"/>
      <c r="IDZ203" s="2"/>
      <c r="IEA203" s="2"/>
      <c r="IEB203" s="2"/>
      <c r="IEC203" s="2"/>
      <c r="IED203" s="2"/>
      <c r="IEE203" s="2"/>
      <c r="IEF203" s="2"/>
      <c r="IEG203" s="2"/>
      <c r="IEH203" s="2"/>
      <c r="IEI203" s="2"/>
      <c r="IEJ203" s="2"/>
      <c r="IEK203" s="2"/>
      <c r="IEL203" s="2"/>
      <c r="IEM203" s="2"/>
      <c r="IEN203" s="2"/>
      <c r="IEO203" s="2"/>
      <c r="IEP203" s="2"/>
      <c r="IEQ203" s="2"/>
      <c r="IER203" s="2"/>
      <c r="IES203" s="2"/>
      <c r="IET203" s="2"/>
      <c r="IEU203" s="2"/>
      <c r="IEV203" s="2"/>
      <c r="IEW203" s="2"/>
      <c r="IEX203" s="2"/>
      <c r="IEY203" s="2"/>
      <c r="IEZ203" s="2"/>
      <c r="IFA203" s="2"/>
      <c r="IFB203" s="2"/>
      <c r="IFC203" s="2"/>
      <c r="IFD203" s="2"/>
      <c r="IFE203" s="2"/>
      <c r="IFF203" s="2"/>
      <c r="IFG203" s="2"/>
      <c r="IFH203" s="2"/>
      <c r="IFI203" s="2"/>
      <c r="IFJ203" s="2"/>
      <c r="IFK203" s="2"/>
      <c r="IFL203" s="2"/>
      <c r="IFM203" s="2"/>
      <c r="IFN203" s="2"/>
      <c r="IFO203" s="2"/>
      <c r="IFP203" s="2"/>
      <c r="IFQ203" s="2"/>
      <c r="IFR203" s="2"/>
      <c r="IFS203" s="2"/>
      <c r="IFT203" s="2"/>
      <c r="IFU203" s="2"/>
      <c r="IFV203" s="2"/>
      <c r="IFW203" s="2"/>
      <c r="IFX203" s="2"/>
      <c r="IFY203" s="2"/>
      <c r="IFZ203" s="2"/>
      <c r="IGA203" s="2"/>
      <c r="IGB203" s="2"/>
      <c r="IGC203" s="2"/>
      <c r="IGD203" s="2"/>
      <c r="IGE203" s="2"/>
      <c r="IGF203" s="2"/>
      <c r="IGG203" s="2"/>
      <c r="IGH203" s="2"/>
      <c r="IGI203" s="2"/>
      <c r="IGJ203" s="2"/>
      <c r="IGK203" s="2"/>
      <c r="IGL203" s="2"/>
      <c r="IGM203" s="2"/>
      <c r="IGN203" s="2"/>
      <c r="IGO203" s="2"/>
      <c r="IGP203" s="2"/>
      <c r="IGQ203" s="2"/>
      <c r="IGR203" s="2"/>
      <c r="IGS203" s="2"/>
      <c r="IGT203" s="2"/>
      <c r="IGU203" s="2"/>
      <c r="IGV203" s="2"/>
      <c r="IGW203" s="2"/>
      <c r="IGX203" s="2"/>
      <c r="IGY203" s="2"/>
      <c r="IGZ203" s="2"/>
      <c r="IHA203" s="2"/>
      <c r="IHB203" s="2"/>
      <c r="IHC203" s="2"/>
      <c r="IHD203" s="2"/>
      <c r="IHE203" s="2"/>
      <c r="IHF203" s="2"/>
      <c r="IHG203" s="2"/>
      <c r="IHH203" s="2"/>
      <c r="IHI203" s="2"/>
      <c r="IHJ203" s="2"/>
      <c r="IHK203" s="2"/>
      <c r="IHL203" s="2"/>
      <c r="IHM203" s="2"/>
      <c r="IHN203" s="2"/>
      <c r="IHO203" s="2"/>
      <c r="IHP203" s="2"/>
      <c r="IHQ203" s="2"/>
      <c r="IHR203" s="2"/>
      <c r="IHS203" s="2"/>
      <c r="IHT203" s="2"/>
      <c r="IHU203" s="2"/>
      <c r="IHV203" s="2"/>
      <c r="IHW203" s="2"/>
      <c r="IHX203" s="2"/>
      <c r="IHY203" s="2"/>
      <c r="IHZ203" s="2"/>
      <c r="IIA203" s="2"/>
      <c r="IIB203" s="2"/>
      <c r="IIC203" s="2"/>
      <c r="IID203" s="2"/>
      <c r="IIE203" s="2"/>
      <c r="IIF203" s="2"/>
      <c r="IIG203" s="2"/>
      <c r="IIH203" s="2"/>
      <c r="III203" s="2"/>
      <c r="IIJ203" s="2"/>
      <c r="IIK203" s="2"/>
      <c r="IIL203" s="2"/>
      <c r="IIM203" s="2"/>
      <c r="IIN203" s="2"/>
      <c r="IIO203" s="2"/>
      <c r="IIP203" s="2"/>
      <c r="IIQ203" s="2"/>
      <c r="IIR203" s="2"/>
      <c r="IIS203" s="2"/>
      <c r="IIT203" s="2"/>
      <c r="IIU203" s="2"/>
      <c r="IIV203" s="2"/>
      <c r="IIW203" s="2"/>
      <c r="IIX203" s="2"/>
      <c r="IIY203" s="2"/>
      <c r="IIZ203" s="2"/>
      <c r="IJA203" s="2"/>
      <c r="IJB203" s="2"/>
      <c r="IJC203" s="2"/>
      <c r="IJD203" s="2"/>
      <c r="IJE203" s="2"/>
      <c r="IJF203" s="2"/>
      <c r="IJG203" s="2"/>
      <c r="IJH203" s="2"/>
      <c r="IJI203" s="2"/>
      <c r="IJJ203" s="2"/>
      <c r="IJK203" s="2"/>
      <c r="IJL203" s="2"/>
      <c r="IJM203" s="2"/>
      <c r="IJN203" s="2"/>
      <c r="IJO203" s="2"/>
      <c r="IJP203" s="2"/>
      <c r="IJQ203" s="2"/>
      <c r="IJR203" s="2"/>
      <c r="IJS203" s="2"/>
      <c r="IJT203" s="2"/>
      <c r="IJU203" s="2"/>
      <c r="IJV203" s="2"/>
      <c r="IJW203" s="2"/>
      <c r="IJX203" s="2"/>
      <c r="IJY203" s="2"/>
      <c r="IJZ203" s="2"/>
      <c r="IKA203" s="2"/>
      <c r="IKB203" s="2"/>
      <c r="IKC203" s="2"/>
      <c r="IKD203" s="2"/>
      <c r="IKE203" s="2"/>
      <c r="IKF203" s="2"/>
      <c r="IKG203" s="2"/>
      <c r="IKH203" s="2"/>
      <c r="IKI203" s="2"/>
      <c r="IKJ203" s="2"/>
      <c r="IKK203" s="2"/>
      <c r="IKL203" s="2"/>
      <c r="IKM203" s="2"/>
      <c r="IKN203" s="2"/>
      <c r="IKO203" s="2"/>
      <c r="IKP203" s="2"/>
      <c r="IKQ203" s="2"/>
      <c r="IKR203" s="2"/>
      <c r="IKS203" s="2"/>
      <c r="IKT203" s="2"/>
      <c r="IKU203" s="2"/>
      <c r="IKV203" s="2"/>
      <c r="IKW203" s="2"/>
      <c r="IKX203" s="2"/>
      <c r="IKY203" s="2"/>
      <c r="IKZ203" s="2"/>
      <c r="ILA203" s="2"/>
      <c r="ILB203" s="2"/>
      <c r="ILC203" s="2"/>
      <c r="ILD203" s="2"/>
      <c r="ILE203" s="2"/>
      <c r="ILF203" s="2"/>
      <c r="ILG203" s="2"/>
      <c r="ILH203" s="2"/>
      <c r="ILI203" s="2"/>
      <c r="ILJ203" s="2"/>
      <c r="ILK203" s="2"/>
      <c r="ILL203" s="2"/>
      <c r="ILM203" s="2"/>
      <c r="ILN203" s="2"/>
      <c r="ILO203" s="2"/>
      <c r="ILP203" s="2"/>
      <c r="ILQ203" s="2"/>
      <c r="ILR203" s="2"/>
      <c r="ILS203" s="2"/>
      <c r="ILT203" s="2"/>
      <c r="ILU203" s="2"/>
      <c r="ILV203" s="2"/>
      <c r="ILW203" s="2"/>
      <c r="ILX203" s="2"/>
      <c r="ILY203" s="2"/>
      <c r="ILZ203" s="2"/>
      <c r="IMA203" s="2"/>
      <c r="IMB203" s="2"/>
      <c r="IMC203" s="2"/>
      <c r="IMD203" s="2"/>
      <c r="IME203" s="2"/>
      <c r="IMF203" s="2"/>
      <c r="IMG203" s="2"/>
      <c r="IMH203" s="2"/>
      <c r="IMI203" s="2"/>
      <c r="IMJ203" s="2"/>
      <c r="IMK203" s="2"/>
      <c r="IML203" s="2"/>
      <c r="IMM203" s="2"/>
      <c r="IMN203" s="2"/>
      <c r="IMO203" s="2"/>
      <c r="IMP203" s="2"/>
      <c r="IMQ203" s="2"/>
      <c r="IMR203" s="2"/>
      <c r="IMS203" s="2"/>
      <c r="IMT203" s="2"/>
      <c r="IMU203" s="2"/>
      <c r="IMV203" s="2"/>
      <c r="IMW203" s="2"/>
      <c r="IMX203" s="2"/>
      <c r="IMY203" s="2"/>
      <c r="IMZ203" s="2"/>
      <c r="INA203" s="2"/>
      <c r="INB203" s="2"/>
      <c r="INC203" s="2"/>
      <c r="IND203" s="2"/>
      <c r="INE203" s="2"/>
      <c r="INF203" s="2"/>
      <c r="ING203" s="2"/>
      <c r="INH203" s="2"/>
      <c r="INI203" s="2"/>
      <c r="INJ203" s="2"/>
      <c r="INK203" s="2"/>
      <c r="INL203" s="2"/>
      <c r="INM203" s="2"/>
      <c r="INN203" s="2"/>
      <c r="INO203" s="2"/>
      <c r="INP203" s="2"/>
      <c r="INQ203" s="2"/>
      <c r="INR203" s="2"/>
      <c r="INS203" s="2"/>
      <c r="INT203" s="2"/>
      <c r="INU203" s="2"/>
      <c r="INV203" s="2"/>
      <c r="INW203" s="2"/>
      <c r="INX203" s="2"/>
      <c r="INY203" s="2"/>
      <c r="INZ203" s="2"/>
      <c r="IOA203" s="2"/>
      <c r="IOB203" s="2"/>
      <c r="IOC203" s="2"/>
      <c r="IOD203" s="2"/>
      <c r="IOE203" s="2"/>
      <c r="IOF203" s="2"/>
      <c r="IOG203" s="2"/>
      <c r="IOH203" s="2"/>
      <c r="IOI203" s="2"/>
      <c r="IOJ203" s="2"/>
      <c r="IOK203" s="2"/>
      <c r="IOL203" s="2"/>
      <c r="IOM203" s="2"/>
      <c r="ION203" s="2"/>
      <c r="IOO203" s="2"/>
      <c r="IOP203" s="2"/>
      <c r="IOQ203" s="2"/>
      <c r="IOR203" s="2"/>
      <c r="IOS203" s="2"/>
      <c r="IOT203" s="2"/>
      <c r="IOU203" s="2"/>
      <c r="IOV203" s="2"/>
      <c r="IOW203" s="2"/>
      <c r="IOX203" s="2"/>
      <c r="IOY203" s="2"/>
      <c r="IOZ203" s="2"/>
      <c r="IPA203" s="2"/>
      <c r="IPB203" s="2"/>
      <c r="IPC203" s="2"/>
      <c r="IPD203" s="2"/>
      <c r="IPE203" s="2"/>
      <c r="IPF203" s="2"/>
      <c r="IPG203" s="2"/>
      <c r="IPH203" s="2"/>
      <c r="IPI203" s="2"/>
      <c r="IPJ203" s="2"/>
      <c r="IPK203" s="2"/>
      <c r="IPL203" s="2"/>
      <c r="IPM203" s="2"/>
      <c r="IPN203" s="2"/>
      <c r="IPO203" s="2"/>
      <c r="IPP203" s="2"/>
      <c r="IPQ203" s="2"/>
      <c r="IPR203" s="2"/>
      <c r="IPS203" s="2"/>
      <c r="IPT203" s="2"/>
      <c r="IPU203" s="2"/>
      <c r="IPV203" s="2"/>
      <c r="IPW203" s="2"/>
      <c r="IPX203" s="2"/>
      <c r="IPY203" s="2"/>
      <c r="IPZ203" s="2"/>
      <c r="IQA203" s="2"/>
      <c r="IQB203" s="2"/>
      <c r="IQC203" s="2"/>
      <c r="IQD203" s="2"/>
      <c r="IQE203" s="2"/>
      <c r="IQF203" s="2"/>
      <c r="IQG203" s="2"/>
      <c r="IQH203" s="2"/>
      <c r="IQI203" s="2"/>
      <c r="IQJ203" s="2"/>
      <c r="IQK203" s="2"/>
      <c r="IQL203" s="2"/>
      <c r="IQM203" s="2"/>
      <c r="IQN203" s="2"/>
      <c r="IQO203" s="2"/>
      <c r="IQP203" s="2"/>
      <c r="IQQ203" s="2"/>
      <c r="IQR203" s="2"/>
      <c r="IQS203" s="2"/>
      <c r="IQT203" s="2"/>
      <c r="IQU203" s="2"/>
      <c r="IQV203" s="2"/>
      <c r="IQW203" s="2"/>
      <c r="IQX203" s="2"/>
      <c r="IQY203" s="2"/>
      <c r="IQZ203" s="2"/>
      <c r="IRA203" s="2"/>
      <c r="IRB203" s="2"/>
      <c r="IRC203" s="2"/>
      <c r="IRD203" s="2"/>
      <c r="IRE203" s="2"/>
      <c r="IRF203" s="2"/>
      <c r="IRG203" s="2"/>
      <c r="IRH203" s="2"/>
      <c r="IRI203" s="2"/>
      <c r="IRJ203" s="2"/>
      <c r="IRK203" s="2"/>
      <c r="IRL203" s="2"/>
      <c r="IRM203" s="2"/>
      <c r="IRN203" s="2"/>
      <c r="IRO203" s="2"/>
      <c r="IRP203" s="2"/>
      <c r="IRQ203" s="2"/>
      <c r="IRR203" s="2"/>
      <c r="IRS203" s="2"/>
      <c r="IRT203" s="2"/>
      <c r="IRU203" s="2"/>
      <c r="IRV203" s="2"/>
      <c r="IRW203" s="2"/>
      <c r="IRX203" s="2"/>
      <c r="IRY203" s="2"/>
      <c r="IRZ203" s="2"/>
      <c r="ISA203" s="2"/>
      <c r="ISB203" s="2"/>
      <c r="ISC203" s="2"/>
      <c r="ISD203" s="2"/>
      <c r="ISE203" s="2"/>
      <c r="ISF203" s="2"/>
      <c r="ISG203" s="2"/>
      <c r="ISH203" s="2"/>
      <c r="ISI203" s="2"/>
      <c r="ISJ203" s="2"/>
      <c r="ISK203" s="2"/>
      <c r="ISL203" s="2"/>
      <c r="ISM203" s="2"/>
      <c r="ISN203" s="2"/>
      <c r="ISO203" s="2"/>
      <c r="ISP203" s="2"/>
      <c r="ISQ203" s="2"/>
      <c r="ISR203" s="2"/>
      <c r="ISS203" s="2"/>
      <c r="IST203" s="2"/>
      <c r="ISU203" s="2"/>
      <c r="ISV203" s="2"/>
      <c r="ISW203" s="2"/>
      <c r="ISX203" s="2"/>
      <c r="ISY203" s="2"/>
      <c r="ISZ203" s="2"/>
      <c r="ITA203" s="2"/>
      <c r="ITB203" s="2"/>
      <c r="ITC203" s="2"/>
      <c r="ITD203" s="2"/>
      <c r="ITE203" s="2"/>
      <c r="ITF203" s="2"/>
      <c r="ITG203" s="2"/>
      <c r="ITH203" s="2"/>
      <c r="ITI203" s="2"/>
      <c r="ITJ203" s="2"/>
      <c r="ITK203" s="2"/>
      <c r="ITL203" s="2"/>
      <c r="ITM203" s="2"/>
      <c r="ITN203" s="2"/>
      <c r="ITO203" s="2"/>
      <c r="ITP203" s="2"/>
      <c r="ITQ203" s="2"/>
      <c r="ITR203" s="2"/>
      <c r="ITS203" s="2"/>
      <c r="ITT203" s="2"/>
      <c r="ITU203" s="2"/>
      <c r="ITV203" s="2"/>
      <c r="ITW203" s="2"/>
      <c r="ITX203" s="2"/>
      <c r="ITY203" s="2"/>
      <c r="ITZ203" s="2"/>
      <c r="IUA203" s="2"/>
      <c r="IUB203" s="2"/>
      <c r="IUC203" s="2"/>
      <c r="IUD203" s="2"/>
      <c r="IUE203" s="2"/>
      <c r="IUF203" s="2"/>
      <c r="IUG203" s="2"/>
      <c r="IUH203" s="2"/>
      <c r="IUI203" s="2"/>
      <c r="IUJ203" s="2"/>
      <c r="IUK203" s="2"/>
      <c r="IUL203" s="2"/>
      <c r="IUM203" s="2"/>
      <c r="IUN203" s="2"/>
      <c r="IUO203" s="2"/>
      <c r="IUP203" s="2"/>
      <c r="IUQ203" s="2"/>
      <c r="IUR203" s="2"/>
      <c r="IUS203" s="2"/>
      <c r="IUT203" s="2"/>
      <c r="IUU203" s="2"/>
      <c r="IUV203" s="2"/>
      <c r="IUW203" s="2"/>
      <c r="IUX203" s="2"/>
      <c r="IUY203" s="2"/>
      <c r="IUZ203" s="2"/>
      <c r="IVA203" s="2"/>
      <c r="IVB203" s="2"/>
      <c r="IVC203" s="2"/>
      <c r="IVD203" s="2"/>
      <c r="IVE203" s="2"/>
      <c r="IVF203" s="2"/>
      <c r="IVG203" s="2"/>
      <c r="IVH203" s="2"/>
      <c r="IVI203" s="2"/>
      <c r="IVJ203" s="2"/>
      <c r="IVK203" s="2"/>
      <c r="IVL203" s="2"/>
      <c r="IVM203" s="2"/>
      <c r="IVN203" s="2"/>
      <c r="IVO203" s="2"/>
      <c r="IVP203" s="2"/>
      <c r="IVQ203" s="2"/>
      <c r="IVR203" s="2"/>
      <c r="IVS203" s="2"/>
      <c r="IVT203" s="2"/>
      <c r="IVU203" s="2"/>
      <c r="IVV203" s="2"/>
      <c r="IVW203" s="2"/>
      <c r="IVX203" s="2"/>
      <c r="IVY203" s="2"/>
      <c r="IVZ203" s="2"/>
      <c r="IWA203" s="2"/>
      <c r="IWB203" s="2"/>
      <c r="IWC203" s="2"/>
      <c r="IWD203" s="2"/>
      <c r="IWE203" s="2"/>
      <c r="IWF203" s="2"/>
      <c r="IWG203" s="2"/>
      <c r="IWH203" s="2"/>
      <c r="IWI203" s="2"/>
      <c r="IWJ203" s="2"/>
      <c r="IWK203" s="2"/>
      <c r="IWL203" s="2"/>
      <c r="IWM203" s="2"/>
      <c r="IWN203" s="2"/>
      <c r="IWO203" s="2"/>
      <c r="IWP203" s="2"/>
      <c r="IWQ203" s="2"/>
      <c r="IWR203" s="2"/>
      <c r="IWS203" s="2"/>
      <c r="IWT203" s="2"/>
      <c r="IWU203" s="2"/>
      <c r="IWV203" s="2"/>
      <c r="IWW203" s="2"/>
      <c r="IWX203" s="2"/>
      <c r="IWY203" s="2"/>
      <c r="IWZ203" s="2"/>
      <c r="IXA203" s="2"/>
      <c r="IXB203" s="2"/>
      <c r="IXC203" s="2"/>
      <c r="IXD203" s="2"/>
      <c r="IXE203" s="2"/>
      <c r="IXF203" s="2"/>
      <c r="IXG203" s="2"/>
      <c r="IXH203" s="2"/>
      <c r="IXI203" s="2"/>
      <c r="IXJ203" s="2"/>
      <c r="IXK203" s="2"/>
      <c r="IXL203" s="2"/>
      <c r="IXM203" s="2"/>
      <c r="IXN203" s="2"/>
      <c r="IXO203" s="2"/>
      <c r="IXP203" s="2"/>
      <c r="IXQ203" s="2"/>
      <c r="IXR203" s="2"/>
      <c r="IXS203" s="2"/>
      <c r="IXT203" s="2"/>
      <c r="IXU203" s="2"/>
      <c r="IXV203" s="2"/>
      <c r="IXW203" s="2"/>
      <c r="IXX203" s="2"/>
      <c r="IXY203" s="2"/>
      <c r="IXZ203" s="2"/>
      <c r="IYA203" s="2"/>
      <c r="IYB203" s="2"/>
      <c r="IYC203" s="2"/>
      <c r="IYD203" s="2"/>
      <c r="IYE203" s="2"/>
      <c r="IYF203" s="2"/>
      <c r="IYG203" s="2"/>
      <c r="IYH203" s="2"/>
      <c r="IYI203" s="2"/>
      <c r="IYJ203" s="2"/>
      <c r="IYK203" s="2"/>
      <c r="IYL203" s="2"/>
      <c r="IYM203" s="2"/>
      <c r="IYN203" s="2"/>
      <c r="IYO203" s="2"/>
      <c r="IYP203" s="2"/>
      <c r="IYQ203" s="2"/>
      <c r="IYR203" s="2"/>
      <c r="IYS203" s="2"/>
      <c r="IYT203" s="2"/>
      <c r="IYU203" s="2"/>
      <c r="IYV203" s="2"/>
      <c r="IYW203" s="2"/>
      <c r="IYX203" s="2"/>
      <c r="IYY203" s="2"/>
      <c r="IYZ203" s="2"/>
      <c r="IZA203" s="2"/>
      <c r="IZB203" s="2"/>
      <c r="IZC203" s="2"/>
      <c r="IZD203" s="2"/>
      <c r="IZE203" s="2"/>
      <c r="IZF203" s="2"/>
      <c r="IZG203" s="2"/>
      <c r="IZH203" s="2"/>
      <c r="IZI203" s="2"/>
      <c r="IZJ203" s="2"/>
      <c r="IZK203" s="2"/>
      <c r="IZL203" s="2"/>
      <c r="IZM203" s="2"/>
      <c r="IZN203" s="2"/>
      <c r="IZO203" s="2"/>
      <c r="IZP203" s="2"/>
      <c r="IZQ203" s="2"/>
      <c r="IZR203" s="2"/>
      <c r="IZS203" s="2"/>
      <c r="IZT203" s="2"/>
      <c r="IZU203" s="2"/>
      <c r="IZV203" s="2"/>
      <c r="IZW203" s="2"/>
      <c r="IZX203" s="2"/>
      <c r="IZY203" s="2"/>
      <c r="IZZ203" s="2"/>
      <c r="JAA203" s="2"/>
      <c r="JAB203" s="2"/>
      <c r="JAC203" s="2"/>
      <c r="JAD203" s="2"/>
      <c r="JAE203" s="2"/>
      <c r="JAF203" s="2"/>
      <c r="JAG203" s="2"/>
      <c r="JAH203" s="2"/>
      <c r="JAI203" s="2"/>
      <c r="JAJ203" s="2"/>
      <c r="JAK203" s="2"/>
      <c r="JAL203" s="2"/>
      <c r="JAM203" s="2"/>
      <c r="JAN203" s="2"/>
      <c r="JAO203" s="2"/>
      <c r="JAP203" s="2"/>
      <c r="JAQ203" s="2"/>
      <c r="JAR203" s="2"/>
      <c r="JAS203" s="2"/>
      <c r="JAT203" s="2"/>
      <c r="JAU203" s="2"/>
      <c r="JAV203" s="2"/>
      <c r="JAW203" s="2"/>
      <c r="JAX203" s="2"/>
      <c r="JAY203" s="2"/>
      <c r="JAZ203" s="2"/>
      <c r="JBA203" s="2"/>
      <c r="JBB203" s="2"/>
      <c r="JBC203" s="2"/>
      <c r="JBD203" s="2"/>
      <c r="JBE203" s="2"/>
      <c r="JBF203" s="2"/>
      <c r="JBG203" s="2"/>
      <c r="JBH203" s="2"/>
      <c r="JBI203" s="2"/>
      <c r="JBJ203" s="2"/>
      <c r="JBK203" s="2"/>
      <c r="JBL203" s="2"/>
      <c r="JBM203" s="2"/>
      <c r="JBN203" s="2"/>
      <c r="JBO203" s="2"/>
      <c r="JBP203" s="2"/>
      <c r="JBQ203" s="2"/>
      <c r="JBR203" s="2"/>
      <c r="JBS203" s="2"/>
      <c r="JBT203" s="2"/>
      <c r="JBU203" s="2"/>
      <c r="JBV203" s="2"/>
      <c r="JBW203" s="2"/>
      <c r="JBX203" s="2"/>
      <c r="JBY203" s="2"/>
      <c r="JBZ203" s="2"/>
      <c r="JCA203" s="2"/>
      <c r="JCB203" s="2"/>
      <c r="JCC203" s="2"/>
      <c r="JCD203" s="2"/>
      <c r="JCE203" s="2"/>
      <c r="JCF203" s="2"/>
      <c r="JCG203" s="2"/>
      <c r="JCH203" s="2"/>
      <c r="JCI203" s="2"/>
      <c r="JCJ203" s="2"/>
      <c r="JCK203" s="2"/>
      <c r="JCL203" s="2"/>
      <c r="JCM203" s="2"/>
      <c r="JCN203" s="2"/>
      <c r="JCO203" s="2"/>
      <c r="JCP203" s="2"/>
      <c r="JCQ203" s="2"/>
      <c r="JCR203" s="2"/>
      <c r="JCS203" s="2"/>
      <c r="JCT203" s="2"/>
      <c r="JCU203" s="2"/>
      <c r="JCV203" s="2"/>
      <c r="JCW203" s="2"/>
      <c r="JCX203" s="2"/>
      <c r="JCY203" s="2"/>
      <c r="JCZ203" s="2"/>
      <c r="JDA203" s="2"/>
      <c r="JDB203" s="2"/>
      <c r="JDC203" s="2"/>
      <c r="JDD203" s="2"/>
      <c r="JDE203" s="2"/>
      <c r="JDF203" s="2"/>
      <c r="JDG203" s="2"/>
      <c r="JDH203" s="2"/>
      <c r="JDI203" s="2"/>
      <c r="JDJ203" s="2"/>
      <c r="JDK203" s="2"/>
      <c r="JDL203" s="2"/>
      <c r="JDM203" s="2"/>
      <c r="JDN203" s="2"/>
      <c r="JDO203" s="2"/>
      <c r="JDP203" s="2"/>
      <c r="JDQ203" s="2"/>
      <c r="JDR203" s="2"/>
      <c r="JDS203" s="2"/>
      <c r="JDT203" s="2"/>
      <c r="JDU203" s="2"/>
      <c r="JDV203" s="2"/>
      <c r="JDW203" s="2"/>
      <c r="JDX203" s="2"/>
      <c r="JDY203" s="2"/>
      <c r="JDZ203" s="2"/>
      <c r="JEA203" s="2"/>
      <c r="JEB203" s="2"/>
      <c r="JEC203" s="2"/>
      <c r="JED203" s="2"/>
      <c r="JEE203" s="2"/>
      <c r="JEF203" s="2"/>
      <c r="JEG203" s="2"/>
      <c r="JEH203" s="2"/>
      <c r="JEI203" s="2"/>
      <c r="JEJ203" s="2"/>
      <c r="JEK203" s="2"/>
      <c r="JEL203" s="2"/>
      <c r="JEM203" s="2"/>
      <c r="JEN203" s="2"/>
      <c r="JEO203" s="2"/>
      <c r="JEP203" s="2"/>
      <c r="JEQ203" s="2"/>
      <c r="JER203" s="2"/>
      <c r="JES203" s="2"/>
      <c r="JET203" s="2"/>
      <c r="JEU203" s="2"/>
      <c r="JEV203" s="2"/>
      <c r="JEW203" s="2"/>
      <c r="JEX203" s="2"/>
      <c r="JEY203" s="2"/>
      <c r="JEZ203" s="2"/>
      <c r="JFA203" s="2"/>
      <c r="JFB203" s="2"/>
      <c r="JFC203" s="2"/>
      <c r="JFD203" s="2"/>
      <c r="JFE203" s="2"/>
      <c r="JFF203" s="2"/>
      <c r="JFG203" s="2"/>
      <c r="JFH203" s="2"/>
      <c r="JFI203" s="2"/>
      <c r="JFJ203" s="2"/>
      <c r="JFK203" s="2"/>
      <c r="JFL203" s="2"/>
      <c r="JFM203" s="2"/>
      <c r="JFN203" s="2"/>
      <c r="JFO203" s="2"/>
      <c r="JFP203" s="2"/>
      <c r="JFQ203" s="2"/>
      <c r="JFR203" s="2"/>
      <c r="JFS203" s="2"/>
      <c r="JFT203" s="2"/>
      <c r="JFU203" s="2"/>
      <c r="JFV203" s="2"/>
      <c r="JFW203" s="2"/>
      <c r="JFX203" s="2"/>
      <c r="JFY203" s="2"/>
      <c r="JFZ203" s="2"/>
      <c r="JGA203" s="2"/>
      <c r="JGB203" s="2"/>
      <c r="JGC203" s="2"/>
      <c r="JGD203" s="2"/>
      <c r="JGE203" s="2"/>
      <c r="JGF203" s="2"/>
      <c r="JGG203" s="2"/>
      <c r="JGH203" s="2"/>
      <c r="JGI203" s="2"/>
      <c r="JGJ203" s="2"/>
      <c r="JGK203" s="2"/>
      <c r="JGL203" s="2"/>
      <c r="JGM203" s="2"/>
      <c r="JGN203" s="2"/>
      <c r="JGO203" s="2"/>
      <c r="JGP203" s="2"/>
      <c r="JGQ203" s="2"/>
      <c r="JGR203" s="2"/>
      <c r="JGS203" s="2"/>
      <c r="JGT203" s="2"/>
      <c r="JGU203" s="2"/>
      <c r="JGV203" s="2"/>
      <c r="JGW203" s="2"/>
      <c r="JGX203" s="2"/>
      <c r="JGY203" s="2"/>
      <c r="JGZ203" s="2"/>
      <c r="JHA203" s="2"/>
      <c r="JHB203" s="2"/>
      <c r="JHC203" s="2"/>
      <c r="JHD203" s="2"/>
      <c r="JHE203" s="2"/>
      <c r="JHF203" s="2"/>
      <c r="JHG203" s="2"/>
      <c r="JHH203" s="2"/>
      <c r="JHI203" s="2"/>
      <c r="JHJ203" s="2"/>
      <c r="JHK203" s="2"/>
      <c r="JHL203" s="2"/>
      <c r="JHM203" s="2"/>
      <c r="JHN203" s="2"/>
      <c r="JHO203" s="2"/>
      <c r="JHP203" s="2"/>
      <c r="JHQ203" s="2"/>
      <c r="JHR203" s="2"/>
      <c r="JHS203" s="2"/>
      <c r="JHT203" s="2"/>
      <c r="JHU203" s="2"/>
      <c r="JHV203" s="2"/>
      <c r="JHW203" s="2"/>
      <c r="JHX203" s="2"/>
      <c r="JHY203" s="2"/>
      <c r="JHZ203" s="2"/>
      <c r="JIA203" s="2"/>
      <c r="JIB203" s="2"/>
      <c r="JIC203" s="2"/>
      <c r="JID203" s="2"/>
      <c r="JIE203" s="2"/>
      <c r="JIF203" s="2"/>
      <c r="JIG203" s="2"/>
      <c r="JIH203" s="2"/>
      <c r="JII203" s="2"/>
      <c r="JIJ203" s="2"/>
      <c r="JIK203" s="2"/>
      <c r="JIL203" s="2"/>
      <c r="JIM203" s="2"/>
      <c r="JIN203" s="2"/>
      <c r="JIO203" s="2"/>
      <c r="JIP203" s="2"/>
      <c r="JIQ203" s="2"/>
      <c r="JIR203" s="2"/>
      <c r="JIS203" s="2"/>
      <c r="JIT203" s="2"/>
      <c r="JIU203" s="2"/>
      <c r="JIV203" s="2"/>
      <c r="JIW203" s="2"/>
      <c r="JIX203" s="2"/>
      <c r="JIY203" s="2"/>
      <c r="JIZ203" s="2"/>
      <c r="JJA203" s="2"/>
      <c r="JJB203" s="2"/>
      <c r="JJC203" s="2"/>
      <c r="JJD203" s="2"/>
      <c r="JJE203" s="2"/>
      <c r="JJF203" s="2"/>
      <c r="JJG203" s="2"/>
      <c r="JJH203" s="2"/>
      <c r="JJI203" s="2"/>
      <c r="JJJ203" s="2"/>
      <c r="JJK203" s="2"/>
      <c r="JJL203" s="2"/>
      <c r="JJM203" s="2"/>
      <c r="JJN203" s="2"/>
      <c r="JJO203" s="2"/>
      <c r="JJP203" s="2"/>
      <c r="JJQ203" s="2"/>
      <c r="JJR203" s="2"/>
      <c r="JJS203" s="2"/>
      <c r="JJT203" s="2"/>
      <c r="JJU203" s="2"/>
      <c r="JJV203" s="2"/>
      <c r="JJW203" s="2"/>
      <c r="JJX203" s="2"/>
      <c r="JJY203" s="2"/>
      <c r="JJZ203" s="2"/>
      <c r="JKA203" s="2"/>
      <c r="JKB203" s="2"/>
      <c r="JKC203" s="2"/>
      <c r="JKD203" s="2"/>
      <c r="JKE203" s="2"/>
      <c r="JKF203" s="2"/>
      <c r="JKG203" s="2"/>
      <c r="JKH203" s="2"/>
      <c r="JKI203" s="2"/>
      <c r="JKJ203" s="2"/>
      <c r="JKK203" s="2"/>
      <c r="JKL203" s="2"/>
      <c r="JKM203" s="2"/>
      <c r="JKN203" s="2"/>
      <c r="JKO203" s="2"/>
      <c r="JKP203" s="2"/>
      <c r="JKQ203" s="2"/>
      <c r="JKR203" s="2"/>
      <c r="JKS203" s="2"/>
      <c r="JKT203" s="2"/>
      <c r="JKU203" s="2"/>
      <c r="JKV203" s="2"/>
      <c r="JKW203" s="2"/>
      <c r="JKX203" s="2"/>
      <c r="JKY203" s="2"/>
      <c r="JKZ203" s="2"/>
      <c r="JLA203" s="2"/>
      <c r="JLB203" s="2"/>
      <c r="JLC203" s="2"/>
      <c r="JLD203" s="2"/>
      <c r="JLE203" s="2"/>
      <c r="JLF203" s="2"/>
      <c r="JLG203" s="2"/>
      <c r="JLH203" s="2"/>
      <c r="JLI203" s="2"/>
      <c r="JLJ203" s="2"/>
      <c r="JLK203" s="2"/>
      <c r="JLL203" s="2"/>
      <c r="JLM203" s="2"/>
      <c r="JLN203" s="2"/>
      <c r="JLO203" s="2"/>
      <c r="JLP203" s="2"/>
      <c r="JLQ203" s="2"/>
      <c r="JLR203" s="2"/>
      <c r="JLS203" s="2"/>
      <c r="JLT203" s="2"/>
      <c r="JLU203" s="2"/>
      <c r="JLV203" s="2"/>
      <c r="JLW203" s="2"/>
      <c r="JLX203" s="2"/>
      <c r="JLY203" s="2"/>
      <c r="JLZ203" s="2"/>
      <c r="JMA203" s="2"/>
      <c r="JMB203" s="2"/>
      <c r="JMC203" s="2"/>
      <c r="JMD203" s="2"/>
      <c r="JME203" s="2"/>
      <c r="JMF203" s="2"/>
      <c r="JMG203" s="2"/>
      <c r="JMH203" s="2"/>
      <c r="JMI203" s="2"/>
      <c r="JMJ203" s="2"/>
      <c r="JMK203" s="2"/>
      <c r="JML203" s="2"/>
      <c r="JMM203" s="2"/>
      <c r="JMN203" s="2"/>
      <c r="JMO203" s="2"/>
      <c r="JMP203" s="2"/>
      <c r="JMQ203" s="2"/>
      <c r="JMR203" s="2"/>
      <c r="JMS203" s="2"/>
      <c r="JMT203" s="2"/>
      <c r="JMU203" s="2"/>
      <c r="JMV203" s="2"/>
      <c r="JMW203" s="2"/>
      <c r="JMX203" s="2"/>
      <c r="JMY203" s="2"/>
      <c r="JMZ203" s="2"/>
      <c r="JNA203" s="2"/>
      <c r="JNB203" s="2"/>
      <c r="JNC203" s="2"/>
      <c r="JND203" s="2"/>
      <c r="JNE203" s="2"/>
      <c r="JNF203" s="2"/>
      <c r="JNG203" s="2"/>
      <c r="JNH203" s="2"/>
      <c r="JNI203" s="2"/>
      <c r="JNJ203" s="2"/>
      <c r="JNK203" s="2"/>
      <c r="JNL203" s="2"/>
      <c r="JNM203" s="2"/>
      <c r="JNN203" s="2"/>
      <c r="JNO203" s="2"/>
      <c r="JNP203" s="2"/>
      <c r="JNQ203" s="2"/>
      <c r="JNR203" s="2"/>
      <c r="JNS203" s="2"/>
      <c r="JNT203" s="2"/>
      <c r="JNU203" s="2"/>
      <c r="JNV203" s="2"/>
      <c r="JNW203" s="2"/>
      <c r="JNX203" s="2"/>
      <c r="JNY203" s="2"/>
      <c r="JNZ203" s="2"/>
      <c r="JOA203" s="2"/>
      <c r="JOB203" s="2"/>
      <c r="JOC203" s="2"/>
      <c r="JOD203" s="2"/>
      <c r="JOE203" s="2"/>
      <c r="JOF203" s="2"/>
      <c r="JOG203" s="2"/>
      <c r="JOH203" s="2"/>
      <c r="JOI203" s="2"/>
      <c r="JOJ203" s="2"/>
      <c r="JOK203" s="2"/>
      <c r="JOL203" s="2"/>
      <c r="JOM203" s="2"/>
      <c r="JON203" s="2"/>
      <c r="JOO203" s="2"/>
      <c r="JOP203" s="2"/>
      <c r="JOQ203" s="2"/>
      <c r="JOR203" s="2"/>
      <c r="JOS203" s="2"/>
      <c r="JOT203" s="2"/>
      <c r="JOU203" s="2"/>
      <c r="JOV203" s="2"/>
      <c r="JOW203" s="2"/>
      <c r="JOX203" s="2"/>
      <c r="JOY203" s="2"/>
      <c r="JOZ203" s="2"/>
      <c r="JPA203" s="2"/>
      <c r="JPB203" s="2"/>
      <c r="JPC203" s="2"/>
      <c r="JPD203" s="2"/>
      <c r="JPE203" s="2"/>
      <c r="JPF203" s="2"/>
      <c r="JPG203" s="2"/>
      <c r="JPH203" s="2"/>
      <c r="JPI203" s="2"/>
      <c r="JPJ203" s="2"/>
      <c r="JPK203" s="2"/>
      <c r="JPL203" s="2"/>
      <c r="JPM203" s="2"/>
      <c r="JPN203" s="2"/>
      <c r="JPO203" s="2"/>
      <c r="JPP203" s="2"/>
      <c r="JPQ203" s="2"/>
      <c r="JPR203" s="2"/>
      <c r="JPS203" s="2"/>
      <c r="JPT203" s="2"/>
      <c r="JPU203" s="2"/>
      <c r="JPV203" s="2"/>
      <c r="JPW203" s="2"/>
      <c r="JPX203" s="2"/>
      <c r="JPY203" s="2"/>
      <c r="JPZ203" s="2"/>
      <c r="JQA203" s="2"/>
      <c r="JQB203" s="2"/>
      <c r="JQC203" s="2"/>
      <c r="JQD203" s="2"/>
      <c r="JQE203" s="2"/>
      <c r="JQF203" s="2"/>
      <c r="JQG203" s="2"/>
      <c r="JQH203" s="2"/>
      <c r="JQI203" s="2"/>
      <c r="JQJ203" s="2"/>
      <c r="JQK203" s="2"/>
      <c r="JQL203" s="2"/>
      <c r="JQM203" s="2"/>
      <c r="JQN203" s="2"/>
      <c r="JQO203" s="2"/>
      <c r="JQP203" s="2"/>
      <c r="JQQ203" s="2"/>
      <c r="JQR203" s="2"/>
      <c r="JQS203" s="2"/>
      <c r="JQT203" s="2"/>
      <c r="JQU203" s="2"/>
      <c r="JQV203" s="2"/>
      <c r="JQW203" s="2"/>
      <c r="JQX203" s="2"/>
      <c r="JQY203" s="2"/>
      <c r="JQZ203" s="2"/>
      <c r="JRA203" s="2"/>
      <c r="JRB203" s="2"/>
      <c r="JRC203" s="2"/>
      <c r="JRD203" s="2"/>
      <c r="JRE203" s="2"/>
      <c r="JRF203" s="2"/>
      <c r="JRG203" s="2"/>
      <c r="JRH203" s="2"/>
      <c r="JRI203" s="2"/>
      <c r="JRJ203" s="2"/>
      <c r="JRK203" s="2"/>
      <c r="JRL203" s="2"/>
      <c r="JRM203" s="2"/>
      <c r="JRN203" s="2"/>
      <c r="JRO203" s="2"/>
      <c r="JRP203" s="2"/>
      <c r="JRQ203" s="2"/>
      <c r="JRR203" s="2"/>
      <c r="JRS203" s="2"/>
      <c r="JRT203" s="2"/>
      <c r="JRU203" s="2"/>
      <c r="JRV203" s="2"/>
      <c r="JRW203" s="2"/>
      <c r="JRX203" s="2"/>
      <c r="JRY203" s="2"/>
      <c r="JRZ203" s="2"/>
      <c r="JSA203" s="2"/>
      <c r="JSB203" s="2"/>
      <c r="JSC203" s="2"/>
      <c r="JSD203" s="2"/>
      <c r="JSE203" s="2"/>
      <c r="JSF203" s="2"/>
      <c r="JSG203" s="2"/>
      <c r="JSH203" s="2"/>
      <c r="JSI203" s="2"/>
      <c r="JSJ203" s="2"/>
      <c r="JSK203" s="2"/>
      <c r="JSL203" s="2"/>
      <c r="JSM203" s="2"/>
      <c r="JSN203" s="2"/>
      <c r="JSO203" s="2"/>
      <c r="JSP203" s="2"/>
      <c r="JSQ203" s="2"/>
      <c r="JSR203" s="2"/>
      <c r="JSS203" s="2"/>
      <c r="JST203" s="2"/>
      <c r="JSU203" s="2"/>
      <c r="JSV203" s="2"/>
      <c r="JSW203" s="2"/>
      <c r="JSX203" s="2"/>
      <c r="JSY203" s="2"/>
      <c r="JSZ203" s="2"/>
      <c r="JTA203" s="2"/>
      <c r="JTB203" s="2"/>
      <c r="JTC203" s="2"/>
      <c r="JTD203" s="2"/>
      <c r="JTE203" s="2"/>
      <c r="JTF203" s="2"/>
      <c r="JTG203" s="2"/>
      <c r="JTH203" s="2"/>
      <c r="JTI203" s="2"/>
      <c r="JTJ203" s="2"/>
      <c r="JTK203" s="2"/>
      <c r="JTL203" s="2"/>
      <c r="JTM203" s="2"/>
      <c r="JTN203" s="2"/>
      <c r="JTO203" s="2"/>
      <c r="JTP203" s="2"/>
      <c r="JTQ203" s="2"/>
      <c r="JTR203" s="2"/>
      <c r="JTS203" s="2"/>
      <c r="JTT203" s="2"/>
      <c r="JTU203" s="2"/>
      <c r="JTV203" s="2"/>
      <c r="JTW203" s="2"/>
      <c r="JTX203" s="2"/>
      <c r="JTY203" s="2"/>
      <c r="JTZ203" s="2"/>
      <c r="JUA203" s="2"/>
      <c r="JUB203" s="2"/>
      <c r="JUC203" s="2"/>
      <c r="JUD203" s="2"/>
      <c r="JUE203" s="2"/>
      <c r="JUF203" s="2"/>
      <c r="JUG203" s="2"/>
      <c r="JUH203" s="2"/>
      <c r="JUI203" s="2"/>
      <c r="JUJ203" s="2"/>
      <c r="JUK203" s="2"/>
      <c r="JUL203" s="2"/>
      <c r="JUM203" s="2"/>
      <c r="JUN203" s="2"/>
      <c r="JUO203" s="2"/>
      <c r="JUP203" s="2"/>
      <c r="JUQ203" s="2"/>
      <c r="JUR203" s="2"/>
      <c r="JUS203" s="2"/>
      <c r="JUT203" s="2"/>
      <c r="JUU203" s="2"/>
      <c r="JUV203" s="2"/>
      <c r="JUW203" s="2"/>
      <c r="JUX203" s="2"/>
      <c r="JUY203" s="2"/>
      <c r="JUZ203" s="2"/>
      <c r="JVA203" s="2"/>
      <c r="JVB203" s="2"/>
      <c r="JVC203" s="2"/>
      <c r="JVD203" s="2"/>
      <c r="JVE203" s="2"/>
      <c r="JVF203" s="2"/>
      <c r="JVG203" s="2"/>
      <c r="JVH203" s="2"/>
      <c r="JVI203" s="2"/>
      <c r="JVJ203" s="2"/>
      <c r="JVK203" s="2"/>
      <c r="JVL203" s="2"/>
      <c r="JVM203" s="2"/>
      <c r="JVN203" s="2"/>
      <c r="JVO203" s="2"/>
      <c r="JVP203" s="2"/>
      <c r="JVQ203" s="2"/>
      <c r="JVR203" s="2"/>
      <c r="JVS203" s="2"/>
      <c r="JVT203" s="2"/>
      <c r="JVU203" s="2"/>
      <c r="JVV203" s="2"/>
      <c r="JVW203" s="2"/>
      <c r="JVX203" s="2"/>
      <c r="JVY203" s="2"/>
      <c r="JVZ203" s="2"/>
      <c r="JWA203" s="2"/>
      <c r="JWB203" s="2"/>
      <c r="JWC203" s="2"/>
      <c r="JWD203" s="2"/>
      <c r="JWE203" s="2"/>
      <c r="JWF203" s="2"/>
      <c r="JWG203" s="2"/>
      <c r="JWH203" s="2"/>
      <c r="JWI203" s="2"/>
      <c r="JWJ203" s="2"/>
      <c r="JWK203" s="2"/>
      <c r="JWL203" s="2"/>
      <c r="JWM203" s="2"/>
      <c r="JWN203" s="2"/>
      <c r="JWO203" s="2"/>
      <c r="JWP203" s="2"/>
      <c r="JWQ203" s="2"/>
      <c r="JWR203" s="2"/>
      <c r="JWS203" s="2"/>
      <c r="JWT203" s="2"/>
      <c r="JWU203" s="2"/>
      <c r="JWV203" s="2"/>
      <c r="JWW203" s="2"/>
      <c r="JWX203" s="2"/>
      <c r="JWY203" s="2"/>
      <c r="JWZ203" s="2"/>
      <c r="JXA203" s="2"/>
      <c r="JXB203" s="2"/>
      <c r="JXC203" s="2"/>
      <c r="JXD203" s="2"/>
      <c r="JXE203" s="2"/>
      <c r="JXF203" s="2"/>
      <c r="JXG203" s="2"/>
      <c r="JXH203" s="2"/>
      <c r="JXI203" s="2"/>
      <c r="JXJ203" s="2"/>
      <c r="JXK203" s="2"/>
      <c r="JXL203" s="2"/>
      <c r="JXM203" s="2"/>
      <c r="JXN203" s="2"/>
      <c r="JXO203" s="2"/>
      <c r="JXP203" s="2"/>
      <c r="JXQ203" s="2"/>
      <c r="JXR203" s="2"/>
      <c r="JXS203" s="2"/>
      <c r="JXT203" s="2"/>
      <c r="JXU203" s="2"/>
      <c r="JXV203" s="2"/>
      <c r="JXW203" s="2"/>
      <c r="JXX203" s="2"/>
      <c r="JXY203" s="2"/>
      <c r="JXZ203" s="2"/>
      <c r="JYA203" s="2"/>
      <c r="JYB203" s="2"/>
      <c r="JYC203" s="2"/>
      <c r="JYD203" s="2"/>
      <c r="JYE203" s="2"/>
      <c r="JYF203" s="2"/>
      <c r="JYG203" s="2"/>
      <c r="JYH203" s="2"/>
      <c r="JYI203" s="2"/>
      <c r="JYJ203" s="2"/>
      <c r="JYK203" s="2"/>
      <c r="JYL203" s="2"/>
      <c r="JYM203" s="2"/>
      <c r="JYN203" s="2"/>
      <c r="JYO203" s="2"/>
      <c r="JYP203" s="2"/>
      <c r="JYQ203" s="2"/>
      <c r="JYR203" s="2"/>
      <c r="JYS203" s="2"/>
      <c r="JYT203" s="2"/>
      <c r="JYU203" s="2"/>
      <c r="JYV203" s="2"/>
      <c r="JYW203" s="2"/>
      <c r="JYX203" s="2"/>
      <c r="JYY203" s="2"/>
      <c r="JYZ203" s="2"/>
      <c r="JZA203" s="2"/>
      <c r="JZB203" s="2"/>
      <c r="JZC203" s="2"/>
      <c r="JZD203" s="2"/>
      <c r="JZE203" s="2"/>
      <c r="JZF203" s="2"/>
      <c r="JZG203" s="2"/>
      <c r="JZH203" s="2"/>
      <c r="JZI203" s="2"/>
      <c r="JZJ203" s="2"/>
      <c r="JZK203" s="2"/>
      <c r="JZL203" s="2"/>
      <c r="JZM203" s="2"/>
      <c r="JZN203" s="2"/>
      <c r="JZO203" s="2"/>
      <c r="JZP203" s="2"/>
      <c r="JZQ203" s="2"/>
      <c r="JZR203" s="2"/>
      <c r="JZS203" s="2"/>
      <c r="JZT203" s="2"/>
      <c r="JZU203" s="2"/>
      <c r="JZV203" s="2"/>
      <c r="JZW203" s="2"/>
      <c r="JZX203" s="2"/>
      <c r="JZY203" s="2"/>
      <c r="JZZ203" s="2"/>
      <c r="KAA203" s="2"/>
      <c r="KAB203" s="2"/>
      <c r="KAC203" s="2"/>
      <c r="KAD203" s="2"/>
      <c r="KAE203" s="2"/>
      <c r="KAF203" s="2"/>
      <c r="KAG203" s="2"/>
      <c r="KAH203" s="2"/>
      <c r="KAI203" s="2"/>
      <c r="KAJ203" s="2"/>
      <c r="KAK203" s="2"/>
      <c r="KAL203" s="2"/>
      <c r="KAM203" s="2"/>
      <c r="KAN203" s="2"/>
      <c r="KAO203" s="2"/>
      <c r="KAP203" s="2"/>
      <c r="KAQ203" s="2"/>
      <c r="KAR203" s="2"/>
      <c r="KAS203" s="2"/>
      <c r="KAT203" s="2"/>
      <c r="KAU203" s="2"/>
      <c r="KAV203" s="2"/>
      <c r="KAW203" s="2"/>
      <c r="KAX203" s="2"/>
      <c r="KAY203" s="2"/>
      <c r="KAZ203" s="2"/>
      <c r="KBA203" s="2"/>
      <c r="KBB203" s="2"/>
      <c r="KBC203" s="2"/>
      <c r="KBD203" s="2"/>
      <c r="KBE203" s="2"/>
      <c r="KBF203" s="2"/>
      <c r="KBG203" s="2"/>
      <c r="KBH203" s="2"/>
      <c r="KBI203" s="2"/>
      <c r="KBJ203" s="2"/>
      <c r="KBK203" s="2"/>
      <c r="KBL203" s="2"/>
      <c r="KBM203" s="2"/>
      <c r="KBN203" s="2"/>
      <c r="KBO203" s="2"/>
      <c r="KBP203" s="2"/>
      <c r="KBQ203" s="2"/>
      <c r="KBR203" s="2"/>
      <c r="KBS203" s="2"/>
      <c r="KBT203" s="2"/>
      <c r="KBU203" s="2"/>
      <c r="KBV203" s="2"/>
      <c r="KBW203" s="2"/>
      <c r="KBX203" s="2"/>
      <c r="KBY203" s="2"/>
      <c r="KBZ203" s="2"/>
      <c r="KCA203" s="2"/>
      <c r="KCB203" s="2"/>
      <c r="KCC203" s="2"/>
      <c r="KCD203" s="2"/>
      <c r="KCE203" s="2"/>
      <c r="KCF203" s="2"/>
      <c r="KCG203" s="2"/>
      <c r="KCH203" s="2"/>
      <c r="KCI203" s="2"/>
      <c r="KCJ203" s="2"/>
      <c r="KCK203" s="2"/>
      <c r="KCL203" s="2"/>
      <c r="KCM203" s="2"/>
      <c r="KCN203" s="2"/>
      <c r="KCO203" s="2"/>
      <c r="KCP203" s="2"/>
      <c r="KCQ203" s="2"/>
      <c r="KCR203" s="2"/>
      <c r="KCS203" s="2"/>
      <c r="KCT203" s="2"/>
      <c r="KCU203" s="2"/>
      <c r="KCV203" s="2"/>
      <c r="KCW203" s="2"/>
      <c r="KCX203" s="2"/>
      <c r="KCY203" s="2"/>
      <c r="KCZ203" s="2"/>
      <c r="KDA203" s="2"/>
      <c r="KDB203" s="2"/>
      <c r="KDC203" s="2"/>
      <c r="KDD203" s="2"/>
      <c r="KDE203" s="2"/>
      <c r="KDF203" s="2"/>
      <c r="KDG203" s="2"/>
      <c r="KDH203" s="2"/>
      <c r="KDI203" s="2"/>
      <c r="KDJ203" s="2"/>
      <c r="KDK203" s="2"/>
      <c r="KDL203" s="2"/>
      <c r="KDM203" s="2"/>
      <c r="KDN203" s="2"/>
      <c r="KDO203" s="2"/>
      <c r="KDP203" s="2"/>
      <c r="KDQ203" s="2"/>
      <c r="KDR203" s="2"/>
      <c r="KDS203" s="2"/>
      <c r="KDT203" s="2"/>
      <c r="KDU203" s="2"/>
      <c r="KDV203" s="2"/>
      <c r="KDW203" s="2"/>
      <c r="KDX203" s="2"/>
      <c r="KDY203" s="2"/>
      <c r="KDZ203" s="2"/>
      <c r="KEA203" s="2"/>
      <c r="KEB203" s="2"/>
      <c r="KEC203" s="2"/>
      <c r="KED203" s="2"/>
      <c r="KEE203" s="2"/>
      <c r="KEF203" s="2"/>
      <c r="KEG203" s="2"/>
      <c r="KEH203" s="2"/>
      <c r="KEI203" s="2"/>
      <c r="KEJ203" s="2"/>
      <c r="KEK203" s="2"/>
      <c r="KEL203" s="2"/>
      <c r="KEM203" s="2"/>
      <c r="KEN203" s="2"/>
      <c r="KEO203" s="2"/>
      <c r="KEP203" s="2"/>
      <c r="KEQ203" s="2"/>
      <c r="KER203" s="2"/>
      <c r="KES203" s="2"/>
      <c r="KET203" s="2"/>
      <c r="KEU203" s="2"/>
      <c r="KEV203" s="2"/>
      <c r="KEW203" s="2"/>
      <c r="KEX203" s="2"/>
      <c r="KEY203" s="2"/>
      <c r="KEZ203" s="2"/>
      <c r="KFA203" s="2"/>
      <c r="KFB203" s="2"/>
      <c r="KFC203" s="2"/>
      <c r="KFD203" s="2"/>
      <c r="KFE203" s="2"/>
      <c r="KFF203" s="2"/>
      <c r="KFG203" s="2"/>
      <c r="KFH203" s="2"/>
      <c r="KFI203" s="2"/>
      <c r="KFJ203" s="2"/>
      <c r="KFK203" s="2"/>
      <c r="KFL203" s="2"/>
      <c r="KFM203" s="2"/>
      <c r="KFN203" s="2"/>
      <c r="KFO203" s="2"/>
      <c r="KFP203" s="2"/>
      <c r="KFQ203" s="2"/>
      <c r="KFR203" s="2"/>
      <c r="KFS203" s="2"/>
      <c r="KFT203" s="2"/>
      <c r="KFU203" s="2"/>
      <c r="KFV203" s="2"/>
      <c r="KFW203" s="2"/>
      <c r="KFX203" s="2"/>
      <c r="KFY203" s="2"/>
      <c r="KFZ203" s="2"/>
      <c r="KGA203" s="2"/>
      <c r="KGB203" s="2"/>
      <c r="KGC203" s="2"/>
      <c r="KGD203" s="2"/>
      <c r="KGE203" s="2"/>
      <c r="KGF203" s="2"/>
      <c r="KGG203" s="2"/>
      <c r="KGH203" s="2"/>
      <c r="KGI203" s="2"/>
      <c r="KGJ203" s="2"/>
      <c r="KGK203" s="2"/>
      <c r="KGL203" s="2"/>
      <c r="KGM203" s="2"/>
      <c r="KGN203" s="2"/>
      <c r="KGO203" s="2"/>
      <c r="KGP203" s="2"/>
      <c r="KGQ203" s="2"/>
      <c r="KGR203" s="2"/>
      <c r="KGS203" s="2"/>
      <c r="KGT203" s="2"/>
      <c r="KGU203" s="2"/>
      <c r="KGV203" s="2"/>
      <c r="KGW203" s="2"/>
      <c r="KGX203" s="2"/>
      <c r="KGY203" s="2"/>
      <c r="KGZ203" s="2"/>
      <c r="KHA203" s="2"/>
      <c r="KHB203" s="2"/>
      <c r="KHC203" s="2"/>
      <c r="KHD203" s="2"/>
      <c r="KHE203" s="2"/>
      <c r="KHF203" s="2"/>
      <c r="KHG203" s="2"/>
      <c r="KHH203" s="2"/>
      <c r="KHI203" s="2"/>
      <c r="KHJ203" s="2"/>
      <c r="KHK203" s="2"/>
      <c r="KHL203" s="2"/>
      <c r="KHM203" s="2"/>
      <c r="KHN203" s="2"/>
      <c r="KHO203" s="2"/>
      <c r="KHP203" s="2"/>
      <c r="KHQ203" s="2"/>
      <c r="KHR203" s="2"/>
      <c r="KHS203" s="2"/>
      <c r="KHT203" s="2"/>
      <c r="KHU203" s="2"/>
      <c r="KHV203" s="2"/>
      <c r="KHW203" s="2"/>
      <c r="KHX203" s="2"/>
      <c r="KHY203" s="2"/>
      <c r="KHZ203" s="2"/>
      <c r="KIA203" s="2"/>
      <c r="KIB203" s="2"/>
      <c r="KIC203" s="2"/>
      <c r="KID203" s="2"/>
      <c r="KIE203" s="2"/>
      <c r="KIF203" s="2"/>
      <c r="KIG203" s="2"/>
      <c r="KIH203" s="2"/>
      <c r="KII203" s="2"/>
      <c r="KIJ203" s="2"/>
      <c r="KIK203" s="2"/>
      <c r="KIL203" s="2"/>
      <c r="KIM203" s="2"/>
      <c r="KIN203" s="2"/>
      <c r="KIO203" s="2"/>
      <c r="KIP203" s="2"/>
      <c r="KIQ203" s="2"/>
      <c r="KIR203" s="2"/>
      <c r="KIS203" s="2"/>
      <c r="KIT203" s="2"/>
      <c r="KIU203" s="2"/>
      <c r="KIV203" s="2"/>
      <c r="KIW203" s="2"/>
      <c r="KIX203" s="2"/>
      <c r="KIY203" s="2"/>
      <c r="KIZ203" s="2"/>
      <c r="KJA203" s="2"/>
      <c r="KJB203" s="2"/>
      <c r="KJC203" s="2"/>
      <c r="KJD203" s="2"/>
      <c r="KJE203" s="2"/>
      <c r="KJF203" s="2"/>
      <c r="KJG203" s="2"/>
      <c r="KJH203" s="2"/>
      <c r="KJI203" s="2"/>
      <c r="KJJ203" s="2"/>
      <c r="KJK203" s="2"/>
      <c r="KJL203" s="2"/>
      <c r="KJM203" s="2"/>
      <c r="KJN203" s="2"/>
      <c r="KJO203" s="2"/>
      <c r="KJP203" s="2"/>
      <c r="KJQ203" s="2"/>
      <c r="KJR203" s="2"/>
      <c r="KJS203" s="2"/>
      <c r="KJT203" s="2"/>
      <c r="KJU203" s="2"/>
      <c r="KJV203" s="2"/>
      <c r="KJW203" s="2"/>
      <c r="KJX203" s="2"/>
      <c r="KJY203" s="2"/>
      <c r="KJZ203" s="2"/>
      <c r="KKA203" s="2"/>
      <c r="KKB203" s="2"/>
      <c r="KKC203" s="2"/>
      <c r="KKD203" s="2"/>
      <c r="KKE203" s="2"/>
      <c r="KKF203" s="2"/>
      <c r="KKG203" s="2"/>
      <c r="KKH203" s="2"/>
      <c r="KKI203" s="2"/>
      <c r="KKJ203" s="2"/>
      <c r="KKK203" s="2"/>
      <c r="KKL203" s="2"/>
      <c r="KKM203" s="2"/>
      <c r="KKN203" s="2"/>
      <c r="KKO203" s="2"/>
      <c r="KKP203" s="2"/>
      <c r="KKQ203" s="2"/>
      <c r="KKR203" s="2"/>
      <c r="KKS203" s="2"/>
      <c r="KKT203" s="2"/>
      <c r="KKU203" s="2"/>
      <c r="KKV203" s="2"/>
      <c r="KKW203" s="2"/>
      <c r="KKX203" s="2"/>
      <c r="KKY203" s="2"/>
      <c r="KKZ203" s="2"/>
      <c r="KLA203" s="2"/>
      <c r="KLB203" s="2"/>
      <c r="KLC203" s="2"/>
      <c r="KLD203" s="2"/>
      <c r="KLE203" s="2"/>
      <c r="KLF203" s="2"/>
      <c r="KLG203" s="2"/>
      <c r="KLH203" s="2"/>
      <c r="KLI203" s="2"/>
      <c r="KLJ203" s="2"/>
      <c r="KLK203" s="2"/>
      <c r="KLL203" s="2"/>
      <c r="KLM203" s="2"/>
      <c r="KLN203" s="2"/>
      <c r="KLO203" s="2"/>
      <c r="KLP203" s="2"/>
      <c r="KLQ203" s="2"/>
      <c r="KLR203" s="2"/>
      <c r="KLS203" s="2"/>
      <c r="KLT203" s="2"/>
      <c r="KLU203" s="2"/>
      <c r="KLV203" s="2"/>
      <c r="KLW203" s="2"/>
      <c r="KLX203" s="2"/>
      <c r="KLY203" s="2"/>
      <c r="KLZ203" s="2"/>
      <c r="KMA203" s="2"/>
      <c r="KMB203" s="2"/>
      <c r="KMC203" s="2"/>
      <c r="KMD203" s="2"/>
      <c r="KME203" s="2"/>
      <c r="KMF203" s="2"/>
      <c r="KMG203" s="2"/>
      <c r="KMH203" s="2"/>
      <c r="KMI203" s="2"/>
      <c r="KMJ203" s="2"/>
      <c r="KMK203" s="2"/>
      <c r="KML203" s="2"/>
      <c r="KMM203" s="2"/>
      <c r="KMN203" s="2"/>
      <c r="KMO203" s="2"/>
      <c r="KMP203" s="2"/>
      <c r="KMQ203" s="2"/>
      <c r="KMR203" s="2"/>
      <c r="KMS203" s="2"/>
      <c r="KMT203" s="2"/>
      <c r="KMU203" s="2"/>
      <c r="KMV203" s="2"/>
      <c r="KMW203" s="2"/>
      <c r="KMX203" s="2"/>
      <c r="KMY203" s="2"/>
      <c r="KMZ203" s="2"/>
      <c r="KNA203" s="2"/>
      <c r="KNB203" s="2"/>
      <c r="KNC203" s="2"/>
      <c r="KND203" s="2"/>
      <c r="KNE203" s="2"/>
      <c r="KNF203" s="2"/>
      <c r="KNG203" s="2"/>
      <c r="KNH203" s="2"/>
      <c r="KNI203" s="2"/>
      <c r="KNJ203" s="2"/>
      <c r="KNK203" s="2"/>
      <c r="KNL203" s="2"/>
      <c r="KNM203" s="2"/>
      <c r="KNN203" s="2"/>
      <c r="KNO203" s="2"/>
      <c r="KNP203" s="2"/>
      <c r="KNQ203" s="2"/>
      <c r="KNR203" s="2"/>
      <c r="KNS203" s="2"/>
      <c r="KNT203" s="2"/>
      <c r="KNU203" s="2"/>
      <c r="KNV203" s="2"/>
      <c r="KNW203" s="2"/>
      <c r="KNX203" s="2"/>
      <c r="KNY203" s="2"/>
      <c r="KNZ203" s="2"/>
      <c r="KOA203" s="2"/>
      <c r="KOB203" s="2"/>
      <c r="KOC203" s="2"/>
      <c r="KOD203" s="2"/>
      <c r="KOE203" s="2"/>
      <c r="KOF203" s="2"/>
      <c r="KOG203" s="2"/>
      <c r="KOH203" s="2"/>
      <c r="KOI203" s="2"/>
      <c r="KOJ203" s="2"/>
      <c r="KOK203" s="2"/>
      <c r="KOL203" s="2"/>
      <c r="KOM203" s="2"/>
      <c r="KON203" s="2"/>
      <c r="KOO203" s="2"/>
      <c r="KOP203" s="2"/>
      <c r="KOQ203" s="2"/>
      <c r="KOR203" s="2"/>
      <c r="KOS203" s="2"/>
      <c r="KOT203" s="2"/>
      <c r="KOU203" s="2"/>
      <c r="KOV203" s="2"/>
      <c r="KOW203" s="2"/>
      <c r="KOX203" s="2"/>
      <c r="KOY203" s="2"/>
      <c r="KOZ203" s="2"/>
      <c r="KPA203" s="2"/>
      <c r="KPB203" s="2"/>
      <c r="KPC203" s="2"/>
      <c r="KPD203" s="2"/>
      <c r="KPE203" s="2"/>
      <c r="KPF203" s="2"/>
      <c r="KPG203" s="2"/>
      <c r="KPH203" s="2"/>
      <c r="KPI203" s="2"/>
      <c r="KPJ203" s="2"/>
      <c r="KPK203" s="2"/>
      <c r="KPL203" s="2"/>
      <c r="KPM203" s="2"/>
      <c r="KPN203" s="2"/>
      <c r="KPO203" s="2"/>
      <c r="KPP203" s="2"/>
      <c r="KPQ203" s="2"/>
      <c r="KPR203" s="2"/>
      <c r="KPS203" s="2"/>
      <c r="KPT203" s="2"/>
      <c r="KPU203" s="2"/>
      <c r="KPV203" s="2"/>
      <c r="KPW203" s="2"/>
      <c r="KPX203" s="2"/>
      <c r="KPY203" s="2"/>
      <c r="KPZ203" s="2"/>
      <c r="KQA203" s="2"/>
      <c r="KQB203" s="2"/>
      <c r="KQC203" s="2"/>
      <c r="KQD203" s="2"/>
      <c r="KQE203" s="2"/>
      <c r="KQF203" s="2"/>
      <c r="KQG203" s="2"/>
      <c r="KQH203" s="2"/>
      <c r="KQI203" s="2"/>
      <c r="KQJ203" s="2"/>
      <c r="KQK203" s="2"/>
      <c r="KQL203" s="2"/>
      <c r="KQM203" s="2"/>
      <c r="KQN203" s="2"/>
      <c r="KQO203" s="2"/>
      <c r="KQP203" s="2"/>
      <c r="KQQ203" s="2"/>
      <c r="KQR203" s="2"/>
      <c r="KQS203" s="2"/>
      <c r="KQT203" s="2"/>
      <c r="KQU203" s="2"/>
      <c r="KQV203" s="2"/>
      <c r="KQW203" s="2"/>
      <c r="KQX203" s="2"/>
      <c r="KQY203" s="2"/>
      <c r="KQZ203" s="2"/>
      <c r="KRA203" s="2"/>
      <c r="KRB203" s="2"/>
      <c r="KRC203" s="2"/>
      <c r="KRD203" s="2"/>
      <c r="KRE203" s="2"/>
      <c r="KRF203" s="2"/>
      <c r="KRG203" s="2"/>
      <c r="KRH203" s="2"/>
      <c r="KRI203" s="2"/>
      <c r="KRJ203" s="2"/>
      <c r="KRK203" s="2"/>
      <c r="KRL203" s="2"/>
      <c r="KRM203" s="2"/>
      <c r="KRN203" s="2"/>
      <c r="KRO203" s="2"/>
      <c r="KRP203" s="2"/>
      <c r="KRQ203" s="2"/>
      <c r="KRR203" s="2"/>
      <c r="KRS203" s="2"/>
      <c r="KRT203" s="2"/>
      <c r="KRU203" s="2"/>
      <c r="KRV203" s="2"/>
      <c r="KRW203" s="2"/>
      <c r="KRX203" s="2"/>
      <c r="KRY203" s="2"/>
      <c r="KRZ203" s="2"/>
      <c r="KSA203" s="2"/>
      <c r="KSB203" s="2"/>
      <c r="KSC203" s="2"/>
      <c r="KSD203" s="2"/>
      <c r="KSE203" s="2"/>
      <c r="KSF203" s="2"/>
      <c r="KSG203" s="2"/>
      <c r="KSH203" s="2"/>
      <c r="KSI203" s="2"/>
      <c r="KSJ203" s="2"/>
      <c r="KSK203" s="2"/>
      <c r="KSL203" s="2"/>
      <c r="KSM203" s="2"/>
      <c r="KSN203" s="2"/>
      <c r="KSO203" s="2"/>
      <c r="KSP203" s="2"/>
      <c r="KSQ203" s="2"/>
      <c r="KSR203" s="2"/>
      <c r="KSS203" s="2"/>
      <c r="KST203" s="2"/>
      <c r="KSU203" s="2"/>
      <c r="KSV203" s="2"/>
      <c r="KSW203" s="2"/>
      <c r="KSX203" s="2"/>
      <c r="KSY203" s="2"/>
      <c r="KSZ203" s="2"/>
      <c r="KTA203" s="2"/>
      <c r="KTB203" s="2"/>
      <c r="KTC203" s="2"/>
      <c r="KTD203" s="2"/>
      <c r="KTE203" s="2"/>
      <c r="KTF203" s="2"/>
      <c r="KTG203" s="2"/>
      <c r="KTH203" s="2"/>
      <c r="KTI203" s="2"/>
      <c r="KTJ203" s="2"/>
      <c r="KTK203" s="2"/>
      <c r="KTL203" s="2"/>
      <c r="KTM203" s="2"/>
      <c r="KTN203" s="2"/>
      <c r="KTO203" s="2"/>
      <c r="KTP203" s="2"/>
      <c r="KTQ203" s="2"/>
      <c r="KTR203" s="2"/>
      <c r="KTS203" s="2"/>
      <c r="KTT203" s="2"/>
      <c r="KTU203" s="2"/>
      <c r="KTV203" s="2"/>
      <c r="KTW203" s="2"/>
      <c r="KTX203" s="2"/>
      <c r="KTY203" s="2"/>
      <c r="KTZ203" s="2"/>
      <c r="KUA203" s="2"/>
      <c r="KUB203" s="2"/>
      <c r="KUC203" s="2"/>
      <c r="KUD203" s="2"/>
      <c r="KUE203" s="2"/>
      <c r="KUF203" s="2"/>
      <c r="KUG203" s="2"/>
      <c r="KUH203" s="2"/>
      <c r="KUI203" s="2"/>
      <c r="KUJ203" s="2"/>
      <c r="KUK203" s="2"/>
      <c r="KUL203" s="2"/>
      <c r="KUM203" s="2"/>
      <c r="KUN203" s="2"/>
      <c r="KUO203" s="2"/>
      <c r="KUP203" s="2"/>
      <c r="KUQ203" s="2"/>
      <c r="KUR203" s="2"/>
      <c r="KUS203" s="2"/>
      <c r="KUT203" s="2"/>
      <c r="KUU203" s="2"/>
      <c r="KUV203" s="2"/>
      <c r="KUW203" s="2"/>
      <c r="KUX203" s="2"/>
      <c r="KUY203" s="2"/>
      <c r="KUZ203" s="2"/>
      <c r="KVA203" s="2"/>
      <c r="KVB203" s="2"/>
      <c r="KVC203" s="2"/>
      <c r="KVD203" s="2"/>
      <c r="KVE203" s="2"/>
      <c r="KVF203" s="2"/>
      <c r="KVG203" s="2"/>
      <c r="KVH203" s="2"/>
      <c r="KVI203" s="2"/>
      <c r="KVJ203" s="2"/>
      <c r="KVK203" s="2"/>
      <c r="KVL203" s="2"/>
      <c r="KVM203" s="2"/>
      <c r="KVN203" s="2"/>
      <c r="KVO203" s="2"/>
      <c r="KVP203" s="2"/>
      <c r="KVQ203" s="2"/>
      <c r="KVR203" s="2"/>
      <c r="KVS203" s="2"/>
      <c r="KVT203" s="2"/>
      <c r="KVU203" s="2"/>
      <c r="KVV203" s="2"/>
      <c r="KVW203" s="2"/>
      <c r="KVX203" s="2"/>
      <c r="KVY203" s="2"/>
      <c r="KVZ203" s="2"/>
      <c r="KWA203" s="2"/>
      <c r="KWB203" s="2"/>
      <c r="KWC203" s="2"/>
      <c r="KWD203" s="2"/>
      <c r="KWE203" s="2"/>
      <c r="KWF203" s="2"/>
      <c r="KWG203" s="2"/>
      <c r="KWH203" s="2"/>
      <c r="KWI203" s="2"/>
      <c r="KWJ203" s="2"/>
      <c r="KWK203" s="2"/>
      <c r="KWL203" s="2"/>
      <c r="KWM203" s="2"/>
      <c r="KWN203" s="2"/>
      <c r="KWO203" s="2"/>
      <c r="KWP203" s="2"/>
      <c r="KWQ203" s="2"/>
      <c r="KWR203" s="2"/>
      <c r="KWS203" s="2"/>
      <c r="KWT203" s="2"/>
      <c r="KWU203" s="2"/>
      <c r="KWV203" s="2"/>
      <c r="KWW203" s="2"/>
      <c r="KWX203" s="2"/>
      <c r="KWY203" s="2"/>
      <c r="KWZ203" s="2"/>
      <c r="KXA203" s="2"/>
      <c r="KXB203" s="2"/>
      <c r="KXC203" s="2"/>
      <c r="KXD203" s="2"/>
      <c r="KXE203" s="2"/>
      <c r="KXF203" s="2"/>
      <c r="KXG203" s="2"/>
      <c r="KXH203" s="2"/>
      <c r="KXI203" s="2"/>
      <c r="KXJ203" s="2"/>
      <c r="KXK203" s="2"/>
      <c r="KXL203" s="2"/>
      <c r="KXM203" s="2"/>
      <c r="KXN203" s="2"/>
      <c r="KXO203" s="2"/>
      <c r="KXP203" s="2"/>
      <c r="KXQ203" s="2"/>
      <c r="KXR203" s="2"/>
      <c r="KXS203" s="2"/>
      <c r="KXT203" s="2"/>
      <c r="KXU203" s="2"/>
      <c r="KXV203" s="2"/>
      <c r="KXW203" s="2"/>
      <c r="KXX203" s="2"/>
      <c r="KXY203" s="2"/>
      <c r="KXZ203" s="2"/>
      <c r="KYA203" s="2"/>
      <c r="KYB203" s="2"/>
      <c r="KYC203" s="2"/>
      <c r="KYD203" s="2"/>
      <c r="KYE203" s="2"/>
      <c r="KYF203" s="2"/>
      <c r="KYG203" s="2"/>
      <c r="KYH203" s="2"/>
      <c r="KYI203" s="2"/>
      <c r="KYJ203" s="2"/>
      <c r="KYK203" s="2"/>
      <c r="KYL203" s="2"/>
      <c r="KYM203" s="2"/>
      <c r="KYN203" s="2"/>
      <c r="KYO203" s="2"/>
      <c r="KYP203" s="2"/>
      <c r="KYQ203" s="2"/>
      <c r="KYR203" s="2"/>
      <c r="KYS203" s="2"/>
      <c r="KYT203" s="2"/>
      <c r="KYU203" s="2"/>
      <c r="KYV203" s="2"/>
      <c r="KYW203" s="2"/>
      <c r="KYX203" s="2"/>
      <c r="KYY203" s="2"/>
      <c r="KYZ203" s="2"/>
      <c r="KZA203" s="2"/>
      <c r="KZB203" s="2"/>
      <c r="KZC203" s="2"/>
      <c r="KZD203" s="2"/>
      <c r="KZE203" s="2"/>
      <c r="KZF203" s="2"/>
      <c r="KZG203" s="2"/>
      <c r="KZH203" s="2"/>
      <c r="KZI203" s="2"/>
      <c r="KZJ203" s="2"/>
      <c r="KZK203" s="2"/>
      <c r="KZL203" s="2"/>
      <c r="KZM203" s="2"/>
      <c r="KZN203" s="2"/>
      <c r="KZO203" s="2"/>
      <c r="KZP203" s="2"/>
      <c r="KZQ203" s="2"/>
      <c r="KZR203" s="2"/>
      <c r="KZS203" s="2"/>
      <c r="KZT203" s="2"/>
      <c r="KZU203" s="2"/>
      <c r="KZV203" s="2"/>
      <c r="KZW203" s="2"/>
      <c r="KZX203" s="2"/>
      <c r="KZY203" s="2"/>
      <c r="KZZ203" s="2"/>
      <c r="LAA203" s="2"/>
      <c r="LAB203" s="2"/>
      <c r="LAC203" s="2"/>
      <c r="LAD203" s="2"/>
      <c r="LAE203" s="2"/>
      <c r="LAF203" s="2"/>
      <c r="LAG203" s="2"/>
      <c r="LAH203" s="2"/>
      <c r="LAI203" s="2"/>
      <c r="LAJ203" s="2"/>
      <c r="LAK203" s="2"/>
      <c r="LAL203" s="2"/>
      <c r="LAM203" s="2"/>
      <c r="LAN203" s="2"/>
      <c r="LAO203" s="2"/>
      <c r="LAP203" s="2"/>
      <c r="LAQ203" s="2"/>
      <c r="LAR203" s="2"/>
      <c r="LAS203" s="2"/>
      <c r="LAT203" s="2"/>
      <c r="LAU203" s="2"/>
      <c r="LAV203" s="2"/>
      <c r="LAW203" s="2"/>
      <c r="LAX203" s="2"/>
      <c r="LAY203" s="2"/>
      <c r="LAZ203" s="2"/>
      <c r="LBA203" s="2"/>
      <c r="LBB203" s="2"/>
      <c r="LBC203" s="2"/>
      <c r="LBD203" s="2"/>
      <c r="LBE203" s="2"/>
      <c r="LBF203" s="2"/>
      <c r="LBG203" s="2"/>
      <c r="LBH203" s="2"/>
      <c r="LBI203" s="2"/>
      <c r="LBJ203" s="2"/>
      <c r="LBK203" s="2"/>
      <c r="LBL203" s="2"/>
      <c r="LBM203" s="2"/>
      <c r="LBN203" s="2"/>
      <c r="LBO203" s="2"/>
      <c r="LBP203" s="2"/>
      <c r="LBQ203" s="2"/>
      <c r="LBR203" s="2"/>
      <c r="LBS203" s="2"/>
      <c r="LBT203" s="2"/>
      <c r="LBU203" s="2"/>
      <c r="LBV203" s="2"/>
      <c r="LBW203" s="2"/>
      <c r="LBX203" s="2"/>
      <c r="LBY203" s="2"/>
      <c r="LBZ203" s="2"/>
      <c r="LCA203" s="2"/>
      <c r="LCB203" s="2"/>
      <c r="LCC203" s="2"/>
      <c r="LCD203" s="2"/>
      <c r="LCE203" s="2"/>
      <c r="LCF203" s="2"/>
      <c r="LCG203" s="2"/>
      <c r="LCH203" s="2"/>
      <c r="LCI203" s="2"/>
      <c r="LCJ203" s="2"/>
      <c r="LCK203" s="2"/>
      <c r="LCL203" s="2"/>
      <c r="LCM203" s="2"/>
      <c r="LCN203" s="2"/>
      <c r="LCO203" s="2"/>
      <c r="LCP203" s="2"/>
      <c r="LCQ203" s="2"/>
      <c r="LCR203" s="2"/>
      <c r="LCS203" s="2"/>
      <c r="LCT203" s="2"/>
      <c r="LCU203" s="2"/>
      <c r="LCV203" s="2"/>
      <c r="LCW203" s="2"/>
      <c r="LCX203" s="2"/>
      <c r="LCY203" s="2"/>
      <c r="LCZ203" s="2"/>
      <c r="LDA203" s="2"/>
      <c r="LDB203" s="2"/>
      <c r="LDC203" s="2"/>
      <c r="LDD203" s="2"/>
      <c r="LDE203" s="2"/>
      <c r="LDF203" s="2"/>
      <c r="LDG203" s="2"/>
      <c r="LDH203" s="2"/>
      <c r="LDI203" s="2"/>
      <c r="LDJ203" s="2"/>
      <c r="LDK203" s="2"/>
      <c r="LDL203" s="2"/>
      <c r="LDM203" s="2"/>
      <c r="LDN203" s="2"/>
      <c r="LDO203" s="2"/>
      <c r="LDP203" s="2"/>
      <c r="LDQ203" s="2"/>
      <c r="LDR203" s="2"/>
      <c r="LDS203" s="2"/>
      <c r="LDT203" s="2"/>
      <c r="LDU203" s="2"/>
      <c r="LDV203" s="2"/>
      <c r="LDW203" s="2"/>
      <c r="LDX203" s="2"/>
      <c r="LDY203" s="2"/>
      <c r="LDZ203" s="2"/>
      <c r="LEA203" s="2"/>
      <c r="LEB203" s="2"/>
      <c r="LEC203" s="2"/>
      <c r="LED203" s="2"/>
      <c r="LEE203" s="2"/>
      <c r="LEF203" s="2"/>
      <c r="LEG203" s="2"/>
      <c r="LEH203" s="2"/>
      <c r="LEI203" s="2"/>
      <c r="LEJ203" s="2"/>
      <c r="LEK203" s="2"/>
      <c r="LEL203" s="2"/>
      <c r="LEM203" s="2"/>
      <c r="LEN203" s="2"/>
      <c r="LEO203" s="2"/>
      <c r="LEP203" s="2"/>
      <c r="LEQ203" s="2"/>
      <c r="LER203" s="2"/>
      <c r="LES203" s="2"/>
      <c r="LET203" s="2"/>
      <c r="LEU203" s="2"/>
      <c r="LEV203" s="2"/>
      <c r="LEW203" s="2"/>
      <c r="LEX203" s="2"/>
      <c r="LEY203" s="2"/>
      <c r="LEZ203" s="2"/>
      <c r="LFA203" s="2"/>
      <c r="LFB203" s="2"/>
      <c r="LFC203" s="2"/>
      <c r="LFD203" s="2"/>
      <c r="LFE203" s="2"/>
      <c r="LFF203" s="2"/>
      <c r="LFG203" s="2"/>
      <c r="LFH203" s="2"/>
      <c r="LFI203" s="2"/>
      <c r="LFJ203" s="2"/>
      <c r="LFK203" s="2"/>
      <c r="LFL203" s="2"/>
      <c r="LFM203" s="2"/>
      <c r="LFN203" s="2"/>
      <c r="LFO203" s="2"/>
      <c r="LFP203" s="2"/>
      <c r="LFQ203" s="2"/>
      <c r="LFR203" s="2"/>
      <c r="LFS203" s="2"/>
      <c r="LFT203" s="2"/>
      <c r="LFU203" s="2"/>
      <c r="LFV203" s="2"/>
      <c r="LFW203" s="2"/>
      <c r="LFX203" s="2"/>
      <c r="LFY203" s="2"/>
      <c r="LFZ203" s="2"/>
      <c r="LGA203" s="2"/>
      <c r="LGB203" s="2"/>
      <c r="LGC203" s="2"/>
      <c r="LGD203" s="2"/>
      <c r="LGE203" s="2"/>
      <c r="LGF203" s="2"/>
      <c r="LGG203" s="2"/>
      <c r="LGH203" s="2"/>
      <c r="LGI203" s="2"/>
      <c r="LGJ203" s="2"/>
      <c r="LGK203" s="2"/>
      <c r="LGL203" s="2"/>
      <c r="LGM203" s="2"/>
      <c r="LGN203" s="2"/>
      <c r="LGO203" s="2"/>
      <c r="LGP203" s="2"/>
      <c r="LGQ203" s="2"/>
      <c r="LGR203" s="2"/>
      <c r="LGS203" s="2"/>
      <c r="LGT203" s="2"/>
      <c r="LGU203" s="2"/>
      <c r="LGV203" s="2"/>
      <c r="LGW203" s="2"/>
      <c r="LGX203" s="2"/>
      <c r="LGY203" s="2"/>
      <c r="LGZ203" s="2"/>
      <c r="LHA203" s="2"/>
      <c r="LHB203" s="2"/>
      <c r="LHC203" s="2"/>
      <c r="LHD203" s="2"/>
      <c r="LHE203" s="2"/>
      <c r="LHF203" s="2"/>
      <c r="LHG203" s="2"/>
      <c r="LHH203" s="2"/>
      <c r="LHI203" s="2"/>
      <c r="LHJ203" s="2"/>
      <c r="LHK203" s="2"/>
      <c r="LHL203" s="2"/>
      <c r="LHM203" s="2"/>
      <c r="LHN203" s="2"/>
      <c r="LHO203" s="2"/>
      <c r="LHP203" s="2"/>
      <c r="LHQ203" s="2"/>
      <c r="LHR203" s="2"/>
      <c r="LHS203" s="2"/>
      <c r="LHT203" s="2"/>
      <c r="LHU203" s="2"/>
      <c r="LHV203" s="2"/>
      <c r="LHW203" s="2"/>
      <c r="LHX203" s="2"/>
      <c r="LHY203" s="2"/>
      <c r="LHZ203" s="2"/>
      <c r="LIA203" s="2"/>
      <c r="LIB203" s="2"/>
      <c r="LIC203" s="2"/>
      <c r="LID203" s="2"/>
      <c r="LIE203" s="2"/>
      <c r="LIF203" s="2"/>
      <c r="LIG203" s="2"/>
      <c r="LIH203" s="2"/>
      <c r="LII203" s="2"/>
      <c r="LIJ203" s="2"/>
      <c r="LIK203" s="2"/>
      <c r="LIL203" s="2"/>
      <c r="LIM203" s="2"/>
      <c r="LIN203" s="2"/>
      <c r="LIO203" s="2"/>
      <c r="LIP203" s="2"/>
      <c r="LIQ203" s="2"/>
      <c r="LIR203" s="2"/>
      <c r="LIS203" s="2"/>
      <c r="LIT203" s="2"/>
      <c r="LIU203" s="2"/>
      <c r="LIV203" s="2"/>
      <c r="LIW203" s="2"/>
      <c r="LIX203" s="2"/>
      <c r="LIY203" s="2"/>
      <c r="LIZ203" s="2"/>
      <c r="LJA203" s="2"/>
      <c r="LJB203" s="2"/>
      <c r="LJC203" s="2"/>
      <c r="LJD203" s="2"/>
      <c r="LJE203" s="2"/>
      <c r="LJF203" s="2"/>
      <c r="LJG203" s="2"/>
      <c r="LJH203" s="2"/>
      <c r="LJI203" s="2"/>
      <c r="LJJ203" s="2"/>
      <c r="LJK203" s="2"/>
      <c r="LJL203" s="2"/>
      <c r="LJM203" s="2"/>
      <c r="LJN203" s="2"/>
      <c r="LJO203" s="2"/>
      <c r="LJP203" s="2"/>
      <c r="LJQ203" s="2"/>
      <c r="LJR203" s="2"/>
      <c r="LJS203" s="2"/>
      <c r="LJT203" s="2"/>
      <c r="LJU203" s="2"/>
      <c r="LJV203" s="2"/>
      <c r="LJW203" s="2"/>
      <c r="LJX203" s="2"/>
      <c r="LJY203" s="2"/>
      <c r="LJZ203" s="2"/>
      <c r="LKA203" s="2"/>
      <c r="LKB203" s="2"/>
      <c r="LKC203" s="2"/>
      <c r="LKD203" s="2"/>
      <c r="LKE203" s="2"/>
      <c r="LKF203" s="2"/>
      <c r="LKG203" s="2"/>
      <c r="LKH203" s="2"/>
      <c r="LKI203" s="2"/>
      <c r="LKJ203" s="2"/>
      <c r="LKK203" s="2"/>
      <c r="LKL203" s="2"/>
      <c r="LKM203" s="2"/>
      <c r="LKN203" s="2"/>
      <c r="LKO203" s="2"/>
      <c r="LKP203" s="2"/>
      <c r="LKQ203" s="2"/>
      <c r="LKR203" s="2"/>
      <c r="LKS203" s="2"/>
      <c r="LKT203" s="2"/>
      <c r="LKU203" s="2"/>
      <c r="LKV203" s="2"/>
      <c r="LKW203" s="2"/>
      <c r="LKX203" s="2"/>
      <c r="LKY203" s="2"/>
      <c r="LKZ203" s="2"/>
      <c r="LLA203" s="2"/>
      <c r="LLB203" s="2"/>
      <c r="LLC203" s="2"/>
      <c r="LLD203" s="2"/>
      <c r="LLE203" s="2"/>
      <c r="LLF203" s="2"/>
      <c r="LLG203" s="2"/>
      <c r="LLH203" s="2"/>
      <c r="LLI203" s="2"/>
      <c r="LLJ203" s="2"/>
      <c r="LLK203" s="2"/>
      <c r="LLL203" s="2"/>
      <c r="LLM203" s="2"/>
      <c r="LLN203" s="2"/>
      <c r="LLO203" s="2"/>
      <c r="LLP203" s="2"/>
      <c r="LLQ203" s="2"/>
      <c r="LLR203" s="2"/>
      <c r="LLS203" s="2"/>
      <c r="LLT203" s="2"/>
      <c r="LLU203" s="2"/>
      <c r="LLV203" s="2"/>
      <c r="LLW203" s="2"/>
      <c r="LLX203" s="2"/>
      <c r="LLY203" s="2"/>
      <c r="LLZ203" s="2"/>
      <c r="LMA203" s="2"/>
      <c r="LMB203" s="2"/>
      <c r="LMC203" s="2"/>
      <c r="LMD203" s="2"/>
      <c r="LME203" s="2"/>
      <c r="LMF203" s="2"/>
      <c r="LMG203" s="2"/>
      <c r="LMH203" s="2"/>
      <c r="LMI203" s="2"/>
      <c r="LMJ203" s="2"/>
      <c r="LMK203" s="2"/>
      <c r="LML203" s="2"/>
      <c r="LMM203" s="2"/>
      <c r="LMN203" s="2"/>
      <c r="LMO203" s="2"/>
      <c r="LMP203" s="2"/>
      <c r="LMQ203" s="2"/>
      <c r="LMR203" s="2"/>
      <c r="LMS203" s="2"/>
      <c r="LMT203" s="2"/>
      <c r="LMU203" s="2"/>
      <c r="LMV203" s="2"/>
      <c r="LMW203" s="2"/>
      <c r="LMX203" s="2"/>
      <c r="LMY203" s="2"/>
      <c r="LMZ203" s="2"/>
      <c r="LNA203" s="2"/>
      <c r="LNB203" s="2"/>
      <c r="LNC203" s="2"/>
      <c r="LND203" s="2"/>
      <c r="LNE203" s="2"/>
      <c r="LNF203" s="2"/>
      <c r="LNG203" s="2"/>
      <c r="LNH203" s="2"/>
      <c r="LNI203" s="2"/>
      <c r="LNJ203" s="2"/>
      <c r="LNK203" s="2"/>
      <c r="LNL203" s="2"/>
      <c r="LNM203" s="2"/>
      <c r="LNN203" s="2"/>
      <c r="LNO203" s="2"/>
      <c r="LNP203" s="2"/>
      <c r="LNQ203" s="2"/>
      <c r="LNR203" s="2"/>
      <c r="LNS203" s="2"/>
      <c r="LNT203" s="2"/>
      <c r="LNU203" s="2"/>
      <c r="LNV203" s="2"/>
      <c r="LNW203" s="2"/>
      <c r="LNX203" s="2"/>
      <c r="LNY203" s="2"/>
      <c r="LNZ203" s="2"/>
      <c r="LOA203" s="2"/>
      <c r="LOB203" s="2"/>
      <c r="LOC203" s="2"/>
      <c r="LOD203" s="2"/>
      <c r="LOE203" s="2"/>
      <c r="LOF203" s="2"/>
      <c r="LOG203" s="2"/>
      <c r="LOH203" s="2"/>
      <c r="LOI203" s="2"/>
      <c r="LOJ203" s="2"/>
      <c r="LOK203" s="2"/>
      <c r="LOL203" s="2"/>
      <c r="LOM203" s="2"/>
      <c r="LON203" s="2"/>
      <c r="LOO203" s="2"/>
      <c r="LOP203" s="2"/>
      <c r="LOQ203" s="2"/>
      <c r="LOR203" s="2"/>
      <c r="LOS203" s="2"/>
      <c r="LOT203" s="2"/>
      <c r="LOU203" s="2"/>
      <c r="LOV203" s="2"/>
      <c r="LOW203" s="2"/>
      <c r="LOX203" s="2"/>
      <c r="LOY203" s="2"/>
      <c r="LOZ203" s="2"/>
      <c r="LPA203" s="2"/>
      <c r="LPB203" s="2"/>
      <c r="LPC203" s="2"/>
      <c r="LPD203" s="2"/>
      <c r="LPE203" s="2"/>
      <c r="LPF203" s="2"/>
      <c r="LPG203" s="2"/>
      <c r="LPH203" s="2"/>
      <c r="LPI203" s="2"/>
      <c r="LPJ203" s="2"/>
      <c r="LPK203" s="2"/>
      <c r="LPL203" s="2"/>
      <c r="LPM203" s="2"/>
      <c r="LPN203" s="2"/>
      <c r="LPO203" s="2"/>
      <c r="LPP203" s="2"/>
      <c r="LPQ203" s="2"/>
      <c r="LPR203" s="2"/>
      <c r="LPS203" s="2"/>
      <c r="LPT203" s="2"/>
      <c r="LPU203" s="2"/>
      <c r="LPV203" s="2"/>
      <c r="LPW203" s="2"/>
      <c r="LPX203" s="2"/>
      <c r="LPY203" s="2"/>
      <c r="LPZ203" s="2"/>
      <c r="LQA203" s="2"/>
      <c r="LQB203" s="2"/>
      <c r="LQC203" s="2"/>
      <c r="LQD203" s="2"/>
      <c r="LQE203" s="2"/>
      <c r="LQF203" s="2"/>
      <c r="LQG203" s="2"/>
      <c r="LQH203" s="2"/>
      <c r="LQI203" s="2"/>
      <c r="LQJ203" s="2"/>
      <c r="LQK203" s="2"/>
      <c r="LQL203" s="2"/>
      <c r="LQM203" s="2"/>
      <c r="LQN203" s="2"/>
      <c r="LQO203" s="2"/>
      <c r="LQP203" s="2"/>
      <c r="LQQ203" s="2"/>
      <c r="LQR203" s="2"/>
      <c r="LQS203" s="2"/>
      <c r="LQT203" s="2"/>
      <c r="LQU203" s="2"/>
      <c r="LQV203" s="2"/>
      <c r="LQW203" s="2"/>
      <c r="LQX203" s="2"/>
      <c r="LQY203" s="2"/>
      <c r="LQZ203" s="2"/>
      <c r="LRA203" s="2"/>
      <c r="LRB203" s="2"/>
      <c r="LRC203" s="2"/>
      <c r="LRD203" s="2"/>
      <c r="LRE203" s="2"/>
      <c r="LRF203" s="2"/>
      <c r="LRG203" s="2"/>
      <c r="LRH203" s="2"/>
      <c r="LRI203" s="2"/>
      <c r="LRJ203" s="2"/>
      <c r="LRK203" s="2"/>
      <c r="LRL203" s="2"/>
      <c r="LRM203" s="2"/>
      <c r="LRN203" s="2"/>
      <c r="LRO203" s="2"/>
      <c r="LRP203" s="2"/>
      <c r="LRQ203" s="2"/>
      <c r="LRR203" s="2"/>
      <c r="LRS203" s="2"/>
      <c r="LRT203" s="2"/>
      <c r="LRU203" s="2"/>
      <c r="LRV203" s="2"/>
      <c r="LRW203" s="2"/>
      <c r="LRX203" s="2"/>
      <c r="LRY203" s="2"/>
      <c r="LRZ203" s="2"/>
      <c r="LSA203" s="2"/>
      <c r="LSB203" s="2"/>
      <c r="LSC203" s="2"/>
      <c r="LSD203" s="2"/>
      <c r="LSE203" s="2"/>
      <c r="LSF203" s="2"/>
      <c r="LSG203" s="2"/>
      <c r="LSH203" s="2"/>
      <c r="LSI203" s="2"/>
      <c r="LSJ203" s="2"/>
      <c r="LSK203" s="2"/>
      <c r="LSL203" s="2"/>
      <c r="LSM203" s="2"/>
      <c r="LSN203" s="2"/>
      <c r="LSO203" s="2"/>
      <c r="LSP203" s="2"/>
      <c r="LSQ203" s="2"/>
      <c r="LSR203" s="2"/>
      <c r="LSS203" s="2"/>
      <c r="LST203" s="2"/>
      <c r="LSU203" s="2"/>
      <c r="LSV203" s="2"/>
      <c r="LSW203" s="2"/>
      <c r="LSX203" s="2"/>
      <c r="LSY203" s="2"/>
      <c r="LSZ203" s="2"/>
      <c r="LTA203" s="2"/>
      <c r="LTB203" s="2"/>
      <c r="LTC203" s="2"/>
      <c r="LTD203" s="2"/>
      <c r="LTE203" s="2"/>
      <c r="LTF203" s="2"/>
      <c r="LTG203" s="2"/>
      <c r="LTH203" s="2"/>
      <c r="LTI203" s="2"/>
      <c r="LTJ203" s="2"/>
      <c r="LTK203" s="2"/>
      <c r="LTL203" s="2"/>
      <c r="LTM203" s="2"/>
      <c r="LTN203" s="2"/>
      <c r="LTO203" s="2"/>
      <c r="LTP203" s="2"/>
      <c r="LTQ203" s="2"/>
      <c r="LTR203" s="2"/>
      <c r="LTS203" s="2"/>
      <c r="LTT203" s="2"/>
      <c r="LTU203" s="2"/>
      <c r="LTV203" s="2"/>
      <c r="LTW203" s="2"/>
      <c r="LTX203" s="2"/>
      <c r="LTY203" s="2"/>
      <c r="LTZ203" s="2"/>
      <c r="LUA203" s="2"/>
      <c r="LUB203" s="2"/>
      <c r="LUC203" s="2"/>
      <c r="LUD203" s="2"/>
      <c r="LUE203" s="2"/>
      <c r="LUF203" s="2"/>
      <c r="LUG203" s="2"/>
      <c r="LUH203" s="2"/>
      <c r="LUI203" s="2"/>
      <c r="LUJ203" s="2"/>
      <c r="LUK203" s="2"/>
      <c r="LUL203" s="2"/>
      <c r="LUM203" s="2"/>
      <c r="LUN203" s="2"/>
      <c r="LUO203" s="2"/>
      <c r="LUP203" s="2"/>
      <c r="LUQ203" s="2"/>
      <c r="LUR203" s="2"/>
      <c r="LUS203" s="2"/>
      <c r="LUT203" s="2"/>
      <c r="LUU203" s="2"/>
      <c r="LUV203" s="2"/>
      <c r="LUW203" s="2"/>
      <c r="LUX203" s="2"/>
      <c r="LUY203" s="2"/>
      <c r="LUZ203" s="2"/>
      <c r="LVA203" s="2"/>
      <c r="LVB203" s="2"/>
      <c r="LVC203" s="2"/>
      <c r="LVD203" s="2"/>
      <c r="LVE203" s="2"/>
      <c r="LVF203" s="2"/>
      <c r="LVG203" s="2"/>
      <c r="LVH203" s="2"/>
      <c r="LVI203" s="2"/>
      <c r="LVJ203" s="2"/>
      <c r="LVK203" s="2"/>
      <c r="LVL203" s="2"/>
      <c r="LVM203" s="2"/>
      <c r="LVN203" s="2"/>
      <c r="LVO203" s="2"/>
      <c r="LVP203" s="2"/>
      <c r="LVQ203" s="2"/>
      <c r="LVR203" s="2"/>
      <c r="LVS203" s="2"/>
      <c r="LVT203" s="2"/>
      <c r="LVU203" s="2"/>
      <c r="LVV203" s="2"/>
      <c r="LVW203" s="2"/>
      <c r="LVX203" s="2"/>
      <c r="LVY203" s="2"/>
      <c r="LVZ203" s="2"/>
      <c r="LWA203" s="2"/>
      <c r="LWB203" s="2"/>
      <c r="LWC203" s="2"/>
      <c r="LWD203" s="2"/>
      <c r="LWE203" s="2"/>
      <c r="LWF203" s="2"/>
      <c r="LWG203" s="2"/>
      <c r="LWH203" s="2"/>
      <c r="LWI203" s="2"/>
      <c r="LWJ203" s="2"/>
      <c r="LWK203" s="2"/>
      <c r="LWL203" s="2"/>
      <c r="LWM203" s="2"/>
      <c r="LWN203" s="2"/>
      <c r="LWO203" s="2"/>
      <c r="LWP203" s="2"/>
      <c r="LWQ203" s="2"/>
      <c r="LWR203" s="2"/>
      <c r="LWS203" s="2"/>
      <c r="LWT203" s="2"/>
      <c r="LWU203" s="2"/>
      <c r="LWV203" s="2"/>
      <c r="LWW203" s="2"/>
      <c r="LWX203" s="2"/>
      <c r="LWY203" s="2"/>
      <c r="LWZ203" s="2"/>
      <c r="LXA203" s="2"/>
      <c r="LXB203" s="2"/>
      <c r="LXC203" s="2"/>
      <c r="LXD203" s="2"/>
      <c r="LXE203" s="2"/>
      <c r="LXF203" s="2"/>
      <c r="LXG203" s="2"/>
      <c r="LXH203" s="2"/>
      <c r="LXI203" s="2"/>
      <c r="LXJ203" s="2"/>
      <c r="LXK203" s="2"/>
      <c r="LXL203" s="2"/>
      <c r="LXM203" s="2"/>
      <c r="LXN203" s="2"/>
      <c r="LXO203" s="2"/>
      <c r="LXP203" s="2"/>
      <c r="LXQ203" s="2"/>
      <c r="LXR203" s="2"/>
      <c r="LXS203" s="2"/>
      <c r="LXT203" s="2"/>
      <c r="LXU203" s="2"/>
      <c r="LXV203" s="2"/>
      <c r="LXW203" s="2"/>
      <c r="LXX203" s="2"/>
      <c r="LXY203" s="2"/>
      <c r="LXZ203" s="2"/>
      <c r="LYA203" s="2"/>
      <c r="LYB203" s="2"/>
      <c r="LYC203" s="2"/>
      <c r="LYD203" s="2"/>
      <c r="LYE203" s="2"/>
      <c r="LYF203" s="2"/>
      <c r="LYG203" s="2"/>
      <c r="LYH203" s="2"/>
      <c r="LYI203" s="2"/>
      <c r="LYJ203" s="2"/>
      <c r="LYK203" s="2"/>
      <c r="LYL203" s="2"/>
      <c r="LYM203" s="2"/>
      <c r="LYN203" s="2"/>
      <c r="LYO203" s="2"/>
      <c r="LYP203" s="2"/>
      <c r="LYQ203" s="2"/>
      <c r="LYR203" s="2"/>
      <c r="LYS203" s="2"/>
      <c r="LYT203" s="2"/>
      <c r="LYU203" s="2"/>
      <c r="LYV203" s="2"/>
      <c r="LYW203" s="2"/>
      <c r="LYX203" s="2"/>
      <c r="LYY203" s="2"/>
      <c r="LYZ203" s="2"/>
      <c r="LZA203" s="2"/>
      <c r="LZB203" s="2"/>
      <c r="LZC203" s="2"/>
      <c r="LZD203" s="2"/>
      <c r="LZE203" s="2"/>
      <c r="LZF203" s="2"/>
      <c r="LZG203" s="2"/>
      <c r="LZH203" s="2"/>
      <c r="LZI203" s="2"/>
      <c r="LZJ203" s="2"/>
      <c r="LZK203" s="2"/>
      <c r="LZL203" s="2"/>
      <c r="LZM203" s="2"/>
      <c r="LZN203" s="2"/>
      <c r="LZO203" s="2"/>
      <c r="LZP203" s="2"/>
      <c r="LZQ203" s="2"/>
      <c r="LZR203" s="2"/>
      <c r="LZS203" s="2"/>
      <c r="LZT203" s="2"/>
      <c r="LZU203" s="2"/>
      <c r="LZV203" s="2"/>
      <c r="LZW203" s="2"/>
      <c r="LZX203" s="2"/>
      <c r="LZY203" s="2"/>
      <c r="LZZ203" s="2"/>
      <c r="MAA203" s="2"/>
      <c r="MAB203" s="2"/>
      <c r="MAC203" s="2"/>
      <c r="MAD203" s="2"/>
      <c r="MAE203" s="2"/>
      <c r="MAF203" s="2"/>
      <c r="MAG203" s="2"/>
      <c r="MAH203" s="2"/>
      <c r="MAI203" s="2"/>
      <c r="MAJ203" s="2"/>
      <c r="MAK203" s="2"/>
      <c r="MAL203" s="2"/>
      <c r="MAM203" s="2"/>
      <c r="MAN203" s="2"/>
      <c r="MAO203" s="2"/>
      <c r="MAP203" s="2"/>
      <c r="MAQ203" s="2"/>
      <c r="MAR203" s="2"/>
      <c r="MAS203" s="2"/>
      <c r="MAT203" s="2"/>
      <c r="MAU203" s="2"/>
      <c r="MAV203" s="2"/>
      <c r="MAW203" s="2"/>
      <c r="MAX203" s="2"/>
      <c r="MAY203" s="2"/>
      <c r="MAZ203" s="2"/>
      <c r="MBA203" s="2"/>
      <c r="MBB203" s="2"/>
      <c r="MBC203" s="2"/>
      <c r="MBD203" s="2"/>
      <c r="MBE203" s="2"/>
      <c r="MBF203" s="2"/>
      <c r="MBG203" s="2"/>
      <c r="MBH203" s="2"/>
      <c r="MBI203" s="2"/>
      <c r="MBJ203" s="2"/>
      <c r="MBK203" s="2"/>
      <c r="MBL203" s="2"/>
      <c r="MBM203" s="2"/>
      <c r="MBN203" s="2"/>
      <c r="MBO203" s="2"/>
      <c r="MBP203" s="2"/>
      <c r="MBQ203" s="2"/>
      <c r="MBR203" s="2"/>
      <c r="MBS203" s="2"/>
      <c r="MBT203" s="2"/>
      <c r="MBU203" s="2"/>
      <c r="MBV203" s="2"/>
      <c r="MBW203" s="2"/>
      <c r="MBX203" s="2"/>
      <c r="MBY203" s="2"/>
      <c r="MBZ203" s="2"/>
      <c r="MCA203" s="2"/>
      <c r="MCB203" s="2"/>
      <c r="MCC203" s="2"/>
      <c r="MCD203" s="2"/>
      <c r="MCE203" s="2"/>
      <c r="MCF203" s="2"/>
      <c r="MCG203" s="2"/>
      <c r="MCH203" s="2"/>
      <c r="MCI203" s="2"/>
      <c r="MCJ203" s="2"/>
      <c r="MCK203" s="2"/>
      <c r="MCL203" s="2"/>
      <c r="MCM203" s="2"/>
      <c r="MCN203" s="2"/>
      <c r="MCO203" s="2"/>
      <c r="MCP203" s="2"/>
      <c r="MCQ203" s="2"/>
      <c r="MCR203" s="2"/>
      <c r="MCS203" s="2"/>
      <c r="MCT203" s="2"/>
      <c r="MCU203" s="2"/>
      <c r="MCV203" s="2"/>
      <c r="MCW203" s="2"/>
      <c r="MCX203" s="2"/>
      <c r="MCY203" s="2"/>
      <c r="MCZ203" s="2"/>
      <c r="MDA203" s="2"/>
      <c r="MDB203" s="2"/>
      <c r="MDC203" s="2"/>
      <c r="MDD203" s="2"/>
      <c r="MDE203" s="2"/>
      <c r="MDF203" s="2"/>
      <c r="MDG203" s="2"/>
      <c r="MDH203" s="2"/>
      <c r="MDI203" s="2"/>
      <c r="MDJ203" s="2"/>
      <c r="MDK203" s="2"/>
      <c r="MDL203" s="2"/>
      <c r="MDM203" s="2"/>
      <c r="MDN203" s="2"/>
      <c r="MDO203" s="2"/>
      <c r="MDP203" s="2"/>
      <c r="MDQ203" s="2"/>
      <c r="MDR203" s="2"/>
      <c r="MDS203" s="2"/>
      <c r="MDT203" s="2"/>
      <c r="MDU203" s="2"/>
      <c r="MDV203" s="2"/>
      <c r="MDW203" s="2"/>
      <c r="MDX203" s="2"/>
      <c r="MDY203" s="2"/>
      <c r="MDZ203" s="2"/>
      <c r="MEA203" s="2"/>
      <c r="MEB203" s="2"/>
      <c r="MEC203" s="2"/>
      <c r="MED203" s="2"/>
      <c r="MEE203" s="2"/>
      <c r="MEF203" s="2"/>
      <c r="MEG203" s="2"/>
      <c r="MEH203" s="2"/>
      <c r="MEI203" s="2"/>
      <c r="MEJ203" s="2"/>
      <c r="MEK203" s="2"/>
      <c r="MEL203" s="2"/>
      <c r="MEM203" s="2"/>
      <c r="MEN203" s="2"/>
      <c r="MEO203" s="2"/>
      <c r="MEP203" s="2"/>
      <c r="MEQ203" s="2"/>
      <c r="MER203" s="2"/>
      <c r="MES203" s="2"/>
      <c r="MET203" s="2"/>
      <c r="MEU203" s="2"/>
      <c r="MEV203" s="2"/>
      <c r="MEW203" s="2"/>
      <c r="MEX203" s="2"/>
      <c r="MEY203" s="2"/>
      <c r="MEZ203" s="2"/>
      <c r="MFA203" s="2"/>
      <c r="MFB203" s="2"/>
      <c r="MFC203" s="2"/>
      <c r="MFD203" s="2"/>
      <c r="MFE203" s="2"/>
      <c r="MFF203" s="2"/>
      <c r="MFG203" s="2"/>
      <c r="MFH203" s="2"/>
      <c r="MFI203" s="2"/>
      <c r="MFJ203" s="2"/>
      <c r="MFK203" s="2"/>
      <c r="MFL203" s="2"/>
      <c r="MFM203" s="2"/>
      <c r="MFN203" s="2"/>
      <c r="MFO203" s="2"/>
      <c r="MFP203" s="2"/>
      <c r="MFQ203" s="2"/>
      <c r="MFR203" s="2"/>
      <c r="MFS203" s="2"/>
      <c r="MFT203" s="2"/>
      <c r="MFU203" s="2"/>
      <c r="MFV203" s="2"/>
      <c r="MFW203" s="2"/>
      <c r="MFX203" s="2"/>
      <c r="MFY203" s="2"/>
      <c r="MFZ203" s="2"/>
      <c r="MGA203" s="2"/>
      <c r="MGB203" s="2"/>
      <c r="MGC203" s="2"/>
      <c r="MGD203" s="2"/>
      <c r="MGE203" s="2"/>
      <c r="MGF203" s="2"/>
      <c r="MGG203" s="2"/>
      <c r="MGH203" s="2"/>
      <c r="MGI203" s="2"/>
      <c r="MGJ203" s="2"/>
      <c r="MGK203" s="2"/>
      <c r="MGL203" s="2"/>
      <c r="MGM203" s="2"/>
      <c r="MGN203" s="2"/>
      <c r="MGO203" s="2"/>
      <c r="MGP203" s="2"/>
      <c r="MGQ203" s="2"/>
      <c r="MGR203" s="2"/>
      <c r="MGS203" s="2"/>
      <c r="MGT203" s="2"/>
      <c r="MGU203" s="2"/>
      <c r="MGV203" s="2"/>
      <c r="MGW203" s="2"/>
      <c r="MGX203" s="2"/>
      <c r="MGY203" s="2"/>
      <c r="MGZ203" s="2"/>
      <c r="MHA203" s="2"/>
      <c r="MHB203" s="2"/>
      <c r="MHC203" s="2"/>
      <c r="MHD203" s="2"/>
      <c r="MHE203" s="2"/>
      <c r="MHF203" s="2"/>
      <c r="MHG203" s="2"/>
      <c r="MHH203" s="2"/>
      <c r="MHI203" s="2"/>
      <c r="MHJ203" s="2"/>
      <c r="MHK203" s="2"/>
      <c r="MHL203" s="2"/>
      <c r="MHM203" s="2"/>
      <c r="MHN203" s="2"/>
      <c r="MHO203" s="2"/>
      <c r="MHP203" s="2"/>
      <c r="MHQ203" s="2"/>
      <c r="MHR203" s="2"/>
      <c r="MHS203" s="2"/>
      <c r="MHT203" s="2"/>
      <c r="MHU203" s="2"/>
      <c r="MHV203" s="2"/>
      <c r="MHW203" s="2"/>
      <c r="MHX203" s="2"/>
      <c r="MHY203" s="2"/>
      <c r="MHZ203" s="2"/>
      <c r="MIA203" s="2"/>
      <c r="MIB203" s="2"/>
      <c r="MIC203" s="2"/>
      <c r="MID203" s="2"/>
      <c r="MIE203" s="2"/>
      <c r="MIF203" s="2"/>
      <c r="MIG203" s="2"/>
      <c r="MIH203" s="2"/>
      <c r="MII203" s="2"/>
      <c r="MIJ203" s="2"/>
      <c r="MIK203" s="2"/>
      <c r="MIL203" s="2"/>
      <c r="MIM203" s="2"/>
      <c r="MIN203" s="2"/>
      <c r="MIO203" s="2"/>
      <c r="MIP203" s="2"/>
      <c r="MIQ203" s="2"/>
      <c r="MIR203" s="2"/>
      <c r="MIS203" s="2"/>
      <c r="MIT203" s="2"/>
      <c r="MIU203" s="2"/>
      <c r="MIV203" s="2"/>
      <c r="MIW203" s="2"/>
      <c r="MIX203" s="2"/>
      <c r="MIY203" s="2"/>
      <c r="MIZ203" s="2"/>
      <c r="MJA203" s="2"/>
      <c r="MJB203" s="2"/>
      <c r="MJC203" s="2"/>
      <c r="MJD203" s="2"/>
      <c r="MJE203" s="2"/>
      <c r="MJF203" s="2"/>
      <c r="MJG203" s="2"/>
      <c r="MJH203" s="2"/>
      <c r="MJI203" s="2"/>
      <c r="MJJ203" s="2"/>
      <c r="MJK203" s="2"/>
      <c r="MJL203" s="2"/>
      <c r="MJM203" s="2"/>
      <c r="MJN203" s="2"/>
      <c r="MJO203" s="2"/>
      <c r="MJP203" s="2"/>
      <c r="MJQ203" s="2"/>
      <c r="MJR203" s="2"/>
      <c r="MJS203" s="2"/>
      <c r="MJT203" s="2"/>
      <c r="MJU203" s="2"/>
      <c r="MJV203" s="2"/>
      <c r="MJW203" s="2"/>
      <c r="MJX203" s="2"/>
      <c r="MJY203" s="2"/>
      <c r="MJZ203" s="2"/>
      <c r="MKA203" s="2"/>
      <c r="MKB203" s="2"/>
      <c r="MKC203" s="2"/>
      <c r="MKD203" s="2"/>
      <c r="MKE203" s="2"/>
      <c r="MKF203" s="2"/>
      <c r="MKG203" s="2"/>
      <c r="MKH203" s="2"/>
      <c r="MKI203" s="2"/>
      <c r="MKJ203" s="2"/>
      <c r="MKK203" s="2"/>
      <c r="MKL203" s="2"/>
      <c r="MKM203" s="2"/>
      <c r="MKN203" s="2"/>
      <c r="MKO203" s="2"/>
      <c r="MKP203" s="2"/>
      <c r="MKQ203" s="2"/>
      <c r="MKR203" s="2"/>
      <c r="MKS203" s="2"/>
      <c r="MKT203" s="2"/>
      <c r="MKU203" s="2"/>
      <c r="MKV203" s="2"/>
      <c r="MKW203" s="2"/>
      <c r="MKX203" s="2"/>
      <c r="MKY203" s="2"/>
      <c r="MKZ203" s="2"/>
      <c r="MLA203" s="2"/>
      <c r="MLB203" s="2"/>
      <c r="MLC203" s="2"/>
      <c r="MLD203" s="2"/>
      <c r="MLE203" s="2"/>
      <c r="MLF203" s="2"/>
      <c r="MLG203" s="2"/>
      <c r="MLH203" s="2"/>
      <c r="MLI203" s="2"/>
      <c r="MLJ203" s="2"/>
      <c r="MLK203" s="2"/>
      <c r="MLL203" s="2"/>
      <c r="MLM203" s="2"/>
      <c r="MLN203" s="2"/>
      <c r="MLO203" s="2"/>
      <c r="MLP203" s="2"/>
      <c r="MLQ203" s="2"/>
      <c r="MLR203" s="2"/>
      <c r="MLS203" s="2"/>
      <c r="MLT203" s="2"/>
      <c r="MLU203" s="2"/>
      <c r="MLV203" s="2"/>
      <c r="MLW203" s="2"/>
      <c r="MLX203" s="2"/>
      <c r="MLY203" s="2"/>
      <c r="MLZ203" s="2"/>
      <c r="MMA203" s="2"/>
      <c r="MMB203" s="2"/>
      <c r="MMC203" s="2"/>
      <c r="MMD203" s="2"/>
      <c r="MME203" s="2"/>
      <c r="MMF203" s="2"/>
      <c r="MMG203" s="2"/>
      <c r="MMH203" s="2"/>
      <c r="MMI203" s="2"/>
      <c r="MMJ203" s="2"/>
      <c r="MMK203" s="2"/>
      <c r="MML203" s="2"/>
      <c r="MMM203" s="2"/>
      <c r="MMN203" s="2"/>
      <c r="MMO203" s="2"/>
      <c r="MMP203" s="2"/>
      <c r="MMQ203" s="2"/>
      <c r="MMR203" s="2"/>
      <c r="MMS203" s="2"/>
      <c r="MMT203" s="2"/>
      <c r="MMU203" s="2"/>
      <c r="MMV203" s="2"/>
      <c r="MMW203" s="2"/>
      <c r="MMX203" s="2"/>
      <c r="MMY203" s="2"/>
      <c r="MMZ203" s="2"/>
      <c r="MNA203" s="2"/>
      <c r="MNB203" s="2"/>
      <c r="MNC203" s="2"/>
      <c r="MND203" s="2"/>
      <c r="MNE203" s="2"/>
      <c r="MNF203" s="2"/>
      <c r="MNG203" s="2"/>
      <c r="MNH203" s="2"/>
      <c r="MNI203" s="2"/>
      <c r="MNJ203" s="2"/>
      <c r="MNK203" s="2"/>
      <c r="MNL203" s="2"/>
      <c r="MNM203" s="2"/>
      <c r="MNN203" s="2"/>
      <c r="MNO203" s="2"/>
      <c r="MNP203" s="2"/>
      <c r="MNQ203" s="2"/>
      <c r="MNR203" s="2"/>
      <c r="MNS203" s="2"/>
      <c r="MNT203" s="2"/>
      <c r="MNU203" s="2"/>
      <c r="MNV203" s="2"/>
      <c r="MNW203" s="2"/>
      <c r="MNX203" s="2"/>
      <c r="MNY203" s="2"/>
      <c r="MNZ203" s="2"/>
      <c r="MOA203" s="2"/>
      <c r="MOB203" s="2"/>
      <c r="MOC203" s="2"/>
      <c r="MOD203" s="2"/>
      <c r="MOE203" s="2"/>
      <c r="MOF203" s="2"/>
      <c r="MOG203" s="2"/>
      <c r="MOH203" s="2"/>
      <c r="MOI203" s="2"/>
      <c r="MOJ203" s="2"/>
      <c r="MOK203" s="2"/>
      <c r="MOL203" s="2"/>
      <c r="MOM203" s="2"/>
      <c r="MON203" s="2"/>
      <c r="MOO203" s="2"/>
      <c r="MOP203" s="2"/>
      <c r="MOQ203" s="2"/>
      <c r="MOR203" s="2"/>
      <c r="MOS203" s="2"/>
      <c r="MOT203" s="2"/>
      <c r="MOU203" s="2"/>
      <c r="MOV203" s="2"/>
      <c r="MOW203" s="2"/>
      <c r="MOX203" s="2"/>
      <c r="MOY203" s="2"/>
      <c r="MOZ203" s="2"/>
      <c r="MPA203" s="2"/>
      <c r="MPB203" s="2"/>
      <c r="MPC203" s="2"/>
      <c r="MPD203" s="2"/>
      <c r="MPE203" s="2"/>
      <c r="MPF203" s="2"/>
      <c r="MPG203" s="2"/>
      <c r="MPH203" s="2"/>
      <c r="MPI203" s="2"/>
      <c r="MPJ203" s="2"/>
      <c r="MPK203" s="2"/>
      <c r="MPL203" s="2"/>
      <c r="MPM203" s="2"/>
      <c r="MPN203" s="2"/>
      <c r="MPO203" s="2"/>
      <c r="MPP203" s="2"/>
      <c r="MPQ203" s="2"/>
      <c r="MPR203" s="2"/>
      <c r="MPS203" s="2"/>
      <c r="MPT203" s="2"/>
      <c r="MPU203" s="2"/>
      <c r="MPV203" s="2"/>
      <c r="MPW203" s="2"/>
      <c r="MPX203" s="2"/>
      <c r="MPY203" s="2"/>
      <c r="MPZ203" s="2"/>
      <c r="MQA203" s="2"/>
      <c r="MQB203" s="2"/>
      <c r="MQC203" s="2"/>
      <c r="MQD203" s="2"/>
      <c r="MQE203" s="2"/>
      <c r="MQF203" s="2"/>
      <c r="MQG203" s="2"/>
      <c r="MQH203" s="2"/>
      <c r="MQI203" s="2"/>
      <c r="MQJ203" s="2"/>
      <c r="MQK203" s="2"/>
      <c r="MQL203" s="2"/>
      <c r="MQM203" s="2"/>
      <c r="MQN203" s="2"/>
      <c r="MQO203" s="2"/>
      <c r="MQP203" s="2"/>
      <c r="MQQ203" s="2"/>
      <c r="MQR203" s="2"/>
      <c r="MQS203" s="2"/>
      <c r="MQT203" s="2"/>
      <c r="MQU203" s="2"/>
      <c r="MQV203" s="2"/>
      <c r="MQW203" s="2"/>
      <c r="MQX203" s="2"/>
      <c r="MQY203" s="2"/>
      <c r="MQZ203" s="2"/>
      <c r="MRA203" s="2"/>
      <c r="MRB203" s="2"/>
      <c r="MRC203" s="2"/>
      <c r="MRD203" s="2"/>
      <c r="MRE203" s="2"/>
      <c r="MRF203" s="2"/>
      <c r="MRG203" s="2"/>
      <c r="MRH203" s="2"/>
      <c r="MRI203" s="2"/>
      <c r="MRJ203" s="2"/>
      <c r="MRK203" s="2"/>
      <c r="MRL203" s="2"/>
      <c r="MRM203" s="2"/>
      <c r="MRN203" s="2"/>
      <c r="MRO203" s="2"/>
      <c r="MRP203" s="2"/>
      <c r="MRQ203" s="2"/>
      <c r="MRR203" s="2"/>
      <c r="MRS203" s="2"/>
      <c r="MRT203" s="2"/>
      <c r="MRU203" s="2"/>
      <c r="MRV203" s="2"/>
      <c r="MRW203" s="2"/>
      <c r="MRX203" s="2"/>
      <c r="MRY203" s="2"/>
      <c r="MRZ203" s="2"/>
      <c r="MSA203" s="2"/>
      <c r="MSB203" s="2"/>
      <c r="MSC203" s="2"/>
      <c r="MSD203" s="2"/>
      <c r="MSE203" s="2"/>
      <c r="MSF203" s="2"/>
      <c r="MSG203" s="2"/>
      <c r="MSH203" s="2"/>
      <c r="MSI203" s="2"/>
      <c r="MSJ203" s="2"/>
      <c r="MSK203" s="2"/>
      <c r="MSL203" s="2"/>
      <c r="MSM203" s="2"/>
      <c r="MSN203" s="2"/>
      <c r="MSO203" s="2"/>
      <c r="MSP203" s="2"/>
      <c r="MSQ203" s="2"/>
      <c r="MSR203" s="2"/>
      <c r="MSS203" s="2"/>
      <c r="MST203" s="2"/>
      <c r="MSU203" s="2"/>
      <c r="MSV203" s="2"/>
      <c r="MSW203" s="2"/>
      <c r="MSX203" s="2"/>
      <c r="MSY203" s="2"/>
      <c r="MSZ203" s="2"/>
      <c r="MTA203" s="2"/>
      <c r="MTB203" s="2"/>
      <c r="MTC203" s="2"/>
      <c r="MTD203" s="2"/>
      <c r="MTE203" s="2"/>
      <c r="MTF203" s="2"/>
      <c r="MTG203" s="2"/>
      <c r="MTH203" s="2"/>
      <c r="MTI203" s="2"/>
      <c r="MTJ203" s="2"/>
      <c r="MTK203" s="2"/>
      <c r="MTL203" s="2"/>
      <c r="MTM203" s="2"/>
      <c r="MTN203" s="2"/>
      <c r="MTO203" s="2"/>
      <c r="MTP203" s="2"/>
      <c r="MTQ203" s="2"/>
      <c r="MTR203" s="2"/>
      <c r="MTS203" s="2"/>
      <c r="MTT203" s="2"/>
      <c r="MTU203" s="2"/>
      <c r="MTV203" s="2"/>
      <c r="MTW203" s="2"/>
      <c r="MTX203" s="2"/>
      <c r="MTY203" s="2"/>
      <c r="MTZ203" s="2"/>
      <c r="MUA203" s="2"/>
      <c r="MUB203" s="2"/>
      <c r="MUC203" s="2"/>
      <c r="MUD203" s="2"/>
      <c r="MUE203" s="2"/>
      <c r="MUF203" s="2"/>
      <c r="MUG203" s="2"/>
      <c r="MUH203" s="2"/>
      <c r="MUI203" s="2"/>
      <c r="MUJ203" s="2"/>
      <c r="MUK203" s="2"/>
      <c r="MUL203" s="2"/>
      <c r="MUM203" s="2"/>
      <c r="MUN203" s="2"/>
      <c r="MUO203" s="2"/>
      <c r="MUP203" s="2"/>
      <c r="MUQ203" s="2"/>
      <c r="MUR203" s="2"/>
      <c r="MUS203" s="2"/>
      <c r="MUT203" s="2"/>
      <c r="MUU203" s="2"/>
      <c r="MUV203" s="2"/>
      <c r="MUW203" s="2"/>
      <c r="MUX203" s="2"/>
      <c r="MUY203" s="2"/>
      <c r="MUZ203" s="2"/>
      <c r="MVA203" s="2"/>
      <c r="MVB203" s="2"/>
      <c r="MVC203" s="2"/>
      <c r="MVD203" s="2"/>
      <c r="MVE203" s="2"/>
      <c r="MVF203" s="2"/>
      <c r="MVG203" s="2"/>
      <c r="MVH203" s="2"/>
      <c r="MVI203" s="2"/>
      <c r="MVJ203" s="2"/>
      <c r="MVK203" s="2"/>
      <c r="MVL203" s="2"/>
      <c r="MVM203" s="2"/>
      <c r="MVN203" s="2"/>
      <c r="MVO203" s="2"/>
      <c r="MVP203" s="2"/>
      <c r="MVQ203" s="2"/>
      <c r="MVR203" s="2"/>
      <c r="MVS203" s="2"/>
      <c r="MVT203" s="2"/>
      <c r="MVU203" s="2"/>
      <c r="MVV203" s="2"/>
      <c r="MVW203" s="2"/>
      <c r="MVX203" s="2"/>
      <c r="MVY203" s="2"/>
      <c r="MVZ203" s="2"/>
      <c r="MWA203" s="2"/>
      <c r="MWB203" s="2"/>
      <c r="MWC203" s="2"/>
      <c r="MWD203" s="2"/>
      <c r="MWE203" s="2"/>
      <c r="MWF203" s="2"/>
      <c r="MWG203" s="2"/>
      <c r="MWH203" s="2"/>
      <c r="MWI203" s="2"/>
      <c r="MWJ203" s="2"/>
      <c r="MWK203" s="2"/>
      <c r="MWL203" s="2"/>
      <c r="MWM203" s="2"/>
      <c r="MWN203" s="2"/>
      <c r="MWO203" s="2"/>
      <c r="MWP203" s="2"/>
      <c r="MWQ203" s="2"/>
      <c r="MWR203" s="2"/>
      <c r="MWS203" s="2"/>
      <c r="MWT203" s="2"/>
      <c r="MWU203" s="2"/>
      <c r="MWV203" s="2"/>
      <c r="MWW203" s="2"/>
      <c r="MWX203" s="2"/>
      <c r="MWY203" s="2"/>
      <c r="MWZ203" s="2"/>
      <c r="MXA203" s="2"/>
      <c r="MXB203" s="2"/>
      <c r="MXC203" s="2"/>
      <c r="MXD203" s="2"/>
      <c r="MXE203" s="2"/>
      <c r="MXF203" s="2"/>
      <c r="MXG203" s="2"/>
      <c r="MXH203" s="2"/>
      <c r="MXI203" s="2"/>
      <c r="MXJ203" s="2"/>
      <c r="MXK203" s="2"/>
      <c r="MXL203" s="2"/>
      <c r="MXM203" s="2"/>
      <c r="MXN203" s="2"/>
      <c r="MXO203" s="2"/>
      <c r="MXP203" s="2"/>
      <c r="MXQ203" s="2"/>
      <c r="MXR203" s="2"/>
      <c r="MXS203" s="2"/>
      <c r="MXT203" s="2"/>
      <c r="MXU203" s="2"/>
      <c r="MXV203" s="2"/>
      <c r="MXW203" s="2"/>
      <c r="MXX203" s="2"/>
      <c r="MXY203" s="2"/>
      <c r="MXZ203" s="2"/>
      <c r="MYA203" s="2"/>
      <c r="MYB203" s="2"/>
      <c r="MYC203" s="2"/>
      <c r="MYD203" s="2"/>
      <c r="MYE203" s="2"/>
      <c r="MYF203" s="2"/>
      <c r="MYG203" s="2"/>
      <c r="MYH203" s="2"/>
      <c r="MYI203" s="2"/>
      <c r="MYJ203" s="2"/>
      <c r="MYK203" s="2"/>
      <c r="MYL203" s="2"/>
      <c r="MYM203" s="2"/>
      <c r="MYN203" s="2"/>
      <c r="MYO203" s="2"/>
      <c r="MYP203" s="2"/>
      <c r="MYQ203" s="2"/>
      <c r="MYR203" s="2"/>
      <c r="MYS203" s="2"/>
      <c r="MYT203" s="2"/>
      <c r="MYU203" s="2"/>
      <c r="MYV203" s="2"/>
      <c r="MYW203" s="2"/>
      <c r="MYX203" s="2"/>
      <c r="MYY203" s="2"/>
      <c r="MYZ203" s="2"/>
      <c r="MZA203" s="2"/>
      <c r="MZB203" s="2"/>
      <c r="MZC203" s="2"/>
      <c r="MZD203" s="2"/>
      <c r="MZE203" s="2"/>
      <c r="MZF203" s="2"/>
      <c r="MZG203" s="2"/>
      <c r="MZH203" s="2"/>
      <c r="MZI203" s="2"/>
      <c r="MZJ203" s="2"/>
      <c r="MZK203" s="2"/>
      <c r="MZL203" s="2"/>
      <c r="MZM203" s="2"/>
      <c r="MZN203" s="2"/>
      <c r="MZO203" s="2"/>
      <c r="MZP203" s="2"/>
      <c r="MZQ203" s="2"/>
      <c r="MZR203" s="2"/>
      <c r="MZS203" s="2"/>
      <c r="MZT203" s="2"/>
      <c r="MZU203" s="2"/>
      <c r="MZV203" s="2"/>
      <c r="MZW203" s="2"/>
      <c r="MZX203" s="2"/>
      <c r="MZY203" s="2"/>
      <c r="MZZ203" s="2"/>
      <c r="NAA203" s="2"/>
      <c r="NAB203" s="2"/>
      <c r="NAC203" s="2"/>
      <c r="NAD203" s="2"/>
      <c r="NAE203" s="2"/>
      <c r="NAF203" s="2"/>
      <c r="NAG203" s="2"/>
      <c r="NAH203" s="2"/>
      <c r="NAI203" s="2"/>
      <c r="NAJ203" s="2"/>
      <c r="NAK203" s="2"/>
      <c r="NAL203" s="2"/>
      <c r="NAM203" s="2"/>
      <c r="NAN203" s="2"/>
      <c r="NAO203" s="2"/>
      <c r="NAP203" s="2"/>
      <c r="NAQ203" s="2"/>
      <c r="NAR203" s="2"/>
      <c r="NAS203" s="2"/>
      <c r="NAT203" s="2"/>
      <c r="NAU203" s="2"/>
      <c r="NAV203" s="2"/>
      <c r="NAW203" s="2"/>
      <c r="NAX203" s="2"/>
      <c r="NAY203" s="2"/>
      <c r="NAZ203" s="2"/>
      <c r="NBA203" s="2"/>
      <c r="NBB203" s="2"/>
      <c r="NBC203" s="2"/>
      <c r="NBD203" s="2"/>
      <c r="NBE203" s="2"/>
      <c r="NBF203" s="2"/>
      <c r="NBG203" s="2"/>
      <c r="NBH203" s="2"/>
      <c r="NBI203" s="2"/>
      <c r="NBJ203" s="2"/>
      <c r="NBK203" s="2"/>
      <c r="NBL203" s="2"/>
      <c r="NBM203" s="2"/>
      <c r="NBN203" s="2"/>
      <c r="NBO203" s="2"/>
      <c r="NBP203" s="2"/>
      <c r="NBQ203" s="2"/>
      <c r="NBR203" s="2"/>
      <c r="NBS203" s="2"/>
      <c r="NBT203" s="2"/>
      <c r="NBU203" s="2"/>
      <c r="NBV203" s="2"/>
      <c r="NBW203" s="2"/>
      <c r="NBX203" s="2"/>
      <c r="NBY203" s="2"/>
      <c r="NBZ203" s="2"/>
      <c r="NCA203" s="2"/>
      <c r="NCB203" s="2"/>
      <c r="NCC203" s="2"/>
      <c r="NCD203" s="2"/>
      <c r="NCE203" s="2"/>
      <c r="NCF203" s="2"/>
      <c r="NCG203" s="2"/>
      <c r="NCH203" s="2"/>
      <c r="NCI203" s="2"/>
      <c r="NCJ203" s="2"/>
      <c r="NCK203" s="2"/>
      <c r="NCL203" s="2"/>
      <c r="NCM203" s="2"/>
      <c r="NCN203" s="2"/>
      <c r="NCO203" s="2"/>
      <c r="NCP203" s="2"/>
      <c r="NCQ203" s="2"/>
      <c r="NCR203" s="2"/>
      <c r="NCS203" s="2"/>
      <c r="NCT203" s="2"/>
      <c r="NCU203" s="2"/>
      <c r="NCV203" s="2"/>
      <c r="NCW203" s="2"/>
      <c r="NCX203" s="2"/>
      <c r="NCY203" s="2"/>
      <c r="NCZ203" s="2"/>
      <c r="NDA203" s="2"/>
      <c r="NDB203" s="2"/>
      <c r="NDC203" s="2"/>
      <c r="NDD203" s="2"/>
      <c r="NDE203" s="2"/>
      <c r="NDF203" s="2"/>
      <c r="NDG203" s="2"/>
      <c r="NDH203" s="2"/>
      <c r="NDI203" s="2"/>
      <c r="NDJ203" s="2"/>
      <c r="NDK203" s="2"/>
      <c r="NDL203" s="2"/>
      <c r="NDM203" s="2"/>
      <c r="NDN203" s="2"/>
      <c r="NDO203" s="2"/>
      <c r="NDP203" s="2"/>
      <c r="NDQ203" s="2"/>
      <c r="NDR203" s="2"/>
      <c r="NDS203" s="2"/>
      <c r="NDT203" s="2"/>
      <c r="NDU203" s="2"/>
      <c r="NDV203" s="2"/>
      <c r="NDW203" s="2"/>
      <c r="NDX203" s="2"/>
      <c r="NDY203" s="2"/>
      <c r="NDZ203" s="2"/>
      <c r="NEA203" s="2"/>
      <c r="NEB203" s="2"/>
      <c r="NEC203" s="2"/>
      <c r="NED203" s="2"/>
      <c r="NEE203" s="2"/>
      <c r="NEF203" s="2"/>
      <c r="NEG203" s="2"/>
      <c r="NEH203" s="2"/>
      <c r="NEI203" s="2"/>
      <c r="NEJ203" s="2"/>
      <c r="NEK203" s="2"/>
      <c r="NEL203" s="2"/>
      <c r="NEM203" s="2"/>
      <c r="NEN203" s="2"/>
      <c r="NEO203" s="2"/>
      <c r="NEP203" s="2"/>
      <c r="NEQ203" s="2"/>
      <c r="NER203" s="2"/>
      <c r="NES203" s="2"/>
      <c r="NET203" s="2"/>
      <c r="NEU203" s="2"/>
      <c r="NEV203" s="2"/>
      <c r="NEW203" s="2"/>
      <c r="NEX203" s="2"/>
      <c r="NEY203" s="2"/>
      <c r="NEZ203" s="2"/>
      <c r="NFA203" s="2"/>
      <c r="NFB203" s="2"/>
      <c r="NFC203" s="2"/>
      <c r="NFD203" s="2"/>
      <c r="NFE203" s="2"/>
      <c r="NFF203" s="2"/>
      <c r="NFG203" s="2"/>
      <c r="NFH203" s="2"/>
      <c r="NFI203" s="2"/>
      <c r="NFJ203" s="2"/>
      <c r="NFK203" s="2"/>
      <c r="NFL203" s="2"/>
      <c r="NFM203" s="2"/>
      <c r="NFN203" s="2"/>
      <c r="NFO203" s="2"/>
      <c r="NFP203" s="2"/>
      <c r="NFQ203" s="2"/>
      <c r="NFR203" s="2"/>
      <c r="NFS203" s="2"/>
      <c r="NFT203" s="2"/>
      <c r="NFU203" s="2"/>
      <c r="NFV203" s="2"/>
      <c r="NFW203" s="2"/>
      <c r="NFX203" s="2"/>
      <c r="NFY203" s="2"/>
      <c r="NFZ203" s="2"/>
      <c r="NGA203" s="2"/>
      <c r="NGB203" s="2"/>
      <c r="NGC203" s="2"/>
      <c r="NGD203" s="2"/>
      <c r="NGE203" s="2"/>
      <c r="NGF203" s="2"/>
      <c r="NGG203" s="2"/>
      <c r="NGH203" s="2"/>
      <c r="NGI203" s="2"/>
      <c r="NGJ203" s="2"/>
      <c r="NGK203" s="2"/>
      <c r="NGL203" s="2"/>
      <c r="NGM203" s="2"/>
      <c r="NGN203" s="2"/>
      <c r="NGO203" s="2"/>
      <c r="NGP203" s="2"/>
      <c r="NGQ203" s="2"/>
      <c r="NGR203" s="2"/>
      <c r="NGS203" s="2"/>
      <c r="NGT203" s="2"/>
      <c r="NGU203" s="2"/>
      <c r="NGV203" s="2"/>
      <c r="NGW203" s="2"/>
      <c r="NGX203" s="2"/>
      <c r="NGY203" s="2"/>
      <c r="NGZ203" s="2"/>
      <c r="NHA203" s="2"/>
      <c r="NHB203" s="2"/>
      <c r="NHC203" s="2"/>
      <c r="NHD203" s="2"/>
      <c r="NHE203" s="2"/>
      <c r="NHF203" s="2"/>
      <c r="NHG203" s="2"/>
      <c r="NHH203" s="2"/>
      <c r="NHI203" s="2"/>
      <c r="NHJ203" s="2"/>
      <c r="NHK203" s="2"/>
      <c r="NHL203" s="2"/>
      <c r="NHM203" s="2"/>
      <c r="NHN203" s="2"/>
      <c r="NHO203" s="2"/>
      <c r="NHP203" s="2"/>
      <c r="NHQ203" s="2"/>
      <c r="NHR203" s="2"/>
      <c r="NHS203" s="2"/>
      <c r="NHT203" s="2"/>
      <c r="NHU203" s="2"/>
      <c r="NHV203" s="2"/>
      <c r="NHW203" s="2"/>
      <c r="NHX203" s="2"/>
      <c r="NHY203" s="2"/>
      <c r="NHZ203" s="2"/>
      <c r="NIA203" s="2"/>
      <c r="NIB203" s="2"/>
      <c r="NIC203" s="2"/>
      <c r="NID203" s="2"/>
      <c r="NIE203" s="2"/>
      <c r="NIF203" s="2"/>
      <c r="NIG203" s="2"/>
      <c r="NIH203" s="2"/>
      <c r="NII203" s="2"/>
      <c r="NIJ203" s="2"/>
      <c r="NIK203" s="2"/>
      <c r="NIL203" s="2"/>
      <c r="NIM203" s="2"/>
      <c r="NIN203" s="2"/>
      <c r="NIO203" s="2"/>
      <c r="NIP203" s="2"/>
      <c r="NIQ203" s="2"/>
      <c r="NIR203" s="2"/>
      <c r="NIS203" s="2"/>
      <c r="NIT203" s="2"/>
      <c r="NIU203" s="2"/>
      <c r="NIV203" s="2"/>
      <c r="NIW203" s="2"/>
      <c r="NIX203" s="2"/>
      <c r="NIY203" s="2"/>
      <c r="NIZ203" s="2"/>
      <c r="NJA203" s="2"/>
      <c r="NJB203" s="2"/>
      <c r="NJC203" s="2"/>
      <c r="NJD203" s="2"/>
      <c r="NJE203" s="2"/>
      <c r="NJF203" s="2"/>
      <c r="NJG203" s="2"/>
      <c r="NJH203" s="2"/>
      <c r="NJI203" s="2"/>
      <c r="NJJ203" s="2"/>
      <c r="NJK203" s="2"/>
      <c r="NJL203" s="2"/>
      <c r="NJM203" s="2"/>
      <c r="NJN203" s="2"/>
      <c r="NJO203" s="2"/>
      <c r="NJP203" s="2"/>
      <c r="NJQ203" s="2"/>
      <c r="NJR203" s="2"/>
      <c r="NJS203" s="2"/>
      <c r="NJT203" s="2"/>
      <c r="NJU203" s="2"/>
      <c r="NJV203" s="2"/>
      <c r="NJW203" s="2"/>
      <c r="NJX203" s="2"/>
      <c r="NJY203" s="2"/>
      <c r="NJZ203" s="2"/>
      <c r="NKA203" s="2"/>
      <c r="NKB203" s="2"/>
      <c r="NKC203" s="2"/>
      <c r="NKD203" s="2"/>
      <c r="NKE203" s="2"/>
      <c r="NKF203" s="2"/>
      <c r="NKG203" s="2"/>
      <c r="NKH203" s="2"/>
      <c r="NKI203" s="2"/>
      <c r="NKJ203" s="2"/>
      <c r="NKK203" s="2"/>
      <c r="NKL203" s="2"/>
      <c r="NKM203" s="2"/>
      <c r="NKN203" s="2"/>
      <c r="NKO203" s="2"/>
      <c r="NKP203" s="2"/>
      <c r="NKQ203" s="2"/>
      <c r="NKR203" s="2"/>
      <c r="NKS203" s="2"/>
      <c r="NKT203" s="2"/>
      <c r="NKU203" s="2"/>
      <c r="NKV203" s="2"/>
      <c r="NKW203" s="2"/>
      <c r="NKX203" s="2"/>
      <c r="NKY203" s="2"/>
      <c r="NKZ203" s="2"/>
      <c r="NLA203" s="2"/>
      <c r="NLB203" s="2"/>
      <c r="NLC203" s="2"/>
      <c r="NLD203" s="2"/>
      <c r="NLE203" s="2"/>
      <c r="NLF203" s="2"/>
      <c r="NLG203" s="2"/>
      <c r="NLH203" s="2"/>
      <c r="NLI203" s="2"/>
      <c r="NLJ203" s="2"/>
      <c r="NLK203" s="2"/>
      <c r="NLL203" s="2"/>
      <c r="NLM203" s="2"/>
      <c r="NLN203" s="2"/>
      <c r="NLO203" s="2"/>
      <c r="NLP203" s="2"/>
      <c r="NLQ203" s="2"/>
      <c r="NLR203" s="2"/>
      <c r="NLS203" s="2"/>
      <c r="NLT203" s="2"/>
      <c r="NLU203" s="2"/>
      <c r="NLV203" s="2"/>
      <c r="NLW203" s="2"/>
      <c r="NLX203" s="2"/>
      <c r="NLY203" s="2"/>
      <c r="NLZ203" s="2"/>
      <c r="NMA203" s="2"/>
      <c r="NMB203" s="2"/>
      <c r="NMC203" s="2"/>
      <c r="NMD203" s="2"/>
      <c r="NME203" s="2"/>
      <c r="NMF203" s="2"/>
      <c r="NMG203" s="2"/>
      <c r="NMH203" s="2"/>
      <c r="NMI203" s="2"/>
      <c r="NMJ203" s="2"/>
      <c r="NMK203" s="2"/>
      <c r="NML203" s="2"/>
      <c r="NMM203" s="2"/>
      <c r="NMN203" s="2"/>
      <c r="NMO203" s="2"/>
      <c r="NMP203" s="2"/>
      <c r="NMQ203" s="2"/>
      <c r="NMR203" s="2"/>
      <c r="NMS203" s="2"/>
      <c r="NMT203" s="2"/>
      <c r="NMU203" s="2"/>
      <c r="NMV203" s="2"/>
      <c r="NMW203" s="2"/>
      <c r="NMX203" s="2"/>
      <c r="NMY203" s="2"/>
      <c r="NMZ203" s="2"/>
      <c r="NNA203" s="2"/>
      <c r="NNB203" s="2"/>
      <c r="NNC203" s="2"/>
      <c r="NND203" s="2"/>
      <c r="NNE203" s="2"/>
      <c r="NNF203" s="2"/>
      <c r="NNG203" s="2"/>
      <c r="NNH203" s="2"/>
      <c r="NNI203" s="2"/>
      <c r="NNJ203" s="2"/>
      <c r="NNK203" s="2"/>
      <c r="NNL203" s="2"/>
      <c r="NNM203" s="2"/>
      <c r="NNN203" s="2"/>
      <c r="NNO203" s="2"/>
      <c r="NNP203" s="2"/>
      <c r="NNQ203" s="2"/>
      <c r="NNR203" s="2"/>
      <c r="NNS203" s="2"/>
      <c r="NNT203" s="2"/>
      <c r="NNU203" s="2"/>
      <c r="NNV203" s="2"/>
      <c r="NNW203" s="2"/>
      <c r="NNX203" s="2"/>
      <c r="NNY203" s="2"/>
      <c r="NNZ203" s="2"/>
      <c r="NOA203" s="2"/>
      <c r="NOB203" s="2"/>
      <c r="NOC203" s="2"/>
      <c r="NOD203" s="2"/>
      <c r="NOE203" s="2"/>
      <c r="NOF203" s="2"/>
      <c r="NOG203" s="2"/>
      <c r="NOH203" s="2"/>
      <c r="NOI203" s="2"/>
      <c r="NOJ203" s="2"/>
      <c r="NOK203" s="2"/>
      <c r="NOL203" s="2"/>
      <c r="NOM203" s="2"/>
      <c r="NON203" s="2"/>
      <c r="NOO203" s="2"/>
      <c r="NOP203" s="2"/>
      <c r="NOQ203" s="2"/>
      <c r="NOR203" s="2"/>
      <c r="NOS203" s="2"/>
      <c r="NOT203" s="2"/>
      <c r="NOU203" s="2"/>
      <c r="NOV203" s="2"/>
      <c r="NOW203" s="2"/>
      <c r="NOX203" s="2"/>
      <c r="NOY203" s="2"/>
      <c r="NOZ203" s="2"/>
      <c r="NPA203" s="2"/>
      <c r="NPB203" s="2"/>
      <c r="NPC203" s="2"/>
      <c r="NPD203" s="2"/>
      <c r="NPE203" s="2"/>
      <c r="NPF203" s="2"/>
      <c r="NPG203" s="2"/>
      <c r="NPH203" s="2"/>
      <c r="NPI203" s="2"/>
      <c r="NPJ203" s="2"/>
      <c r="NPK203" s="2"/>
      <c r="NPL203" s="2"/>
      <c r="NPM203" s="2"/>
      <c r="NPN203" s="2"/>
      <c r="NPO203" s="2"/>
      <c r="NPP203" s="2"/>
      <c r="NPQ203" s="2"/>
      <c r="NPR203" s="2"/>
      <c r="NPS203" s="2"/>
      <c r="NPT203" s="2"/>
      <c r="NPU203" s="2"/>
      <c r="NPV203" s="2"/>
      <c r="NPW203" s="2"/>
      <c r="NPX203" s="2"/>
      <c r="NPY203" s="2"/>
      <c r="NPZ203" s="2"/>
      <c r="NQA203" s="2"/>
      <c r="NQB203" s="2"/>
      <c r="NQC203" s="2"/>
      <c r="NQD203" s="2"/>
      <c r="NQE203" s="2"/>
      <c r="NQF203" s="2"/>
      <c r="NQG203" s="2"/>
      <c r="NQH203" s="2"/>
      <c r="NQI203" s="2"/>
      <c r="NQJ203" s="2"/>
      <c r="NQK203" s="2"/>
      <c r="NQL203" s="2"/>
      <c r="NQM203" s="2"/>
      <c r="NQN203" s="2"/>
      <c r="NQO203" s="2"/>
      <c r="NQP203" s="2"/>
      <c r="NQQ203" s="2"/>
      <c r="NQR203" s="2"/>
      <c r="NQS203" s="2"/>
      <c r="NQT203" s="2"/>
      <c r="NQU203" s="2"/>
      <c r="NQV203" s="2"/>
      <c r="NQW203" s="2"/>
      <c r="NQX203" s="2"/>
      <c r="NQY203" s="2"/>
      <c r="NQZ203" s="2"/>
      <c r="NRA203" s="2"/>
      <c r="NRB203" s="2"/>
      <c r="NRC203" s="2"/>
      <c r="NRD203" s="2"/>
      <c r="NRE203" s="2"/>
      <c r="NRF203" s="2"/>
      <c r="NRG203" s="2"/>
      <c r="NRH203" s="2"/>
      <c r="NRI203" s="2"/>
      <c r="NRJ203" s="2"/>
      <c r="NRK203" s="2"/>
      <c r="NRL203" s="2"/>
      <c r="NRM203" s="2"/>
      <c r="NRN203" s="2"/>
      <c r="NRO203" s="2"/>
      <c r="NRP203" s="2"/>
      <c r="NRQ203" s="2"/>
      <c r="NRR203" s="2"/>
      <c r="NRS203" s="2"/>
      <c r="NRT203" s="2"/>
      <c r="NRU203" s="2"/>
      <c r="NRV203" s="2"/>
      <c r="NRW203" s="2"/>
      <c r="NRX203" s="2"/>
      <c r="NRY203" s="2"/>
      <c r="NRZ203" s="2"/>
      <c r="NSA203" s="2"/>
      <c r="NSB203" s="2"/>
      <c r="NSC203" s="2"/>
      <c r="NSD203" s="2"/>
      <c r="NSE203" s="2"/>
      <c r="NSF203" s="2"/>
      <c r="NSG203" s="2"/>
      <c r="NSH203" s="2"/>
      <c r="NSI203" s="2"/>
      <c r="NSJ203" s="2"/>
      <c r="NSK203" s="2"/>
      <c r="NSL203" s="2"/>
      <c r="NSM203" s="2"/>
      <c r="NSN203" s="2"/>
      <c r="NSO203" s="2"/>
      <c r="NSP203" s="2"/>
      <c r="NSQ203" s="2"/>
      <c r="NSR203" s="2"/>
      <c r="NSS203" s="2"/>
      <c r="NST203" s="2"/>
      <c r="NSU203" s="2"/>
      <c r="NSV203" s="2"/>
      <c r="NSW203" s="2"/>
      <c r="NSX203" s="2"/>
      <c r="NSY203" s="2"/>
      <c r="NSZ203" s="2"/>
      <c r="NTA203" s="2"/>
      <c r="NTB203" s="2"/>
      <c r="NTC203" s="2"/>
      <c r="NTD203" s="2"/>
      <c r="NTE203" s="2"/>
      <c r="NTF203" s="2"/>
      <c r="NTG203" s="2"/>
      <c r="NTH203" s="2"/>
      <c r="NTI203" s="2"/>
      <c r="NTJ203" s="2"/>
      <c r="NTK203" s="2"/>
      <c r="NTL203" s="2"/>
      <c r="NTM203" s="2"/>
      <c r="NTN203" s="2"/>
      <c r="NTO203" s="2"/>
      <c r="NTP203" s="2"/>
      <c r="NTQ203" s="2"/>
      <c r="NTR203" s="2"/>
      <c r="NTS203" s="2"/>
      <c r="NTT203" s="2"/>
      <c r="NTU203" s="2"/>
      <c r="NTV203" s="2"/>
      <c r="NTW203" s="2"/>
      <c r="NTX203" s="2"/>
      <c r="NTY203" s="2"/>
      <c r="NTZ203" s="2"/>
      <c r="NUA203" s="2"/>
      <c r="NUB203" s="2"/>
      <c r="NUC203" s="2"/>
      <c r="NUD203" s="2"/>
      <c r="NUE203" s="2"/>
      <c r="NUF203" s="2"/>
      <c r="NUG203" s="2"/>
      <c r="NUH203" s="2"/>
      <c r="NUI203" s="2"/>
      <c r="NUJ203" s="2"/>
      <c r="NUK203" s="2"/>
      <c r="NUL203" s="2"/>
      <c r="NUM203" s="2"/>
      <c r="NUN203" s="2"/>
      <c r="NUO203" s="2"/>
      <c r="NUP203" s="2"/>
      <c r="NUQ203" s="2"/>
      <c r="NUR203" s="2"/>
      <c r="NUS203" s="2"/>
      <c r="NUT203" s="2"/>
      <c r="NUU203" s="2"/>
      <c r="NUV203" s="2"/>
      <c r="NUW203" s="2"/>
      <c r="NUX203" s="2"/>
      <c r="NUY203" s="2"/>
      <c r="NUZ203" s="2"/>
      <c r="NVA203" s="2"/>
      <c r="NVB203" s="2"/>
      <c r="NVC203" s="2"/>
      <c r="NVD203" s="2"/>
      <c r="NVE203" s="2"/>
      <c r="NVF203" s="2"/>
      <c r="NVG203" s="2"/>
      <c r="NVH203" s="2"/>
      <c r="NVI203" s="2"/>
      <c r="NVJ203" s="2"/>
      <c r="NVK203" s="2"/>
      <c r="NVL203" s="2"/>
      <c r="NVM203" s="2"/>
      <c r="NVN203" s="2"/>
      <c r="NVO203" s="2"/>
      <c r="NVP203" s="2"/>
      <c r="NVQ203" s="2"/>
      <c r="NVR203" s="2"/>
      <c r="NVS203" s="2"/>
      <c r="NVT203" s="2"/>
      <c r="NVU203" s="2"/>
      <c r="NVV203" s="2"/>
      <c r="NVW203" s="2"/>
      <c r="NVX203" s="2"/>
      <c r="NVY203" s="2"/>
      <c r="NVZ203" s="2"/>
      <c r="NWA203" s="2"/>
      <c r="NWB203" s="2"/>
      <c r="NWC203" s="2"/>
      <c r="NWD203" s="2"/>
      <c r="NWE203" s="2"/>
      <c r="NWF203" s="2"/>
      <c r="NWG203" s="2"/>
      <c r="NWH203" s="2"/>
      <c r="NWI203" s="2"/>
      <c r="NWJ203" s="2"/>
      <c r="NWK203" s="2"/>
      <c r="NWL203" s="2"/>
      <c r="NWM203" s="2"/>
      <c r="NWN203" s="2"/>
      <c r="NWO203" s="2"/>
      <c r="NWP203" s="2"/>
      <c r="NWQ203" s="2"/>
      <c r="NWR203" s="2"/>
      <c r="NWS203" s="2"/>
      <c r="NWT203" s="2"/>
      <c r="NWU203" s="2"/>
      <c r="NWV203" s="2"/>
      <c r="NWW203" s="2"/>
      <c r="NWX203" s="2"/>
      <c r="NWY203" s="2"/>
      <c r="NWZ203" s="2"/>
      <c r="NXA203" s="2"/>
      <c r="NXB203" s="2"/>
      <c r="NXC203" s="2"/>
      <c r="NXD203" s="2"/>
      <c r="NXE203" s="2"/>
      <c r="NXF203" s="2"/>
      <c r="NXG203" s="2"/>
      <c r="NXH203" s="2"/>
      <c r="NXI203" s="2"/>
      <c r="NXJ203" s="2"/>
      <c r="NXK203" s="2"/>
      <c r="NXL203" s="2"/>
      <c r="NXM203" s="2"/>
      <c r="NXN203" s="2"/>
      <c r="NXO203" s="2"/>
      <c r="NXP203" s="2"/>
      <c r="NXQ203" s="2"/>
      <c r="NXR203" s="2"/>
      <c r="NXS203" s="2"/>
      <c r="NXT203" s="2"/>
      <c r="NXU203" s="2"/>
      <c r="NXV203" s="2"/>
      <c r="NXW203" s="2"/>
      <c r="NXX203" s="2"/>
      <c r="NXY203" s="2"/>
      <c r="NXZ203" s="2"/>
      <c r="NYA203" s="2"/>
      <c r="NYB203" s="2"/>
      <c r="NYC203" s="2"/>
      <c r="NYD203" s="2"/>
      <c r="NYE203" s="2"/>
      <c r="NYF203" s="2"/>
      <c r="NYG203" s="2"/>
      <c r="NYH203" s="2"/>
      <c r="NYI203" s="2"/>
      <c r="NYJ203" s="2"/>
      <c r="NYK203" s="2"/>
      <c r="NYL203" s="2"/>
      <c r="NYM203" s="2"/>
      <c r="NYN203" s="2"/>
      <c r="NYO203" s="2"/>
      <c r="NYP203" s="2"/>
      <c r="NYQ203" s="2"/>
      <c r="NYR203" s="2"/>
      <c r="NYS203" s="2"/>
      <c r="NYT203" s="2"/>
      <c r="NYU203" s="2"/>
      <c r="NYV203" s="2"/>
      <c r="NYW203" s="2"/>
      <c r="NYX203" s="2"/>
      <c r="NYY203" s="2"/>
      <c r="NYZ203" s="2"/>
      <c r="NZA203" s="2"/>
      <c r="NZB203" s="2"/>
      <c r="NZC203" s="2"/>
      <c r="NZD203" s="2"/>
      <c r="NZE203" s="2"/>
      <c r="NZF203" s="2"/>
      <c r="NZG203" s="2"/>
      <c r="NZH203" s="2"/>
      <c r="NZI203" s="2"/>
      <c r="NZJ203" s="2"/>
      <c r="NZK203" s="2"/>
      <c r="NZL203" s="2"/>
      <c r="NZM203" s="2"/>
      <c r="NZN203" s="2"/>
      <c r="NZO203" s="2"/>
      <c r="NZP203" s="2"/>
      <c r="NZQ203" s="2"/>
      <c r="NZR203" s="2"/>
      <c r="NZS203" s="2"/>
      <c r="NZT203" s="2"/>
      <c r="NZU203" s="2"/>
      <c r="NZV203" s="2"/>
      <c r="NZW203" s="2"/>
      <c r="NZX203" s="2"/>
      <c r="NZY203" s="2"/>
      <c r="NZZ203" s="2"/>
      <c r="OAA203" s="2"/>
      <c r="OAB203" s="2"/>
      <c r="OAC203" s="2"/>
      <c r="OAD203" s="2"/>
      <c r="OAE203" s="2"/>
      <c r="OAF203" s="2"/>
      <c r="OAG203" s="2"/>
      <c r="OAH203" s="2"/>
      <c r="OAI203" s="2"/>
      <c r="OAJ203" s="2"/>
      <c r="OAK203" s="2"/>
      <c r="OAL203" s="2"/>
      <c r="OAM203" s="2"/>
      <c r="OAN203" s="2"/>
      <c r="OAO203" s="2"/>
      <c r="OAP203" s="2"/>
      <c r="OAQ203" s="2"/>
      <c r="OAR203" s="2"/>
      <c r="OAS203" s="2"/>
      <c r="OAT203" s="2"/>
      <c r="OAU203" s="2"/>
      <c r="OAV203" s="2"/>
      <c r="OAW203" s="2"/>
      <c r="OAX203" s="2"/>
      <c r="OAY203" s="2"/>
      <c r="OAZ203" s="2"/>
      <c r="OBA203" s="2"/>
      <c r="OBB203" s="2"/>
      <c r="OBC203" s="2"/>
      <c r="OBD203" s="2"/>
      <c r="OBE203" s="2"/>
      <c r="OBF203" s="2"/>
      <c r="OBG203" s="2"/>
      <c r="OBH203" s="2"/>
      <c r="OBI203" s="2"/>
      <c r="OBJ203" s="2"/>
      <c r="OBK203" s="2"/>
      <c r="OBL203" s="2"/>
      <c r="OBM203" s="2"/>
      <c r="OBN203" s="2"/>
      <c r="OBO203" s="2"/>
      <c r="OBP203" s="2"/>
      <c r="OBQ203" s="2"/>
      <c r="OBR203" s="2"/>
      <c r="OBS203" s="2"/>
      <c r="OBT203" s="2"/>
      <c r="OBU203" s="2"/>
      <c r="OBV203" s="2"/>
      <c r="OBW203" s="2"/>
      <c r="OBX203" s="2"/>
      <c r="OBY203" s="2"/>
      <c r="OBZ203" s="2"/>
      <c r="OCA203" s="2"/>
      <c r="OCB203" s="2"/>
      <c r="OCC203" s="2"/>
      <c r="OCD203" s="2"/>
      <c r="OCE203" s="2"/>
      <c r="OCF203" s="2"/>
      <c r="OCG203" s="2"/>
      <c r="OCH203" s="2"/>
      <c r="OCI203" s="2"/>
      <c r="OCJ203" s="2"/>
      <c r="OCK203" s="2"/>
      <c r="OCL203" s="2"/>
      <c r="OCM203" s="2"/>
      <c r="OCN203" s="2"/>
      <c r="OCO203" s="2"/>
      <c r="OCP203" s="2"/>
      <c r="OCQ203" s="2"/>
      <c r="OCR203" s="2"/>
      <c r="OCS203" s="2"/>
      <c r="OCT203" s="2"/>
      <c r="OCU203" s="2"/>
      <c r="OCV203" s="2"/>
      <c r="OCW203" s="2"/>
      <c r="OCX203" s="2"/>
      <c r="OCY203" s="2"/>
      <c r="OCZ203" s="2"/>
      <c r="ODA203" s="2"/>
      <c r="ODB203" s="2"/>
      <c r="ODC203" s="2"/>
      <c r="ODD203" s="2"/>
      <c r="ODE203" s="2"/>
      <c r="ODF203" s="2"/>
      <c r="ODG203" s="2"/>
      <c r="ODH203" s="2"/>
      <c r="ODI203" s="2"/>
      <c r="ODJ203" s="2"/>
      <c r="ODK203" s="2"/>
      <c r="ODL203" s="2"/>
      <c r="ODM203" s="2"/>
      <c r="ODN203" s="2"/>
      <c r="ODO203" s="2"/>
      <c r="ODP203" s="2"/>
      <c r="ODQ203" s="2"/>
      <c r="ODR203" s="2"/>
      <c r="ODS203" s="2"/>
      <c r="ODT203" s="2"/>
      <c r="ODU203" s="2"/>
      <c r="ODV203" s="2"/>
      <c r="ODW203" s="2"/>
      <c r="ODX203" s="2"/>
      <c r="ODY203" s="2"/>
      <c r="ODZ203" s="2"/>
      <c r="OEA203" s="2"/>
      <c r="OEB203" s="2"/>
      <c r="OEC203" s="2"/>
      <c r="OED203" s="2"/>
      <c r="OEE203" s="2"/>
      <c r="OEF203" s="2"/>
      <c r="OEG203" s="2"/>
      <c r="OEH203" s="2"/>
      <c r="OEI203" s="2"/>
      <c r="OEJ203" s="2"/>
      <c r="OEK203" s="2"/>
      <c r="OEL203" s="2"/>
      <c r="OEM203" s="2"/>
      <c r="OEN203" s="2"/>
      <c r="OEO203" s="2"/>
      <c r="OEP203" s="2"/>
      <c r="OEQ203" s="2"/>
      <c r="OER203" s="2"/>
      <c r="OES203" s="2"/>
      <c r="OET203" s="2"/>
      <c r="OEU203" s="2"/>
      <c r="OEV203" s="2"/>
      <c r="OEW203" s="2"/>
      <c r="OEX203" s="2"/>
      <c r="OEY203" s="2"/>
      <c r="OEZ203" s="2"/>
      <c r="OFA203" s="2"/>
      <c r="OFB203" s="2"/>
      <c r="OFC203" s="2"/>
      <c r="OFD203" s="2"/>
      <c r="OFE203" s="2"/>
      <c r="OFF203" s="2"/>
      <c r="OFG203" s="2"/>
      <c r="OFH203" s="2"/>
      <c r="OFI203" s="2"/>
      <c r="OFJ203" s="2"/>
      <c r="OFK203" s="2"/>
      <c r="OFL203" s="2"/>
      <c r="OFM203" s="2"/>
      <c r="OFN203" s="2"/>
      <c r="OFO203" s="2"/>
      <c r="OFP203" s="2"/>
      <c r="OFQ203" s="2"/>
      <c r="OFR203" s="2"/>
      <c r="OFS203" s="2"/>
      <c r="OFT203" s="2"/>
      <c r="OFU203" s="2"/>
      <c r="OFV203" s="2"/>
      <c r="OFW203" s="2"/>
      <c r="OFX203" s="2"/>
      <c r="OFY203" s="2"/>
      <c r="OFZ203" s="2"/>
      <c r="OGA203" s="2"/>
      <c r="OGB203" s="2"/>
      <c r="OGC203" s="2"/>
      <c r="OGD203" s="2"/>
      <c r="OGE203" s="2"/>
      <c r="OGF203" s="2"/>
      <c r="OGG203" s="2"/>
      <c r="OGH203" s="2"/>
      <c r="OGI203" s="2"/>
      <c r="OGJ203" s="2"/>
      <c r="OGK203" s="2"/>
      <c r="OGL203" s="2"/>
      <c r="OGM203" s="2"/>
      <c r="OGN203" s="2"/>
      <c r="OGO203" s="2"/>
      <c r="OGP203" s="2"/>
      <c r="OGQ203" s="2"/>
      <c r="OGR203" s="2"/>
      <c r="OGS203" s="2"/>
      <c r="OGT203" s="2"/>
      <c r="OGU203" s="2"/>
      <c r="OGV203" s="2"/>
      <c r="OGW203" s="2"/>
      <c r="OGX203" s="2"/>
      <c r="OGY203" s="2"/>
      <c r="OGZ203" s="2"/>
      <c r="OHA203" s="2"/>
      <c r="OHB203" s="2"/>
      <c r="OHC203" s="2"/>
      <c r="OHD203" s="2"/>
      <c r="OHE203" s="2"/>
      <c r="OHF203" s="2"/>
      <c r="OHG203" s="2"/>
      <c r="OHH203" s="2"/>
      <c r="OHI203" s="2"/>
      <c r="OHJ203" s="2"/>
      <c r="OHK203" s="2"/>
      <c r="OHL203" s="2"/>
      <c r="OHM203" s="2"/>
      <c r="OHN203" s="2"/>
      <c r="OHO203" s="2"/>
      <c r="OHP203" s="2"/>
      <c r="OHQ203" s="2"/>
      <c r="OHR203" s="2"/>
      <c r="OHS203" s="2"/>
      <c r="OHT203" s="2"/>
      <c r="OHU203" s="2"/>
      <c r="OHV203" s="2"/>
      <c r="OHW203" s="2"/>
      <c r="OHX203" s="2"/>
      <c r="OHY203" s="2"/>
      <c r="OHZ203" s="2"/>
      <c r="OIA203" s="2"/>
      <c r="OIB203" s="2"/>
      <c r="OIC203" s="2"/>
      <c r="OID203" s="2"/>
      <c r="OIE203" s="2"/>
      <c r="OIF203" s="2"/>
      <c r="OIG203" s="2"/>
      <c r="OIH203" s="2"/>
      <c r="OII203" s="2"/>
      <c r="OIJ203" s="2"/>
      <c r="OIK203" s="2"/>
      <c r="OIL203" s="2"/>
      <c r="OIM203" s="2"/>
      <c r="OIN203" s="2"/>
      <c r="OIO203" s="2"/>
      <c r="OIP203" s="2"/>
      <c r="OIQ203" s="2"/>
      <c r="OIR203" s="2"/>
      <c r="OIS203" s="2"/>
      <c r="OIT203" s="2"/>
      <c r="OIU203" s="2"/>
      <c r="OIV203" s="2"/>
      <c r="OIW203" s="2"/>
      <c r="OIX203" s="2"/>
      <c r="OIY203" s="2"/>
      <c r="OIZ203" s="2"/>
      <c r="OJA203" s="2"/>
      <c r="OJB203" s="2"/>
      <c r="OJC203" s="2"/>
      <c r="OJD203" s="2"/>
      <c r="OJE203" s="2"/>
      <c r="OJF203" s="2"/>
      <c r="OJG203" s="2"/>
      <c r="OJH203" s="2"/>
      <c r="OJI203" s="2"/>
      <c r="OJJ203" s="2"/>
      <c r="OJK203" s="2"/>
      <c r="OJL203" s="2"/>
      <c r="OJM203" s="2"/>
      <c r="OJN203" s="2"/>
      <c r="OJO203" s="2"/>
      <c r="OJP203" s="2"/>
      <c r="OJQ203" s="2"/>
      <c r="OJR203" s="2"/>
      <c r="OJS203" s="2"/>
      <c r="OJT203" s="2"/>
      <c r="OJU203" s="2"/>
      <c r="OJV203" s="2"/>
      <c r="OJW203" s="2"/>
      <c r="OJX203" s="2"/>
      <c r="OJY203" s="2"/>
      <c r="OJZ203" s="2"/>
      <c r="OKA203" s="2"/>
      <c r="OKB203" s="2"/>
      <c r="OKC203" s="2"/>
      <c r="OKD203" s="2"/>
      <c r="OKE203" s="2"/>
      <c r="OKF203" s="2"/>
      <c r="OKG203" s="2"/>
      <c r="OKH203" s="2"/>
      <c r="OKI203" s="2"/>
      <c r="OKJ203" s="2"/>
      <c r="OKK203" s="2"/>
      <c r="OKL203" s="2"/>
      <c r="OKM203" s="2"/>
      <c r="OKN203" s="2"/>
      <c r="OKO203" s="2"/>
      <c r="OKP203" s="2"/>
      <c r="OKQ203" s="2"/>
      <c r="OKR203" s="2"/>
      <c r="OKS203" s="2"/>
      <c r="OKT203" s="2"/>
      <c r="OKU203" s="2"/>
      <c r="OKV203" s="2"/>
      <c r="OKW203" s="2"/>
      <c r="OKX203" s="2"/>
      <c r="OKY203" s="2"/>
      <c r="OKZ203" s="2"/>
      <c r="OLA203" s="2"/>
      <c r="OLB203" s="2"/>
      <c r="OLC203" s="2"/>
      <c r="OLD203" s="2"/>
      <c r="OLE203" s="2"/>
      <c r="OLF203" s="2"/>
      <c r="OLG203" s="2"/>
      <c r="OLH203" s="2"/>
      <c r="OLI203" s="2"/>
      <c r="OLJ203" s="2"/>
      <c r="OLK203" s="2"/>
      <c r="OLL203" s="2"/>
      <c r="OLM203" s="2"/>
      <c r="OLN203" s="2"/>
      <c r="OLO203" s="2"/>
      <c r="OLP203" s="2"/>
      <c r="OLQ203" s="2"/>
      <c r="OLR203" s="2"/>
      <c r="OLS203" s="2"/>
      <c r="OLT203" s="2"/>
      <c r="OLU203" s="2"/>
      <c r="OLV203" s="2"/>
      <c r="OLW203" s="2"/>
      <c r="OLX203" s="2"/>
      <c r="OLY203" s="2"/>
      <c r="OLZ203" s="2"/>
      <c r="OMA203" s="2"/>
      <c r="OMB203" s="2"/>
      <c r="OMC203" s="2"/>
      <c r="OMD203" s="2"/>
      <c r="OME203" s="2"/>
      <c r="OMF203" s="2"/>
      <c r="OMG203" s="2"/>
      <c r="OMH203" s="2"/>
      <c r="OMI203" s="2"/>
      <c r="OMJ203" s="2"/>
      <c r="OMK203" s="2"/>
      <c r="OML203" s="2"/>
      <c r="OMM203" s="2"/>
      <c r="OMN203" s="2"/>
      <c r="OMO203" s="2"/>
      <c r="OMP203" s="2"/>
      <c r="OMQ203" s="2"/>
      <c r="OMR203" s="2"/>
      <c r="OMS203" s="2"/>
      <c r="OMT203" s="2"/>
      <c r="OMU203" s="2"/>
      <c r="OMV203" s="2"/>
      <c r="OMW203" s="2"/>
      <c r="OMX203" s="2"/>
      <c r="OMY203" s="2"/>
      <c r="OMZ203" s="2"/>
      <c r="ONA203" s="2"/>
      <c r="ONB203" s="2"/>
      <c r="ONC203" s="2"/>
      <c r="OND203" s="2"/>
      <c r="ONE203" s="2"/>
      <c r="ONF203" s="2"/>
      <c r="ONG203" s="2"/>
      <c r="ONH203" s="2"/>
      <c r="ONI203" s="2"/>
      <c r="ONJ203" s="2"/>
      <c r="ONK203" s="2"/>
      <c r="ONL203" s="2"/>
      <c r="ONM203" s="2"/>
      <c r="ONN203" s="2"/>
      <c r="ONO203" s="2"/>
      <c r="ONP203" s="2"/>
      <c r="ONQ203" s="2"/>
      <c r="ONR203" s="2"/>
      <c r="ONS203" s="2"/>
      <c r="ONT203" s="2"/>
      <c r="ONU203" s="2"/>
      <c r="ONV203" s="2"/>
      <c r="ONW203" s="2"/>
      <c r="ONX203" s="2"/>
      <c r="ONY203" s="2"/>
      <c r="ONZ203" s="2"/>
      <c r="OOA203" s="2"/>
      <c r="OOB203" s="2"/>
      <c r="OOC203" s="2"/>
      <c r="OOD203" s="2"/>
      <c r="OOE203" s="2"/>
      <c r="OOF203" s="2"/>
      <c r="OOG203" s="2"/>
      <c r="OOH203" s="2"/>
      <c r="OOI203" s="2"/>
      <c r="OOJ203" s="2"/>
      <c r="OOK203" s="2"/>
      <c r="OOL203" s="2"/>
      <c r="OOM203" s="2"/>
      <c r="OON203" s="2"/>
      <c r="OOO203" s="2"/>
      <c r="OOP203" s="2"/>
      <c r="OOQ203" s="2"/>
      <c r="OOR203" s="2"/>
      <c r="OOS203" s="2"/>
      <c r="OOT203" s="2"/>
      <c r="OOU203" s="2"/>
      <c r="OOV203" s="2"/>
      <c r="OOW203" s="2"/>
      <c r="OOX203" s="2"/>
      <c r="OOY203" s="2"/>
      <c r="OOZ203" s="2"/>
      <c r="OPA203" s="2"/>
      <c r="OPB203" s="2"/>
      <c r="OPC203" s="2"/>
      <c r="OPD203" s="2"/>
      <c r="OPE203" s="2"/>
      <c r="OPF203" s="2"/>
      <c r="OPG203" s="2"/>
      <c r="OPH203" s="2"/>
      <c r="OPI203" s="2"/>
      <c r="OPJ203" s="2"/>
      <c r="OPK203" s="2"/>
      <c r="OPL203" s="2"/>
      <c r="OPM203" s="2"/>
      <c r="OPN203" s="2"/>
      <c r="OPO203" s="2"/>
      <c r="OPP203" s="2"/>
      <c r="OPQ203" s="2"/>
      <c r="OPR203" s="2"/>
      <c r="OPS203" s="2"/>
      <c r="OPT203" s="2"/>
      <c r="OPU203" s="2"/>
      <c r="OPV203" s="2"/>
      <c r="OPW203" s="2"/>
      <c r="OPX203" s="2"/>
      <c r="OPY203" s="2"/>
      <c r="OPZ203" s="2"/>
      <c r="OQA203" s="2"/>
      <c r="OQB203" s="2"/>
      <c r="OQC203" s="2"/>
      <c r="OQD203" s="2"/>
      <c r="OQE203" s="2"/>
      <c r="OQF203" s="2"/>
      <c r="OQG203" s="2"/>
      <c r="OQH203" s="2"/>
      <c r="OQI203" s="2"/>
      <c r="OQJ203" s="2"/>
      <c r="OQK203" s="2"/>
      <c r="OQL203" s="2"/>
      <c r="OQM203" s="2"/>
      <c r="OQN203" s="2"/>
      <c r="OQO203" s="2"/>
      <c r="OQP203" s="2"/>
      <c r="OQQ203" s="2"/>
      <c r="OQR203" s="2"/>
      <c r="OQS203" s="2"/>
      <c r="OQT203" s="2"/>
      <c r="OQU203" s="2"/>
      <c r="OQV203" s="2"/>
      <c r="OQW203" s="2"/>
      <c r="OQX203" s="2"/>
      <c r="OQY203" s="2"/>
      <c r="OQZ203" s="2"/>
      <c r="ORA203" s="2"/>
      <c r="ORB203" s="2"/>
      <c r="ORC203" s="2"/>
      <c r="ORD203" s="2"/>
      <c r="ORE203" s="2"/>
      <c r="ORF203" s="2"/>
      <c r="ORG203" s="2"/>
      <c r="ORH203" s="2"/>
      <c r="ORI203" s="2"/>
      <c r="ORJ203" s="2"/>
      <c r="ORK203" s="2"/>
      <c r="ORL203" s="2"/>
      <c r="ORM203" s="2"/>
      <c r="ORN203" s="2"/>
      <c r="ORO203" s="2"/>
      <c r="ORP203" s="2"/>
      <c r="ORQ203" s="2"/>
      <c r="ORR203" s="2"/>
      <c r="ORS203" s="2"/>
      <c r="ORT203" s="2"/>
      <c r="ORU203" s="2"/>
      <c r="ORV203" s="2"/>
      <c r="ORW203" s="2"/>
      <c r="ORX203" s="2"/>
      <c r="ORY203" s="2"/>
      <c r="ORZ203" s="2"/>
      <c r="OSA203" s="2"/>
      <c r="OSB203" s="2"/>
      <c r="OSC203" s="2"/>
      <c r="OSD203" s="2"/>
      <c r="OSE203" s="2"/>
      <c r="OSF203" s="2"/>
      <c r="OSG203" s="2"/>
      <c r="OSH203" s="2"/>
      <c r="OSI203" s="2"/>
      <c r="OSJ203" s="2"/>
      <c r="OSK203" s="2"/>
      <c r="OSL203" s="2"/>
      <c r="OSM203" s="2"/>
      <c r="OSN203" s="2"/>
      <c r="OSO203" s="2"/>
      <c r="OSP203" s="2"/>
      <c r="OSQ203" s="2"/>
      <c r="OSR203" s="2"/>
      <c r="OSS203" s="2"/>
      <c r="OST203" s="2"/>
      <c r="OSU203" s="2"/>
      <c r="OSV203" s="2"/>
      <c r="OSW203" s="2"/>
      <c r="OSX203" s="2"/>
      <c r="OSY203" s="2"/>
      <c r="OSZ203" s="2"/>
      <c r="OTA203" s="2"/>
      <c r="OTB203" s="2"/>
      <c r="OTC203" s="2"/>
      <c r="OTD203" s="2"/>
      <c r="OTE203" s="2"/>
      <c r="OTF203" s="2"/>
      <c r="OTG203" s="2"/>
      <c r="OTH203" s="2"/>
      <c r="OTI203" s="2"/>
      <c r="OTJ203" s="2"/>
      <c r="OTK203" s="2"/>
      <c r="OTL203" s="2"/>
      <c r="OTM203" s="2"/>
      <c r="OTN203" s="2"/>
      <c r="OTO203" s="2"/>
      <c r="OTP203" s="2"/>
      <c r="OTQ203" s="2"/>
      <c r="OTR203" s="2"/>
      <c r="OTS203" s="2"/>
      <c r="OTT203" s="2"/>
      <c r="OTU203" s="2"/>
      <c r="OTV203" s="2"/>
      <c r="OTW203" s="2"/>
      <c r="OTX203" s="2"/>
      <c r="OTY203" s="2"/>
      <c r="OTZ203" s="2"/>
      <c r="OUA203" s="2"/>
      <c r="OUB203" s="2"/>
      <c r="OUC203" s="2"/>
      <c r="OUD203" s="2"/>
      <c r="OUE203" s="2"/>
      <c r="OUF203" s="2"/>
      <c r="OUG203" s="2"/>
      <c r="OUH203" s="2"/>
      <c r="OUI203" s="2"/>
      <c r="OUJ203" s="2"/>
      <c r="OUK203" s="2"/>
      <c r="OUL203" s="2"/>
      <c r="OUM203" s="2"/>
      <c r="OUN203" s="2"/>
      <c r="OUO203" s="2"/>
      <c r="OUP203" s="2"/>
      <c r="OUQ203" s="2"/>
      <c r="OUR203" s="2"/>
      <c r="OUS203" s="2"/>
      <c r="OUT203" s="2"/>
      <c r="OUU203" s="2"/>
      <c r="OUV203" s="2"/>
      <c r="OUW203" s="2"/>
      <c r="OUX203" s="2"/>
      <c r="OUY203" s="2"/>
      <c r="OUZ203" s="2"/>
      <c r="OVA203" s="2"/>
      <c r="OVB203" s="2"/>
      <c r="OVC203" s="2"/>
      <c r="OVD203" s="2"/>
      <c r="OVE203" s="2"/>
      <c r="OVF203" s="2"/>
      <c r="OVG203" s="2"/>
      <c r="OVH203" s="2"/>
      <c r="OVI203" s="2"/>
      <c r="OVJ203" s="2"/>
      <c r="OVK203" s="2"/>
      <c r="OVL203" s="2"/>
      <c r="OVM203" s="2"/>
      <c r="OVN203" s="2"/>
      <c r="OVO203" s="2"/>
      <c r="OVP203" s="2"/>
      <c r="OVQ203" s="2"/>
      <c r="OVR203" s="2"/>
      <c r="OVS203" s="2"/>
      <c r="OVT203" s="2"/>
      <c r="OVU203" s="2"/>
      <c r="OVV203" s="2"/>
      <c r="OVW203" s="2"/>
      <c r="OVX203" s="2"/>
      <c r="OVY203" s="2"/>
      <c r="OVZ203" s="2"/>
      <c r="OWA203" s="2"/>
      <c r="OWB203" s="2"/>
      <c r="OWC203" s="2"/>
      <c r="OWD203" s="2"/>
      <c r="OWE203" s="2"/>
      <c r="OWF203" s="2"/>
      <c r="OWG203" s="2"/>
      <c r="OWH203" s="2"/>
      <c r="OWI203" s="2"/>
      <c r="OWJ203" s="2"/>
      <c r="OWK203" s="2"/>
      <c r="OWL203" s="2"/>
      <c r="OWM203" s="2"/>
      <c r="OWN203" s="2"/>
      <c r="OWO203" s="2"/>
      <c r="OWP203" s="2"/>
      <c r="OWQ203" s="2"/>
      <c r="OWR203" s="2"/>
      <c r="OWS203" s="2"/>
      <c r="OWT203" s="2"/>
      <c r="OWU203" s="2"/>
      <c r="OWV203" s="2"/>
      <c r="OWW203" s="2"/>
      <c r="OWX203" s="2"/>
      <c r="OWY203" s="2"/>
      <c r="OWZ203" s="2"/>
      <c r="OXA203" s="2"/>
      <c r="OXB203" s="2"/>
      <c r="OXC203" s="2"/>
      <c r="OXD203" s="2"/>
      <c r="OXE203" s="2"/>
      <c r="OXF203" s="2"/>
      <c r="OXG203" s="2"/>
      <c r="OXH203" s="2"/>
      <c r="OXI203" s="2"/>
      <c r="OXJ203" s="2"/>
      <c r="OXK203" s="2"/>
      <c r="OXL203" s="2"/>
      <c r="OXM203" s="2"/>
      <c r="OXN203" s="2"/>
      <c r="OXO203" s="2"/>
      <c r="OXP203" s="2"/>
      <c r="OXQ203" s="2"/>
      <c r="OXR203" s="2"/>
      <c r="OXS203" s="2"/>
      <c r="OXT203" s="2"/>
      <c r="OXU203" s="2"/>
      <c r="OXV203" s="2"/>
      <c r="OXW203" s="2"/>
      <c r="OXX203" s="2"/>
      <c r="OXY203" s="2"/>
      <c r="OXZ203" s="2"/>
      <c r="OYA203" s="2"/>
      <c r="OYB203" s="2"/>
      <c r="OYC203" s="2"/>
      <c r="OYD203" s="2"/>
      <c r="OYE203" s="2"/>
      <c r="OYF203" s="2"/>
      <c r="OYG203" s="2"/>
      <c r="OYH203" s="2"/>
      <c r="OYI203" s="2"/>
      <c r="OYJ203" s="2"/>
      <c r="OYK203" s="2"/>
      <c r="OYL203" s="2"/>
      <c r="OYM203" s="2"/>
      <c r="OYN203" s="2"/>
      <c r="OYO203" s="2"/>
      <c r="OYP203" s="2"/>
      <c r="OYQ203" s="2"/>
      <c r="OYR203" s="2"/>
      <c r="OYS203" s="2"/>
      <c r="OYT203" s="2"/>
      <c r="OYU203" s="2"/>
      <c r="OYV203" s="2"/>
      <c r="OYW203" s="2"/>
      <c r="OYX203" s="2"/>
      <c r="OYY203" s="2"/>
      <c r="OYZ203" s="2"/>
      <c r="OZA203" s="2"/>
      <c r="OZB203" s="2"/>
      <c r="OZC203" s="2"/>
      <c r="OZD203" s="2"/>
      <c r="OZE203" s="2"/>
      <c r="OZF203" s="2"/>
      <c r="OZG203" s="2"/>
      <c r="OZH203" s="2"/>
      <c r="OZI203" s="2"/>
      <c r="OZJ203" s="2"/>
      <c r="OZK203" s="2"/>
      <c r="OZL203" s="2"/>
      <c r="OZM203" s="2"/>
      <c r="OZN203" s="2"/>
      <c r="OZO203" s="2"/>
      <c r="OZP203" s="2"/>
      <c r="OZQ203" s="2"/>
      <c r="OZR203" s="2"/>
      <c r="OZS203" s="2"/>
      <c r="OZT203" s="2"/>
      <c r="OZU203" s="2"/>
      <c r="OZV203" s="2"/>
      <c r="OZW203" s="2"/>
      <c r="OZX203" s="2"/>
      <c r="OZY203" s="2"/>
      <c r="OZZ203" s="2"/>
      <c r="PAA203" s="2"/>
      <c r="PAB203" s="2"/>
      <c r="PAC203" s="2"/>
      <c r="PAD203" s="2"/>
      <c r="PAE203" s="2"/>
      <c r="PAF203" s="2"/>
      <c r="PAG203" s="2"/>
      <c r="PAH203" s="2"/>
      <c r="PAI203" s="2"/>
      <c r="PAJ203" s="2"/>
      <c r="PAK203" s="2"/>
      <c r="PAL203" s="2"/>
      <c r="PAM203" s="2"/>
      <c r="PAN203" s="2"/>
      <c r="PAO203" s="2"/>
      <c r="PAP203" s="2"/>
      <c r="PAQ203" s="2"/>
      <c r="PAR203" s="2"/>
      <c r="PAS203" s="2"/>
      <c r="PAT203" s="2"/>
      <c r="PAU203" s="2"/>
      <c r="PAV203" s="2"/>
      <c r="PAW203" s="2"/>
      <c r="PAX203" s="2"/>
      <c r="PAY203" s="2"/>
      <c r="PAZ203" s="2"/>
      <c r="PBA203" s="2"/>
      <c r="PBB203" s="2"/>
      <c r="PBC203" s="2"/>
      <c r="PBD203" s="2"/>
      <c r="PBE203" s="2"/>
      <c r="PBF203" s="2"/>
      <c r="PBG203" s="2"/>
      <c r="PBH203" s="2"/>
      <c r="PBI203" s="2"/>
      <c r="PBJ203" s="2"/>
      <c r="PBK203" s="2"/>
      <c r="PBL203" s="2"/>
      <c r="PBM203" s="2"/>
      <c r="PBN203" s="2"/>
      <c r="PBO203" s="2"/>
      <c r="PBP203" s="2"/>
      <c r="PBQ203" s="2"/>
      <c r="PBR203" s="2"/>
      <c r="PBS203" s="2"/>
      <c r="PBT203" s="2"/>
      <c r="PBU203" s="2"/>
      <c r="PBV203" s="2"/>
      <c r="PBW203" s="2"/>
      <c r="PBX203" s="2"/>
      <c r="PBY203" s="2"/>
      <c r="PBZ203" s="2"/>
      <c r="PCA203" s="2"/>
      <c r="PCB203" s="2"/>
      <c r="PCC203" s="2"/>
      <c r="PCD203" s="2"/>
      <c r="PCE203" s="2"/>
      <c r="PCF203" s="2"/>
      <c r="PCG203" s="2"/>
      <c r="PCH203" s="2"/>
      <c r="PCI203" s="2"/>
      <c r="PCJ203" s="2"/>
      <c r="PCK203" s="2"/>
      <c r="PCL203" s="2"/>
      <c r="PCM203" s="2"/>
      <c r="PCN203" s="2"/>
      <c r="PCO203" s="2"/>
      <c r="PCP203" s="2"/>
      <c r="PCQ203" s="2"/>
      <c r="PCR203" s="2"/>
      <c r="PCS203" s="2"/>
      <c r="PCT203" s="2"/>
      <c r="PCU203" s="2"/>
      <c r="PCV203" s="2"/>
      <c r="PCW203" s="2"/>
      <c r="PCX203" s="2"/>
      <c r="PCY203" s="2"/>
      <c r="PCZ203" s="2"/>
      <c r="PDA203" s="2"/>
      <c r="PDB203" s="2"/>
      <c r="PDC203" s="2"/>
      <c r="PDD203" s="2"/>
      <c r="PDE203" s="2"/>
      <c r="PDF203" s="2"/>
      <c r="PDG203" s="2"/>
      <c r="PDH203" s="2"/>
      <c r="PDI203" s="2"/>
      <c r="PDJ203" s="2"/>
      <c r="PDK203" s="2"/>
      <c r="PDL203" s="2"/>
      <c r="PDM203" s="2"/>
      <c r="PDN203" s="2"/>
      <c r="PDO203" s="2"/>
      <c r="PDP203" s="2"/>
      <c r="PDQ203" s="2"/>
      <c r="PDR203" s="2"/>
      <c r="PDS203" s="2"/>
      <c r="PDT203" s="2"/>
      <c r="PDU203" s="2"/>
      <c r="PDV203" s="2"/>
      <c r="PDW203" s="2"/>
      <c r="PDX203" s="2"/>
      <c r="PDY203" s="2"/>
      <c r="PDZ203" s="2"/>
      <c r="PEA203" s="2"/>
      <c r="PEB203" s="2"/>
      <c r="PEC203" s="2"/>
      <c r="PED203" s="2"/>
      <c r="PEE203" s="2"/>
      <c r="PEF203" s="2"/>
      <c r="PEG203" s="2"/>
      <c r="PEH203" s="2"/>
      <c r="PEI203" s="2"/>
      <c r="PEJ203" s="2"/>
      <c r="PEK203" s="2"/>
      <c r="PEL203" s="2"/>
      <c r="PEM203" s="2"/>
      <c r="PEN203" s="2"/>
      <c r="PEO203" s="2"/>
      <c r="PEP203" s="2"/>
      <c r="PEQ203" s="2"/>
      <c r="PER203" s="2"/>
      <c r="PES203" s="2"/>
      <c r="PET203" s="2"/>
      <c r="PEU203" s="2"/>
      <c r="PEV203" s="2"/>
      <c r="PEW203" s="2"/>
      <c r="PEX203" s="2"/>
      <c r="PEY203" s="2"/>
      <c r="PEZ203" s="2"/>
      <c r="PFA203" s="2"/>
      <c r="PFB203" s="2"/>
      <c r="PFC203" s="2"/>
      <c r="PFD203" s="2"/>
      <c r="PFE203" s="2"/>
      <c r="PFF203" s="2"/>
      <c r="PFG203" s="2"/>
      <c r="PFH203" s="2"/>
      <c r="PFI203" s="2"/>
      <c r="PFJ203" s="2"/>
      <c r="PFK203" s="2"/>
      <c r="PFL203" s="2"/>
      <c r="PFM203" s="2"/>
      <c r="PFN203" s="2"/>
      <c r="PFO203" s="2"/>
      <c r="PFP203" s="2"/>
      <c r="PFQ203" s="2"/>
      <c r="PFR203" s="2"/>
      <c r="PFS203" s="2"/>
      <c r="PFT203" s="2"/>
      <c r="PFU203" s="2"/>
      <c r="PFV203" s="2"/>
      <c r="PFW203" s="2"/>
      <c r="PFX203" s="2"/>
      <c r="PFY203" s="2"/>
      <c r="PFZ203" s="2"/>
      <c r="PGA203" s="2"/>
      <c r="PGB203" s="2"/>
      <c r="PGC203" s="2"/>
      <c r="PGD203" s="2"/>
      <c r="PGE203" s="2"/>
      <c r="PGF203" s="2"/>
      <c r="PGG203" s="2"/>
      <c r="PGH203" s="2"/>
      <c r="PGI203" s="2"/>
      <c r="PGJ203" s="2"/>
      <c r="PGK203" s="2"/>
      <c r="PGL203" s="2"/>
      <c r="PGM203" s="2"/>
      <c r="PGN203" s="2"/>
      <c r="PGO203" s="2"/>
      <c r="PGP203" s="2"/>
      <c r="PGQ203" s="2"/>
      <c r="PGR203" s="2"/>
      <c r="PGS203" s="2"/>
      <c r="PGT203" s="2"/>
      <c r="PGU203" s="2"/>
      <c r="PGV203" s="2"/>
      <c r="PGW203" s="2"/>
      <c r="PGX203" s="2"/>
      <c r="PGY203" s="2"/>
      <c r="PGZ203" s="2"/>
      <c r="PHA203" s="2"/>
      <c r="PHB203" s="2"/>
      <c r="PHC203" s="2"/>
      <c r="PHD203" s="2"/>
      <c r="PHE203" s="2"/>
      <c r="PHF203" s="2"/>
      <c r="PHG203" s="2"/>
      <c r="PHH203" s="2"/>
      <c r="PHI203" s="2"/>
      <c r="PHJ203" s="2"/>
      <c r="PHK203" s="2"/>
      <c r="PHL203" s="2"/>
      <c r="PHM203" s="2"/>
      <c r="PHN203" s="2"/>
      <c r="PHO203" s="2"/>
      <c r="PHP203" s="2"/>
      <c r="PHQ203" s="2"/>
      <c r="PHR203" s="2"/>
      <c r="PHS203" s="2"/>
      <c r="PHT203" s="2"/>
      <c r="PHU203" s="2"/>
      <c r="PHV203" s="2"/>
      <c r="PHW203" s="2"/>
      <c r="PHX203" s="2"/>
      <c r="PHY203" s="2"/>
      <c r="PHZ203" s="2"/>
      <c r="PIA203" s="2"/>
      <c r="PIB203" s="2"/>
      <c r="PIC203" s="2"/>
      <c r="PID203" s="2"/>
      <c r="PIE203" s="2"/>
      <c r="PIF203" s="2"/>
      <c r="PIG203" s="2"/>
      <c r="PIH203" s="2"/>
      <c r="PII203" s="2"/>
      <c r="PIJ203" s="2"/>
      <c r="PIK203" s="2"/>
      <c r="PIL203" s="2"/>
      <c r="PIM203" s="2"/>
      <c r="PIN203" s="2"/>
      <c r="PIO203" s="2"/>
      <c r="PIP203" s="2"/>
      <c r="PIQ203" s="2"/>
      <c r="PIR203" s="2"/>
      <c r="PIS203" s="2"/>
      <c r="PIT203" s="2"/>
      <c r="PIU203" s="2"/>
      <c r="PIV203" s="2"/>
      <c r="PIW203" s="2"/>
      <c r="PIX203" s="2"/>
      <c r="PIY203" s="2"/>
      <c r="PIZ203" s="2"/>
      <c r="PJA203" s="2"/>
      <c r="PJB203" s="2"/>
      <c r="PJC203" s="2"/>
      <c r="PJD203" s="2"/>
      <c r="PJE203" s="2"/>
      <c r="PJF203" s="2"/>
      <c r="PJG203" s="2"/>
      <c r="PJH203" s="2"/>
      <c r="PJI203" s="2"/>
      <c r="PJJ203" s="2"/>
      <c r="PJK203" s="2"/>
      <c r="PJL203" s="2"/>
      <c r="PJM203" s="2"/>
      <c r="PJN203" s="2"/>
      <c r="PJO203" s="2"/>
      <c r="PJP203" s="2"/>
      <c r="PJQ203" s="2"/>
      <c r="PJR203" s="2"/>
      <c r="PJS203" s="2"/>
      <c r="PJT203" s="2"/>
      <c r="PJU203" s="2"/>
      <c r="PJV203" s="2"/>
      <c r="PJW203" s="2"/>
      <c r="PJX203" s="2"/>
      <c r="PJY203" s="2"/>
      <c r="PJZ203" s="2"/>
      <c r="PKA203" s="2"/>
      <c r="PKB203" s="2"/>
      <c r="PKC203" s="2"/>
      <c r="PKD203" s="2"/>
      <c r="PKE203" s="2"/>
      <c r="PKF203" s="2"/>
      <c r="PKG203" s="2"/>
      <c r="PKH203" s="2"/>
      <c r="PKI203" s="2"/>
      <c r="PKJ203" s="2"/>
      <c r="PKK203" s="2"/>
      <c r="PKL203" s="2"/>
      <c r="PKM203" s="2"/>
      <c r="PKN203" s="2"/>
      <c r="PKO203" s="2"/>
      <c r="PKP203" s="2"/>
      <c r="PKQ203" s="2"/>
      <c r="PKR203" s="2"/>
      <c r="PKS203" s="2"/>
      <c r="PKT203" s="2"/>
      <c r="PKU203" s="2"/>
      <c r="PKV203" s="2"/>
      <c r="PKW203" s="2"/>
      <c r="PKX203" s="2"/>
      <c r="PKY203" s="2"/>
      <c r="PKZ203" s="2"/>
      <c r="PLA203" s="2"/>
      <c r="PLB203" s="2"/>
      <c r="PLC203" s="2"/>
      <c r="PLD203" s="2"/>
      <c r="PLE203" s="2"/>
      <c r="PLF203" s="2"/>
      <c r="PLG203" s="2"/>
      <c r="PLH203" s="2"/>
      <c r="PLI203" s="2"/>
      <c r="PLJ203" s="2"/>
      <c r="PLK203" s="2"/>
      <c r="PLL203" s="2"/>
      <c r="PLM203" s="2"/>
      <c r="PLN203" s="2"/>
      <c r="PLO203" s="2"/>
      <c r="PLP203" s="2"/>
      <c r="PLQ203" s="2"/>
      <c r="PLR203" s="2"/>
      <c r="PLS203" s="2"/>
      <c r="PLT203" s="2"/>
      <c r="PLU203" s="2"/>
      <c r="PLV203" s="2"/>
      <c r="PLW203" s="2"/>
      <c r="PLX203" s="2"/>
      <c r="PLY203" s="2"/>
      <c r="PLZ203" s="2"/>
      <c r="PMA203" s="2"/>
      <c r="PMB203" s="2"/>
      <c r="PMC203" s="2"/>
      <c r="PMD203" s="2"/>
      <c r="PME203" s="2"/>
      <c r="PMF203" s="2"/>
      <c r="PMG203" s="2"/>
      <c r="PMH203" s="2"/>
      <c r="PMI203" s="2"/>
      <c r="PMJ203" s="2"/>
      <c r="PMK203" s="2"/>
      <c r="PML203" s="2"/>
      <c r="PMM203" s="2"/>
      <c r="PMN203" s="2"/>
      <c r="PMO203" s="2"/>
      <c r="PMP203" s="2"/>
      <c r="PMQ203" s="2"/>
      <c r="PMR203" s="2"/>
      <c r="PMS203" s="2"/>
      <c r="PMT203" s="2"/>
      <c r="PMU203" s="2"/>
      <c r="PMV203" s="2"/>
      <c r="PMW203" s="2"/>
      <c r="PMX203" s="2"/>
      <c r="PMY203" s="2"/>
      <c r="PMZ203" s="2"/>
      <c r="PNA203" s="2"/>
      <c r="PNB203" s="2"/>
      <c r="PNC203" s="2"/>
      <c r="PND203" s="2"/>
      <c r="PNE203" s="2"/>
      <c r="PNF203" s="2"/>
      <c r="PNG203" s="2"/>
      <c r="PNH203" s="2"/>
      <c r="PNI203" s="2"/>
      <c r="PNJ203" s="2"/>
      <c r="PNK203" s="2"/>
      <c r="PNL203" s="2"/>
      <c r="PNM203" s="2"/>
      <c r="PNN203" s="2"/>
      <c r="PNO203" s="2"/>
      <c r="PNP203" s="2"/>
      <c r="PNQ203" s="2"/>
      <c r="PNR203" s="2"/>
      <c r="PNS203" s="2"/>
      <c r="PNT203" s="2"/>
      <c r="PNU203" s="2"/>
      <c r="PNV203" s="2"/>
      <c r="PNW203" s="2"/>
      <c r="PNX203" s="2"/>
      <c r="PNY203" s="2"/>
      <c r="PNZ203" s="2"/>
      <c r="POA203" s="2"/>
      <c r="POB203" s="2"/>
      <c r="POC203" s="2"/>
      <c r="POD203" s="2"/>
      <c r="POE203" s="2"/>
      <c r="POF203" s="2"/>
      <c r="POG203" s="2"/>
      <c r="POH203" s="2"/>
      <c r="POI203" s="2"/>
      <c r="POJ203" s="2"/>
      <c r="POK203" s="2"/>
      <c r="POL203" s="2"/>
      <c r="POM203" s="2"/>
      <c r="PON203" s="2"/>
      <c r="POO203" s="2"/>
      <c r="POP203" s="2"/>
      <c r="POQ203" s="2"/>
      <c r="POR203" s="2"/>
      <c r="POS203" s="2"/>
      <c r="POT203" s="2"/>
      <c r="POU203" s="2"/>
      <c r="POV203" s="2"/>
      <c r="POW203" s="2"/>
      <c r="POX203" s="2"/>
      <c r="POY203" s="2"/>
      <c r="POZ203" s="2"/>
      <c r="PPA203" s="2"/>
      <c r="PPB203" s="2"/>
      <c r="PPC203" s="2"/>
      <c r="PPD203" s="2"/>
      <c r="PPE203" s="2"/>
      <c r="PPF203" s="2"/>
      <c r="PPG203" s="2"/>
      <c r="PPH203" s="2"/>
      <c r="PPI203" s="2"/>
      <c r="PPJ203" s="2"/>
      <c r="PPK203" s="2"/>
      <c r="PPL203" s="2"/>
      <c r="PPM203" s="2"/>
      <c r="PPN203" s="2"/>
      <c r="PPO203" s="2"/>
      <c r="PPP203" s="2"/>
      <c r="PPQ203" s="2"/>
      <c r="PPR203" s="2"/>
      <c r="PPS203" s="2"/>
      <c r="PPT203" s="2"/>
      <c r="PPU203" s="2"/>
      <c r="PPV203" s="2"/>
      <c r="PPW203" s="2"/>
      <c r="PPX203" s="2"/>
      <c r="PPY203" s="2"/>
      <c r="PPZ203" s="2"/>
      <c r="PQA203" s="2"/>
      <c r="PQB203" s="2"/>
      <c r="PQC203" s="2"/>
      <c r="PQD203" s="2"/>
      <c r="PQE203" s="2"/>
      <c r="PQF203" s="2"/>
      <c r="PQG203" s="2"/>
      <c r="PQH203" s="2"/>
      <c r="PQI203" s="2"/>
      <c r="PQJ203" s="2"/>
      <c r="PQK203" s="2"/>
      <c r="PQL203" s="2"/>
      <c r="PQM203" s="2"/>
      <c r="PQN203" s="2"/>
      <c r="PQO203" s="2"/>
      <c r="PQP203" s="2"/>
      <c r="PQQ203" s="2"/>
      <c r="PQR203" s="2"/>
      <c r="PQS203" s="2"/>
      <c r="PQT203" s="2"/>
      <c r="PQU203" s="2"/>
      <c r="PQV203" s="2"/>
      <c r="PQW203" s="2"/>
      <c r="PQX203" s="2"/>
      <c r="PQY203" s="2"/>
      <c r="PQZ203" s="2"/>
      <c r="PRA203" s="2"/>
      <c r="PRB203" s="2"/>
      <c r="PRC203" s="2"/>
      <c r="PRD203" s="2"/>
      <c r="PRE203" s="2"/>
      <c r="PRF203" s="2"/>
      <c r="PRG203" s="2"/>
      <c r="PRH203" s="2"/>
      <c r="PRI203" s="2"/>
      <c r="PRJ203" s="2"/>
      <c r="PRK203" s="2"/>
      <c r="PRL203" s="2"/>
      <c r="PRM203" s="2"/>
      <c r="PRN203" s="2"/>
      <c r="PRO203" s="2"/>
      <c r="PRP203" s="2"/>
      <c r="PRQ203" s="2"/>
      <c r="PRR203" s="2"/>
      <c r="PRS203" s="2"/>
      <c r="PRT203" s="2"/>
      <c r="PRU203" s="2"/>
      <c r="PRV203" s="2"/>
      <c r="PRW203" s="2"/>
      <c r="PRX203" s="2"/>
      <c r="PRY203" s="2"/>
      <c r="PRZ203" s="2"/>
      <c r="PSA203" s="2"/>
      <c r="PSB203" s="2"/>
      <c r="PSC203" s="2"/>
      <c r="PSD203" s="2"/>
      <c r="PSE203" s="2"/>
      <c r="PSF203" s="2"/>
      <c r="PSG203" s="2"/>
      <c r="PSH203" s="2"/>
      <c r="PSI203" s="2"/>
      <c r="PSJ203" s="2"/>
      <c r="PSK203" s="2"/>
      <c r="PSL203" s="2"/>
      <c r="PSM203" s="2"/>
      <c r="PSN203" s="2"/>
      <c r="PSO203" s="2"/>
      <c r="PSP203" s="2"/>
      <c r="PSQ203" s="2"/>
      <c r="PSR203" s="2"/>
      <c r="PSS203" s="2"/>
      <c r="PST203" s="2"/>
      <c r="PSU203" s="2"/>
      <c r="PSV203" s="2"/>
      <c r="PSW203" s="2"/>
      <c r="PSX203" s="2"/>
      <c r="PSY203" s="2"/>
      <c r="PSZ203" s="2"/>
      <c r="PTA203" s="2"/>
      <c r="PTB203" s="2"/>
      <c r="PTC203" s="2"/>
      <c r="PTD203" s="2"/>
      <c r="PTE203" s="2"/>
      <c r="PTF203" s="2"/>
      <c r="PTG203" s="2"/>
      <c r="PTH203" s="2"/>
      <c r="PTI203" s="2"/>
      <c r="PTJ203" s="2"/>
      <c r="PTK203" s="2"/>
      <c r="PTL203" s="2"/>
      <c r="PTM203" s="2"/>
      <c r="PTN203" s="2"/>
      <c r="PTO203" s="2"/>
      <c r="PTP203" s="2"/>
      <c r="PTQ203" s="2"/>
      <c r="PTR203" s="2"/>
      <c r="PTS203" s="2"/>
      <c r="PTT203" s="2"/>
      <c r="PTU203" s="2"/>
      <c r="PTV203" s="2"/>
      <c r="PTW203" s="2"/>
      <c r="PTX203" s="2"/>
      <c r="PTY203" s="2"/>
      <c r="PTZ203" s="2"/>
      <c r="PUA203" s="2"/>
      <c r="PUB203" s="2"/>
      <c r="PUC203" s="2"/>
      <c r="PUD203" s="2"/>
      <c r="PUE203" s="2"/>
      <c r="PUF203" s="2"/>
      <c r="PUG203" s="2"/>
      <c r="PUH203" s="2"/>
      <c r="PUI203" s="2"/>
      <c r="PUJ203" s="2"/>
      <c r="PUK203" s="2"/>
      <c r="PUL203" s="2"/>
      <c r="PUM203" s="2"/>
      <c r="PUN203" s="2"/>
      <c r="PUO203" s="2"/>
      <c r="PUP203" s="2"/>
      <c r="PUQ203" s="2"/>
      <c r="PUR203" s="2"/>
      <c r="PUS203" s="2"/>
      <c r="PUT203" s="2"/>
      <c r="PUU203" s="2"/>
      <c r="PUV203" s="2"/>
      <c r="PUW203" s="2"/>
      <c r="PUX203" s="2"/>
      <c r="PUY203" s="2"/>
      <c r="PUZ203" s="2"/>
      <c r="PVA203" s="2"/>
      <c r="PVB203" s="2"/>
      <c r="PVC203" s="2"/>
      <c r="PVD203" s="2"/>
      <c r="PVE203" s="2"/>
      <c r="PVF203" s="2"/>
      <c r="PVG203" s="2"/>
      <c r="PVH203" s="2"/>
      <c r="PVI203" s="2"/>
      <c r="PVJ203" s="2"/>
      <c r="PVK203" s="2"/>
      <c r="PVL203" s="2"/>
      <c r="PVM203" s="2"/>
      <c r="PVN203" s="2"/>
      <c r="PVO203" s="2"/>
      <c r="PVP203" s="2"/>
      <c r="PVQ203" s="2"/>
      <c r="PVR203" s="2"/>
      <c r="PVS203" s="2"/>
      <c r="PVT203" s="2"/>
      <c r="PVU203" s="2"/>
      <c r="PVV203" s="2"/>
      <c r="PVW203" s="2"/>
      <c r="PVX203" s="2"/>
      <c r="PVY203" s="2"/>
      <c r="PVZ203" s="2"/>
      <c r="PWA203" s="2"/>
      <c r="PWB203" s="2"/>
      <c r="PWC203" s="2"/>
      <c r="PWD203" s="2"/>
      <c r="PWE203" s="2"/>
      <c r="PWF203" s="2"/>
      <c r="PWG203" s="2"/>
      <c r="PWH203" s="2"/>
      <c r="PWI203" s="2"/>
      <c r="PWJ203" s="2"/>
      <c r="PWK203" s="2"/>
      <c r="PWL203" s="2"/>
      <c r="PWM203" s="2"/>
      <c r="PWN203" s="2"/>
      <c r="PWO203" s="2"/>
      <c r="PWP203" s="2"/>
      <c r="PWQ203" s="2"/>
      <c r="PWR203" s="2"/>
      <c r="PWS203" s="2"/>
      <c r="PWT203" s="2"/>
      <c r="PWU203" s="2"/>
      <c r="PWV203" s="2"/>
      <c r="PWW203" s="2"/>
      <c r="PWX203" s="2"/>
      <c r="PWY203" s="2"/>
      <c r="PWZ203" s="2"/>
      <c r="PXA203" s="2"/>
      <c r="PXB203" s="2"/>
      <c r="PXC203" s="2"/>
      <c r="PXD203" s="2"/>
      <c r="PXE203" s="2"/>
      <c r="PXF203" s="2"/>
      <c r="PXG203" s="2"/>
      <c r="PXH203" s="2"/>
      <c r="PXI203" s="2"/>
      <c r="PXJ203" s="2"/>
      <c r="PXK203" s="2"/>
      <c r="PXL203" s="2"/>
      <c r="PXM203" s="2"/>
      <c r="PXN203" s="2"/>
      <c r="PXO203" s="2"/>
      <c r="PXP203" s="2"/>
      <c r="PXQ203" s="2"/>
      <c r="PXR203" s="2"/>
      <c r="PXS203" s="2"/>
      <c r="PXT203" s="2"/>
      <c r="PXU203" s="2"/>
      <c r="PXV203" s="2"/>
      <c r="PXW203" s="2"/>
      <c r="PXX203" s="2"/>
      <c r="PXY203" s="2"/>
      <c r="PXZ203" s="2"/>
      <c r="PYA203" s="2"/>
      <c r="PYB203" s="2"/>
      <c r="PYC203" s="2"/>
      <c r="PYD203" s="2"/>
      <c r="PYE203" s="2"/>
      <c r="PYF203" s="2"/>
      <c r="PYG203" s="2"/>
      <c r="PYH203" s="2"/>
      <c r="PYI203" s="2"/>
      <c r="PYJ203" s="2"/>
      <c r="PYK203" s="2"/>
      <c r="PYL203" s="2"/>
      <c r="PYM203" s="2"/>
      <c r="PYN203" s="2"/>
      <c r="PYO203" s="2"/>
      <c r="PYP203" s="2"/>
      <c r="PYQ203" s="2"/>
      <c r="PYR203" s="2"/>
      <c r="PYS203" s="2"/>
      <c r="PYT203" s="2"/>
      <c r="PYU203" s="2"/>
      <c r="PYV203" s="2"/>
      <c r="PYW203" s="2"/>
      <c r="PYX203" s="2"/>
      <c r="PYY203" s="2"/>
      <c r="PYZ203" s="2"/>
      <c r="PZA203" s="2"/>
      <c r="PZB203" s="2"/>
      <c r="PZC203" s="2"/>
      <c r="PZD203" s="2"/>
      <c r="PZE203" s="2"/>
      <c r="PZF203" s="2"/>
      <c r="PZG203" s="2"/>
      <c r="PZH203" s="2"/>
      <c r="PZI203" s="2"/>
      <c r="PZJ203" s="2"/>
      <c r="PZK203" s="2"/>
      <c r="PZL203" s="2"/>
      <c r="PZM203" s="2"/>
      <c r="PZN203" s="2"/>
      <c r="PZO203" s="2"/>
      <c r="PZP203" s="2"/>
      <c r="PZQ203" s="2"/>
      <c r="PZR203" s="2"/>
      <c r="PZS203" s="2"/>
      <c r="PZT203" s="2"/>
      <c r="PZU203" s="2"/>
      <c r="PZV203" s="2"/>
      <c r="PZW203" s="2"/>
      <c r="PZX203" s="2"/>
      <c r="PZY203" s="2"/>
      <c r="PZZ203" s="2"/>
      <c r="QAA203" s="2"/>
      <c r="QAB203" s="2"/>
      <c r="QAC203" s="2"/>
      <c r="QAD203" s="2"/>
      <c r="QAE203" s="2"/>
      <c r="QAF203" s="2"/>
      <c r="QAG203" s="2"/>
      <c r="QAH203" s="2"/>
      <c r="QAI203" s="2"/>
      <c r="QAJ203" s="2"/>
      <c r="QAK203" s="2"/>
      <c r="QAL203" s="2"/>
      <c r="QAM203" s="2"/>
      <c r="QAN203" s="2"/>
      <c r="QAO203" s="2"/>
      <c r="QAP203" s="2"/>
      <c r="QAQ203" s="2"/>
      <c r="QAR203" s="2"/>
      <c r="QAS203" s="2"/>
      <c r="QAT203" s="2"/>
      <c r="QAU203" s="2"/>
      <c r="QAV203" s="2"/>
      <c r="QAW203" s="2"/>
      <c r="QAX203" s="2"/>
      <c r="QAY203" s="2"/>
      <c r="QAZ203" s="2"/>
      <c r="QBA203" s="2"/>
      <c r="QBB203" s="2"/>
      <c r="QBC203" s="2"/>
      <c r="QBD203" s="2"/>
      <c r="QBE203" s="2"/>
      <c r="QBF203" s="2"/>
      <c r="QBG203" s="2"/>
      <c r="QBH203" s="2"/>
      <c r="QBI203" s="2"/>
      <c r="QBJ203" s="2"/>
      <c r="QBK203" s="2"/>
      <c r="QBL203" s="2"/>
      <c r="QBM203" s="2"/>
      <c r="QBN203" s="2"/>
      <c r="QBO203" s="2"/>
      <c r="QBP203" s="2"/>
      <c r="QBQ203" s="2"/>
      <c r="QBR203" s="2"/>
      <c r="QBS203" s="2"/>
      <c r="QBT203" s="2"/>
      <c r="QBU203" s="2"/>
      <c r="QBV203" s="2"/>
      <c r="QBW203" s="2"/>
      <c r="QBX203" s="2"/>
      <c r="QBY203" s="2"/>
      <c r="QBZ203" s="2"/>
      <c r="QCA203" s="2"/>
      <c r="QCB203" s="2"/>
      <c r="QCC203" s="2"/>
      <c r="QCD203" s="2"/>
      <c r="QCE203" s="2"/>
      <c r="QCF203" s="2"/>
      <c r="QCG203" s="2"/>
      <c r="QCH203" s="2"/>
      <c r="QCI203" s="2"/>
      <c r="QCJ203" s="2"/>
      <c r="QCK203" s="2"/>
      <c r="QCL203" s="2"/>
      <c r="QCM203" s="2"/>
      <c r="QCN203" s="2"/>
      <c r="QCO203" s="2"/>
      <c r="QCP203" s="2"/>
      <c r="QCQ203" s="2"/>
      <c r="QCR203" s="2"/>
      <c r="QCS203" s="2"/>
      <c r="QCT203" s="2"/>
      <c r="QCU203" s="2"/>
      <c r="QCV203" s="2"/>
      <c r="QCW203" s="2"/>
      <c r="QCX203" s="2"/>
      <c r="QCY203" s="2"/>
      <c r="QCZ203" s="2"/>
      <c r="QDA203" s="2"/>
      <c r="QDB203" s="2"/>
      <c r="QDC203" s="2"/>
      <c r="QDD203" s="2"/>
      <c r="QDE203" s="2"/>
      <c r="QDF203" s="2"/>
      <c r="QDG203" s="2"/>
      <c r="QDH203" s="2"/>
      <c r="QDI203" s="2"/>
      <c r="QDJ203" s="2"/>
      <c r="QDK203" s="2"/>
      <c r="QDL203" s="2"/>
      <c r="QDM203" s="2"/>
      <c r="QDN203" s="2"/>
      <c r="QDO203" s="2"/>
      <c r="QDP203" s="2"/>
      <c r="QDQ203" s="2"/>
      <c r="QDR203" s="2"/>
      <c r="QDS203" s="2"/>
      <c r="QDT203" s="2"/>
      <c r="QDU203" s="2"/>
      <c r="QDV203" s="2"/>
      <c r="QDW203" s="2"/>
      <c r="QDX203" s="2"/>
      <c r="QDY203" s="2"/>
      <c r="QDZ203" s="2"/>
      <c r="QEA203" s="2"/>
      <c r="QEB203" s="2"/>
      <c r="QEC203" s="2"/>
      <c r="QED203" s="2"/>
      <c r="QEE203" s="2"/>
      <c r="QEF203" s="2"/>
      <c r="QEG203" s="2"/>
      <c r="QEH203" s="2"/>
      <c r="QEI203" s="2"/>
      <c r="QEJ203" s="2"/>
      <c r="QEK203" s="2"/>
      <c r="QEL203" s="2"/>
      <c r="QEM203" s="2"/>
      <c r="QEN203" s="2"/>
      <c r="QEO203" s="2"/>
      <c r="QEP203" s="2"/>
      <c r="QEQ203" s="2"/>
      <c r="QER203" s="2"/>
      <c r="QES203" s="2"/>
      <c r="QET203" s="2"/>
      <c r="QEU203" s="2"/>
      <c r="QEV203" s="2"/>
      <c r="QEW203" s="2"/>
      <c r="QEX203" s="2"/>
      <c r="QEY203" s="2"/>
      <c r="QEZ203" s="2"/>
      <c r="QFA203" s="2"/>
      <c r="QFB203" s="2"/>
      <c r="QFC203" s="2"/>
      <c r="QFD203" s="2"/>
      <c r="QFE203" s="2"/>
      <c r="QFF203" s="2"/>
      <c r="QFG203" s="2"/>
      <c r="QFH203" s="2"/>
      <c r="QFI203" s="2"/>
      <c r="QFJ203" s="2"/>
      <c r="QFK203" s="2"/>
      <c r="QFL203" s="2"/>
      <c r="QFM203" s="2"/>
      <c r="QFN203" s="2"/>
      <c r="QFO203" s="2"/>
      <c r="QFP203" s="2"/>
      <c r="QFQ203" s="2"/>
      <c r="QFR203" s="2"/>
      <c r="QFS203" s="2"/>
      <c r="QFT203" s="2"/>
      <c r="QFU203" s="2"/>
      <c r="QFV203" s="2"/>
      <c r="QFW203" s="2"/>
      <c r="QFX203" s="2"/>
      <c r="QFY203" s="2"/>
      <c r="QFZ203" s="2"/>
      <c r="QGA203" s="2"/>
      <c r="QGB203" s="2"/>
      <c r="QGC203" s="2"/>
      <c r="QGD203" s="2"/>
      <c r="QGE203" s="2"/>
      <c r="QGF203" s="2"/>
      <c r="QGG203" s="2"/>
      <c r="QGH203" s="2"/>
      <c r="QGI203" s="2"/>
      <c r="QGJ203" s="2"/>
      <c r="QGK203" s="2"/>
      <c r="QGL203" s="2"/>
      <c r="QGM203" s="2"/>
      <c r="QGN203" s="2"/>
      <c r="QGO203" s="2"/>
      <c r="QGP203" s="2"/>
      <c r="QGQ203" s="2"/>
      <c r="QGR203" s="2"/>
      <c r="QGS203" s="2"/>
      <c r="QGT203" s="2"/>
      <c r="QGU203" s="2"/>
      <c r="QGV203" s="2"/>
      <c r="QGW203" s="2"/>
      <c r="QGX203" s="2"/>
      <c r="QGY203" s="2"/>
      <c r="QGZ203" s="2"/>
      <c r="QHA203" s="2"/>
      <c r="QHB203" s="2"/>
      <c r="QHC203" s="2"/>
      <c r="QHD203" s="2"/>
      <c r="QHE203" s="2"/>
      <c r="QHF203" s="2"/>
      <c r="QHG203" s="2"/>
      <c r="QHH203" s="2"/>
      <c r="QHI203" s="2"/>
      <c r="QHJ203" s="2"/>
      <c r="QHK203" s="2"/>
      <c r="QHL203" s="2"/>
      <c r="QHM203" s="2"/>
      <c r="QHN203" s="2"/>
      <c r="QHO203" s="2"/>
      <c r="QHP203" s="2"/>
      <c r="QHQ203" s="2"/>
      <c r="QHR203" s="2"/>
      <c r="QHS203" s="2"/>
      <c r="QHT203" s="2"/>
      <c r="QHU203" s="2"/>
      <c r="QHV203" s="2"/>
      <c r="QHW203" s="2"/>
      <c r="QHX203" s="2"/>
      <c r="QHY203" s="2"/>
      <c r="QHZ203" s="2"/>
      <c r="QIA203" s="2"/>
      <c r="QIB203" s="2"/>
      <c r="QIC203" s="2"/>
      <c r="QID203" s="2"/>
      <c r="QIE203" s="2"/>
      <c r="QIF203" s="2"/>
      <c r="QIG203" s="2"/>
      <c r="QIH203" s="2"/>
      <c r="QII203" s="2"/>
      <c r="QIJ203" s="2"/>
      <c r="QIK203" s="2"/>
      <c r="QIL203" s="2"/>
      <c r="QIM203" s="2"/>
      <c r="QIN203" s="2"/>
      <c r="QIO203" s="2"/>
      <c r="QIP203" s="2"/>
      <c r="QIQ203" s="2"/>
      <c r="QIR203" s="2"/>
      <c r="QIS203" s="2"/>
      <c r="QIT203" s="2"/>
      <c r="QIU203" s="2"/>
      <c r="QIV203" s="2"/>
      <c r="QIW203" s="2"/>
      <c r="QIX203" s="2"/>
      <c r="QIY203" s="2"/>
      <c r="QIZ203" s="2"/>
      <c r="QJA203" s="2"/>
      <c r="QJB203" s="2"/>
      <c r="QJC203" s="2"/>
      <c r="QJD203" s="2"/>
      <c r="QJE203" s="2"/>
      <c r="QJF203" s="2"/>
      <c r="QJG203" s="2"/>
      <c r="QJH203" s="2"/>
      <c r="QJI203" s="2"/>
      <c r="QJJ203" s="2"/>
      <c r="QJK203" s="2"/>
      <c r="QJL203" s="2"/>
      <c r="QJM203" s="2"/>
      <c r="QJN203" s="2"/>
      <c r="QJO203" s="2"/>
      <c r="QJP203" s="2"/>
      <c r="QJQ203" s="2"/>
      <c r="QJR203" s="2"/>
      <c r="QJS203" s="2"/>
      <c r="QJT203" s="2"/>
      <c r="QJU203" s="2"/>
      <c r="QJV203" s="2"/>
      <c r="QJW203" s="2"/>
      <c r="QJX203" s="2"/>
      <c r="QJY203" s="2"/>
      <c r="QJZ203" s="2"/>
      <c r="QKA203" s="2"/>
      <c r="QKB203" s="2"/>
      <c r="QKC203" s="2"/>
      <c r="QKD203" s="2"/>
      <c r="QKE203" s="2"/>
      <c r="QKF203" s="2"/>
      <c r="QKG203" s="2"/>
      <c r="QKH203" s="2"/>
      <c r="QKI203" s="2"/>
      <c r="QKJ203" s="2"/>
      <c r="QKK203" s="2"/>
      <c r="QKL203" s="2"/>
      <c r="QKM203" s="2"/>
      <c r="QKN203" s="2"/>
      <c r="QKO203" s="2"/>
      <c r="QKP203" s="2"/>
      <c r="QKQ203" s="2"/>
      <c r="QKR203" s="2"/>
      <c r="QKS203" s="2"/>
      <c r="QKT203" s="2"/>
      <c r="QKU203" s="2"/>
      <c r="QKV203" s="2"/>
      <c r="QKW203" s="2"/>
      <c r="QKX203" s="2"/>
      <c r="QKY203" s="2"/>
      <c r="QKZ203" s="2"/>
      <c r="QLA203" s="2"/>
      <c r="QLB203" s="2"/>
      <c r="QLC203" s="2"/>
      <c r="QLD203" s="2"/>
      <c r="QLE203" s="2"/>
      <c r="QLF203" s="2"/>
      <c r="QLG203" s="2"/>
      <c r="QLH203" s="2"/>
      <c r="QLI203" s="2"/>
      <c r="QLJ203" s="2"/>
      <c r="QLK203" s="2"/>
      <c r="QLL203" s="2"/>
      <c r="QLM203" s="2"/>
      <c r="QLN203" s="2"/>
      <c r="QLO203" s="2"/>
      <c r="QLP203" s="2"/>
      <c r="QLQ203" s="2"/>
      <c r="QLR203" s="2"/>
      <c r="QLS203" s="2"/>
      <c r="QLT203" s="2"/>
      <c r="QLU203" s="2"/>
      <c r="QLV203" s="2"/>
      <c r="QLW203" s="2"/>
      <c r="QLX203" s="2"/>
      <c r="QLY203" s="2"/>
      <c r="QLZ203" s="2"/>
      <c r="QMA203" s="2"/>
      <c r="QMB203" s="2"/>
      <c r="QMC203" s="2"/>
      <c r="QMD203" s="2"/>
      <c r="QME203" s="2"/>
      <c r="QMF203" s="2"/>
      <c r="QMG203" s="2"/>
      <c r="QMH203" s="2"/>
      <c r="QMI203" s="2"/>
      <c r="QMJ203" s="2"/>
      <c r="QMK203" s="2"/>
      <c r="QML203" s="2"/>
      <c r="QMM203" s="2"/>
      <c r="QMN203" s="2"/>
      <c r="QMO203" s="2"/>
      <c r="QMP203" s="2"/>
      <c r="QMQ203" s="2"/>
      <c r="QMR203" s="2"/>
      <c r="QMS203" s="2"/>
      <c r="QMT203" s="2"/>
      <c r="QMU203" s="2"/>
      <c r="QMV203" s="2"/>
      <c r="QMW203" s="2"/>
      <c r="QMX203" s="2"/>
      <c r="QMY203" s="2"/>
      <c r="QMZ203" s="2"/>
      <c r="QNA203" s="2"/>
      <c r="QNB203" s="2"/>
      <c r="QNC203" s="2"/>
      <c r="QND203" s="2"/>
      <c r="QNE203" s="2"/>
      <c r="QNF203" s="2"/>
      <c r="QNG203" s="2"/>
      <c r="QNH203" s="2"/>
      <c r="QNI203" s="2"/>
      <c r="QNJ203" s="2"/>
      <c r="QNK203" s="2"/>
      <c r="QNL203" s="2"/>
      <c r="QNM203" s="2"/>
      <c r="QNN203" s="2"/>
      <c r="QNO203" s="2"/>
      <c r="QNP203" s="2"/>
      <c r="QNQ203" s="2"/>
      <c r="QNR203" s="2"/>
      <c r="QNS203" s="2"/>
      <c r="QNT203" s="2"/>
      <c r="QNU203" s="2"/>
      <c r="QNV203" s="2"/>
      <c r="QNW203" s="2"/>
      <c r="QNX203" s="2"/>
      <c r="QNY203" s="2"/>
      <c r="QNZ203" s="2"/>
      <c r="QOA203" s="2"/>
      <c r="QOB203" s="2"/>
      <c r="QOC203" s="2"/>
      <c r="QOD203" s="2"/>
      <c r="QOE203" s="2"/>
      <c r="QOF203" s="2"/>
      <c r="QOG203" s="2"/>
      <c r="QOH203" s="2"/>
      <c r="QOI203" s="2"/>
      <c r="QOJ203" s="2"/>
      <c r="QOK203" s="2"/>
      <c r="QOL203" s="2"/>
      <c r="QOM203" s="2"/>
      <c r="QON203" s="2"/>
      <c r="QOO203" s="2"/>
      <c r="QOP203" s="2"/>
      <c r="QOQ203" s="2"/>
      <c r="QOR203" s="2"/>
      <c r="QOS203" s="2"/>
      <c r="QOT203" s="2"/>
      <c r="QOU203" s="2"/>
      <c r="QOV203" s="2"/>
      <c r="QOW203" s="2"/>
      <c r="QOX203" s="2"/>
      <c r="QOY203" s="2"/>
      <c r="QOZ203" s="2"/>
      <c r="QPA203" s="2"/>
      <c r="QPB203" s="2"/>
      <c r="QPC203" s="2"/>
      <c r="QPD203" s="2"/>
      <c r="QPE203" s="2"/>
      <c r="QPF203" s="2"/>
      <c r="QPG203" s="2"/>
      <c r="QPH203" s="2"/>
      <c r="QPI203" s="2"/>
      <c r="QPJ203" s="2"/>
      <c r="QPK203" s="2"/>
      <c r="QPL203" s="2"/>
      <c r="QPM203" s="2"/>
      <c r="QPN203" s="2"/>
      <c r="QPO203" s="2"/>
      <c r="QPP203" s="2"/>
      <c r="QPQ203" s="2"/>
      <c r="QPR203" s="2"/>
      <c r="QPS203" s="2"/>
      <c r="QPT203" s="2"/>
      <c r="QPU203" s="2"/>
      <c r="QPV203" s="2"/>
      <c r="QPW203" s="2"/>
      <c r="QPX203" s="2"/>
      <c r="QPY203" s="2"/>
      <c r="QPZ203" s="2"/>
      <c r="QQA203" s="2"/>
      <c r="QQB203" s="2"/>
      <c r="QQC203" s="2"/>
      <c r="QQD203" s="2"/>
      <c r="QQE203" s="2"/>
      <c r="QQF203" s="2"/>
      <c r="QQG203" s="2"/>
      <c r="QQH203" s="2"/>
      <c r="QQI203" s="2"/>
      <c r="QQJ203" s="2"/>
      <c r="QQK203" s="2"/>
      <c r="QQL203" s="2"/>
      <c r="QQM203" s="2"/>
      <c r="QQN203" s="2"/>
      <c r="QQO203" s="2"/>
      <c r="QQP203" s="2"/>
      <c r="QQQ203" s="2"/>
      <c r="QQR203" s="2"/>
      <c r="QQS203" s="2"/>
      <c r="QQT203" s="2"/>
      <c r="QQU203" s="2"/>
      <c r="QQV203" s="2"/>
      <c r="QQW203" s="2"/>
      <c r="QQX203" s="2"/>
      <c r="QQY203" s="2"/>
      <c r="QQZ203" s="2"/>
      <c r="QRA203" s="2"/>
      <c r="QRB203" s="2"/>
      <c r="QRC203" s="2"/>
      <c r="QRD203" s="2"/>
      <c r="QRE203" s="2"/>
      <c r="QRF203" s="2"/>
      <c r="QRG203" s="2"/>
      <c r="QRH203" s="2"/>
      <c r="QRI203" s="2"/>
      <c r="QRJ203" s="2"/>
      <c r="QRK203" s="2"/>
      <c r="QRL203" s="2"/>
      <c r="QRM203" s="2"/>
      <c r="QRN203" s="2"/>
      <c r="QRO203" s="2"/>
      <c r="QRP203" s="2"/>
      <c r="QRQ203" s="2"/>
      <c r="QRR203" s="2"/>
      <c r="QRS203" s="2"/>
      <c r="QRT203" s="2"/>
      <c r="QRU203" s="2"/>
      <c r="QRV203" s="2"/>
      <c r="QRW203" s="2"/>
      <c r="QRX203" s="2"/>
      <c r="QRY203" s="2"/>
      <c r="QRZ203" s="2"/>
      <c r="QSA203" s="2"/>
      <c r="QSB203" s="2"/>
      <c r="QSC203" s="2"/>
      <c r="QSD203" s="2"/>
      <c r="QSE203" s="2"/>
      <c r="QSF203" s="2"/>
      <c r="QSG203" s="2"/>
      <c r="QSH203" s="2"/>
      <c r="QSI203" s="2"/>
      <c r="QSJ203" s="2"/>
      <c r="QSK203" s="2"/>
      <c r="QSL203" s="2"/>
      <c r="QSM203" s="2"/>
      <c r="QSN203" s="2"/>
      <c r="QSO203" s="2"/>
      <c r="QSP203" s="2"/>
      <c r="QSQ203" s="2"/>
      <c r="QSR203" s="2"/>
      <c r="QSS203" s="2"/>
      <c r="QST203" s="2"/>
      <c r="QSU203" s="2"/>
      <c r="QSV203" s="2"/>
      <c r="QSW203" s="2"/>
      <c r="QSX203" s="2"/>
      <c r="QSY203" s="2"/>
      <c r="QSZ203" s="2"/>
      <c r="QTA203" s="2"/>
      <c r="QTB203" s="2"/>
      <c r="QTC203" s="2"/>
      <c r="QTD203" s="2"/>
      <c r="QTE203" s="2"/>
      <c r="QTF203" s="2"/>
      <c r="QTG203" s="2"/>
      <c r="QTH203" s="2"/>
      <c r="QTI203" s="2"/>
      <c r="QTJ203" s="2"/>
      <c r="QTK203" s="2"/>
      <c r="QTL203" s="2"/>
      <c r="QTM203" s="2"/>
      <c r="QTN203" s="2"/>
      <c r="QTO203" s="2"/>
      <c r="QTP203" s="2"/>
      <c r="QTQ203" s="2"/>
      <c r="QTR203" s="2"/>
      <c r="QTS203" s="2"/>
      <c r="QTT203" s="2"/>
      <c r="QTU203" s="2"/>
      <c r="QTV203" s="2"/>
      <c r="QTW203" s="2"/>
      <c r="QTX203" s="2"/>
      <c r="QTY203" s="2"/>
      <c r="QTZ203" s="2"/>
      <c r="QUA203" s="2"/>
      <c r="QUB203" s="2"/>
      <c r="QUC203" s="2"/>
      <c r="QUD203" s="2"/>
      <c r="QUE203" s="2"/>
      <c r="QUF203" s="2"/>
      <c r="QUG203" s="2"/>
      <c r="QUH203" s="2"/>
      <c r="QUI203" s="2"/>
      <c r="QUJ203" s="2"/>
      <c r="QUK203" s="2"/>
      <c r="QUL203" s="2"/>
      <c r="QUM203" s="2"/>
      <c r="QUN203" s="2"/>
      <c r="QUO203" s="2"/>
      <c r="QUP203" s="2"/>
      <c r="QUQ203" s="2"/>
      <c r="QUR203" s="2"/>
      <c r="QUS203" s="2"/>
      <c r="QUT203" s="2"/>
      <c r="QUU203" s="2"/>
      <c r="QUV203" s="2"/>
      <c r="QUW203" s="2"/>
      <c r="QUX203" s="2"/>
      <c r="QUY203" s="2"/>
      <c r="QUZ203" s="2"/>
      <c r="QVA203" s="2"/>
      <c r="QVB203" s="2"/>
      <c r="QVC203" s="2"/>
      <c r="QVD203" s="2"/>
      <c r="QVE203" s="2"/>
      <c r="QVF203" s="2"/>
      <c r="QVG203" s="2"/>
      <c r="QVH203" s="2"/>
      <c r="QVI203" s="2"/>
      <c r="QVJ203" s="2"/>
      <c r="QVK203" s="2"/>
      <c r="QVL203" s="2"/>
      <c r="QVM203" s="2"/>
      <c r="QVN203" s="2"/>
      <c r="QVO203" s="2"/>
      <c r="QVP203" s="2"/>
      <c r="QVQ203" s="2"/>
      <c r="QVR203" s="2"/>
      <c r="QVS203" s="2"/>
      <c r="QVT203" s="2"/>
      <c r="QVU203" s="2"/>
      <c r="QVV203" s="2"/>
      <c r="QVW203" s="2"/>
      <c r="QVX203" s="2"/>
      <c r="QVY203" s="2"/>
      <c r="QVZ203" s="2"/>
      <c r="QWA203" s="2"/>
      <c r="QWB203" s="2"/>
      <c r="QWC203" s="2"/>
      <c r="QWD203" s="2"/>
      <c r="QWE203" s="2"/>
      <c r="QWF203" s="2"/>
      <c r="QWG203" s="2"/>
      <c r="QWH203" s="2"/>
      <c r="QWI203" s="2"/>
      <c r="QWJ203" s="2"/>
      <c r="QWK203" s="2"/>
      <c r="QWL203" s="2"/>
      <c r="QWM203" s="2"/>
      <c r="QWN203" s="2"/>
      <c r="QWO203" s="2"/>
      <c r="QWP203" s="2"/>
      <c r="QWQ203" s="2"/>
      <c r="QWR203" s="2"/>
      <c r="QWS203" s="2"/>
      <c r="QWT203" s="2"/>
      <c r="QWU203" s="2"/>
      <c r="QWV203" s="2"/>
      <c r="QWW203" s="2"/>
      <c r="QWX203" s="2"/>
      <c r="QWY203" s="2"/>
      <c r="QWZ203" s="2"/>
      <c r="QXA203" s="2"/>
      <c r="QXB203" s="2"/>
      <c r="QXC203" s="2"/>
      <c r="QXD203" s="2"/>
      <c r="QXE203" s="2"/>
      <c r="QXF203" s="2"/>
      <c r="QXG203" s="2"/>
      <c r="QXH203" s="2"/>
      <c r="QXI203" s="2"/>
      <c r="QXJ203" s="2"/>
      <c r="QXK203" s="2"/>
      <c r="QXL203" s="2"/>
      <c r="QXM203" s="2"/>
      <c r="QXN203" s="2"/>
      <c r="QXO203" s="2"/>
      <c r="QXP203" s="2"/>
      <c r="QXQ203" s="2"/>
      <c r="QXR203" s="2"/>
      <c r="QXS203" s="2"/>
      <c r="QXT203" s="2"/>
      <c r="QXU203" s="2"/>
      <c r="QXV203" s="2"/>
      <c r="QXW203" s="2"/>
      <c r="QXX203" s="2"/>
      <c r="QXY203" s="2"/>
      <c r="QXZ203" s="2"/>
      <c r="QYA203" s="2"/>
      <c r="QYB203" s="2"/>
      <c r="QYC203" s="2"/>
      <c r="QYD203" s="2"/>
      <c r="QYE203" s="2"/>
      <c r="QYF203" s="2"/>
      <c r="QYG203" s="2"/>
      <c r="QYH203" s="2"/>
      <c r="QYI203" s="2"/>
      <c r="QYJ203" s="2"/>
      <c r="QYK203" s="2"/>
      <c r="QYL203" s="2"/>
      <c r="QYM203" s="2"/>
      <c r="QYN203" s="2"/>
      <c r="QYO203" s="2"/>
      <c r="QYP203" s="2"/>
      <c r="QYQ203" s="2"/>
      <c r="QYR203" s="2"/>
      <c r="QYS203" s="2"/>
      <c r="QYT203" s="2"/>
      <c r="QYU203" s="2"/>
      <c r="QYV203" s="2"/>
      <c r="QYW203" s="2"/>
      <c r="QYX203" s="2"/>
      <c r="QYY203" s="2"/>
      <c r="QYZ203" s="2"/>
      <c r="QZA203" s="2"/>
      <c r="QZB203" s="2"/>
      <c r="QZC203" s="2"/>
      <c r="QZD203" s="2"/>
      <c r="QZE203" s="2"/>
      <c r="QZF203" s="2"/>
      <c r="QZG203" s="2"/>
      <c r="QZH203" s="2"/>
      <c r="QZI203" s="2"/>
      <c r="QZJ203" s="2"/>
      <c r="QZK203" s="2"/>
      <c r="QZL203" s="2"/>
      <c r="QZM203" s="2"/>
      <c r="QZN203" s="2"/>
      <c r="QZO203" s="2"/>
      <c r="QZP203" s="2"/>
      <c r="QZQ203" s="2"/>
      <c r="QZR203" s="2"/>
      <c r="QZS203" s="2"/>
      <c r="QZT203" s="2"/>
      <c r="QZU203" s="2"/>
      <c r="QZV203" s="2"/>
      <c r="QZW203" s="2"/>
      <c r="QZX203" s="2"/>
      <c r="QZY203" s="2"/>
      <c r="QZZ203" s="2"/>
      <c r="RAA203" s="2"/>
      <c r="RAB203" s="2"/>
      <c r="RAC203" s="2"/>
      <c r="RAD203" s="2"/>
      <c r="RAE203" s="2"/>
      <c r="RAF203" s="2"/>
      <c r="RAG203" s="2"/>
      <c r="RAH203" s="2"/>
      <c r="RAI203" s="2"/>
      <c r="RAJ203" s="2"/>
      <c r="RAK203" s="2"/>
      <c r="RAL203" s="2"/>
      <c r="RAM203" s="2"/>
      <c r="RAN203" s="2"/>
      <c r="RAO203" s="2"/>
      <c r="RAP203" s="2"/>
      <c r="RAQ203" s="2"/>
      <c r="RAR203" s="2"/>
      <c r="RAS203" s="2"/>
      <c r="RAT203" s="2"/>
      <c r="RAU203" s="2"/>
      <c r="RAV203" s="2"/>
      <c r="RAW203" s="2"/>
      <c r="RAX203" s="2"/>
      <c r="RAY203" s="2"/>
      <c r="RAZ203" s="2"/>
      <c r="RBA203" s="2"/>
      <c r="RBB203" s="2"/>
      <c r="RBC203" s="2"/>
      <c r="RBD203" s="2"/>
      <c r="RBE203" s="2"/>
      <c r="RBF203" s="2"/>
      <c r="RBG203" s="2"/>
      <c r="RBH203" s="2"/>
      <c r="RBI203" s="2"/>
      <c r="RBJ203" s="2"/>
      <c r="RBK203" s="2"/>
      <c r="RBL203" s="2"/>
      <c r="RBM203" s="2"/>
      <c r="RBN203" s="2"/>
      <c r="RBO203" s="2"/>
      <c r="RBP203" s="2"/>
      <c r="RBQ203" s="2"/>
      <c r="RBR203" s="2"/>
      <c r="RBS203" s="2"/>
      <c r="RBT203" s="2"/>
      <c r="RBU203" s="2"/>
      <c r="RBV203" s="2"/>
      <c r="RBW203" s="2"/>
      <c r="RBX203" s="2"/>
      <c r="RBY203" s="2"/>
      <c r="RBZ203" s="2"/>
      <c r="RCA203" s="2"/>
      <c r="RCB203" s="2"/>
      <c r="RCC203" s="2"/>
      <c r="RCD203" s="2"/>
      <c r="RCE203" s="2"/>
      <c r="RCF203" s="2"/>
      <c r="RCG203" s="2"/>
      <c r="RCH203" s="2"/>
      <c r="RCI203" s="2"/>
      <c r="RCJ203" s="2"/>
      <c r="RCK203" s="2"/>
      <c r="RCL203" s="2"/>
      <c r="RCM203" s="2"/>
      <c r="RCN203" s="2"/>
      <c r="RCO203" s="2"/>
      <c r="RCP203" s="2"/>
      <c r="RCQ203" s="2"/>
      <c r="RCR203" s="2"/>
      <c r="RCS203" s="2"/>
      <c r="RCT203" s="2"/>
      <c r="RCU203" s="2"/>
      <c r="RCV203" s="2"/>
      <c r="RCW203" s="2"/>
      <c r="RCX203" s="2"/>
      <c r="RCY203" s="2"/>
      <c r="RCZ203" s="2"/>
      <c r="RDA203" s="2"/>
      <c r="RDB203" s="2"/>
      <c r="RDC203" s="2"/>
      <c r="RDD203" s="2"/>
      <c r="RDE203" s="2"/>
      <c r="RDF203" s="2"/>
      <c r="RDG203" s="2"/>
      <c r="RDH203" s="2"/>
      <c r="RDI203" s="2"/>
      <c r="RDJ203" s="2"/>
      <c r="RDK203" s="2"/>
      <c r="RDL203" s="2"/>
      <c r="RDM203" s="2"/>
      <c r="RDN203" s="2"/>
      <c r="RDO203" s="2"/>
      <c r="RDP203" s="2"/>
      <c r="RDQ203" s="2"/>
      <c r="RDR203" s="2"/>
      <c r="RDS203" s="2"/>
      <c r="RDT203" s="2"/>
      <c r="RDU203" s="2"/>
      <c r="RDV203" s="2"/>
      <c r="RDW203" s="2"/>
      <c r="RDX203" s="2"/>
      <c r="RDY203" s="2"/>
      <c r="RDZ203" s="2"/>
      <c r="REA203" s="2"/>
      <c r="REB203" s="2"/>
      <c r="REC203" s="2"/>
      <c r="RED203" s="2"/>
      <c r="REE203" s="2"/>
      <c r="REF203" s="2"/>
      <c r="REG203" s="2"/>
      <c r="REH203" s="2"/>
      <c r="REI203" s="2"/>
      <c r="REJ203" s="2"/>
      <c r="REK203" s="2"/>
      <c r="REL203" s="2"/>
      <c r="REM203" s="2"/>
      <c r="REN203" s="2"/>
      <c r="REO203" s="2"/>
      <c r="REP203" s="2"/>
      <c r="REQ203" s="2"/>
      <c r="RER203" s="2"/>
      <c r="RES203" s="2"/>
      <c r="RET203" s="2"/>
      <c r="REU203" s="2"/>
      <c r="REV203" s="2"/>
      <c r="REW203" s="2"/>
      <c r="REX203" s="2"/>
      <c r="REY203" s="2"/>
      <c r="REZ203" s="2"/>
      <c r="RFA203" s="2"/>
      <c r="RFB203" s="2"/>
      <c r="RFC203" s="2"/>
      <c r="RFD203" s="2"/>
      <c r="RFE203" s="2"/>
      <c r="RFF203" s="2"/>
      <c r="RFG203" s="2"/>
      <c r="RFH203" s="2"/>
      <c r="RFI203" s="2"/>
      <c r="RFJ203" s="2"/>
      <c r="RFK203" s="2"/>
      <c r="RFL203" s="2"/>
      <c r="RFM203" s="2"/>
      <c r="RFN203" s="2"/>
      <c r="RFO203" s="2"/>
      <c r="RFP203" s="2"/>
      <c r="RFQ203" s="2"/>
      <c r="RFR203" s="2"/>
      <c r="RFS203" s="2"/>
      <c r="RFT203" s="2"/>
      <c r="RFU203" s="2"/>
      <c r="RFV203" s="2"/>
      <c r="RFW203" s="2"/>
      <c r="RFX203" s="2"/>
      <c r="RFY203" s="2"/>
      <c r="RFZ203" s="2"/>
      <c r="RGA203" s="2"/>
      <c r="RGB203" s="2"/>
      <c r="RGC203" s="2"/>
      <c r="RGD203" s="2"/>
      <c r="RGE203" s="2"/>
      <c r="RGF203" s="2"/>
      <c r="RGG203" s="2"/>
      <c r="RGH203" s="2"/>
      <c r="RGI203" s="2"/>
      <c r="RGJ203" s="2"/>
      <c r="RGK203" s="2"/>
      <c r="RGL203" s="2"/>
      <c r="RGM203" s="2"/>
      <c r="RGN203" s="2"/>
      <c r="RGO203" s="2"/>
      <c r="RGP203" s="2"/>
      <c r="RGQ203" s="2"/>
      <c r="RGR203" s="2"/>
      <c r="RGS203" s="2"/>
      <c r="RGT203" s="2"/>
      <c r="RGU203" s="2"/>
      <c r="RGV203" s="2"/>
      <c r="RGW203" s="2"/>
      <c r="RGX203" s="2"/>
      <c r="RGY203" s="2"/>
      <c r="RGZ203" s="2"/>
      <c r="RHA203" s="2"/>
      <c r="RHB203" s="2"/>
      <c r="RHC203" s="2"/>
      <c r="RHD203" s="2"/>
      <c r="RHE203" s="2"/>
      <c r="RHF203" s="2"/>
      <c r="RHG203" s="2"/>
      <c r="RHH203" s="2"/>
      <c r="RHI203" s="2"/>
      <c r="RHJ203" s="2"/>
      <c r="RHK203" s="2"/>
      <c r="RHL203" s="2"/>
      <c r="RHM203" s="2"/>
      <c r="RHN203" s="2"/>
      <c r="RHO203" s="2"/>
      <c r="RHP203" s="2"/>
      <c r="RHQ203" s="2"/>
      <c r="RHR203" s="2"/>
      <c r="RHS203" s="2"/>
      <c r="RHT203" s="2"/>
      <c r="RHU203" s="2"/>
      <c r="RHV203" s="2"/>
      <c r="RHW203" s="2"/>
      <c r="RHX203" s="2"/>
      <c r="RHY203" s="2"/>
      <c r="RHZ203" s="2"/>
      <c r="RIA203" s="2"/>
      <c r="RIB203" s="2"/>
      <c r="RIC203" s="2"/>
      <c r="RID203" s="2"/>
      <c r="RIE203" s="2"/>
      <c r="RIF203" s="2"/>
      <c r="RIG203" s="2"/>
      <c r="RIH203" s="2"/>
      <c r="RII203" s="2"/>
      <c r="RIJ203" s="2"/>
      <c r="RIK203" s="2"/>
      <c r="RIL203" s="2"/>
      <c r="RIM203" s="2"/>
      <c r="RIN203" s="2"/>
      <c r="RIO203" s="2"/>
      <c r="RIP203" s="2"/>
      <c r="RIQ203" s="2"/>
      <c r="RIR203" s="2"/>
      <c r="RIS203" s="2"/>
      <c r="RIT203" s="2"/>
      <c r="RIU203" s="2"/>
      <c r="RIV203" s="2"/>
      <c r="RIW203" s="2"/>
      <c r="RIX203" s="2"/>
      <c r="RIY203" s="2"/>
      <c r="RIZ203" s="2"/>
      <c r="RJA203" s="2"/>
      <c r="RJB203" s="2"/>
      <c r="RJC203" s="2"/>
      <c r="RJD203" s="2"/>
      <c r="RJE203" s="2"/>
      <c r="RJF203" s="2"/>
      <c r="RJG203" s="2"/>
      <c r="RJH203" s="2"/>
      <c r="RJI203" s="2"/>
      <c r="RJJ203" s="2"/>
      <c r="RJK203" s="2"/>
      <c r="RJL203" s="2"/>
      <c r="RJM203" s="2"/>
      <c r="RJN203" s="2"/>
      <c r="RJO203" s="2"/>
      <c r="RJP203" s="2"/>
      <c r="RJQ203" s="2"/>
      <c r="RJR203" s="2"/>
      <c r="RJS203" s="2"/>
      <c r="RJT203" s="2"/>
      <c r="RJU203" s="2"/>
      <c r="RJV203" s="2"/>
      <c r="RJW203" s="2"/>
      <c r="RJX203" s="2"/>
      <c r="RJY203" s="2"/>
      <c r="RJZ203" s="2"/>
      <c r="RKA203" s="2"/>
      <c r="RKB203" s="2"/>
      <c r="RKC203" s="2"/>
      <c r="RKD203" s="2"/>
      <c r="RKE203" s="2"/>
      <c r="RKF203" s="2"/>
      <c r="RKG203" s="2"/>
      <c r="RKH203" s="2"/>
      <c r="RKI203" s="2"/>
      <c r="RKJ203" s="2"/>
      <c r="RKK203" s="2"/>
      <c r="RKL203" s="2"/>
      <c r="RKM203" s="2"/>
      <c r="RKN203" s="2"/>
      <c r="RKO203" s="2"/>
      <c r="RKP203" s="2"/>
      <c r="RKQ203" s="2"/>
      <c r="RKR203" s="2"/>
      <c r="RKS203" s="2"/>
      <c r="RKT203" s="2"/>
      <c r="RKU203" s="2"/>
      <c r="RKV203" s="2"/>
      <c r="RKW203" s="2"/>
      <c r="RKX203" s="2"/>
      <c r="RKY203" s="2"/>
      <c r="RKZ203" s="2"/>
      <c r="RLA203" s="2"/>
      <c r="RLB203" s="2"/>
      <c r="RLC203" s="2"/>
      <c r="RLD203" s="2"/>
      <c r="RLE203" s="2"/>
      <c r="RLF203" s="2"/>
      <c r="RLG203" s="2"/>
      <c r="RLH203" s="2"/>
      <c r="RLI203" s="2"/>
      <c r="RLJ203" s="2"/>
      <c r="RLK203" s="2"/>
      <c r="RLL203" s="2"/>
      <c r="RLM203" s="2"/>
      <c r="RLN203" s="2"/>
      <c r="RLO203" s="2"/>
      <c r="RLP203" s="2"/>
      <c r="RLQ203" s="2"/>
      <c r="RLR203" s="2"/>
      <c r="RLS203" s="2"/>
      <c r="RLT203" s="2"/>
      <c r="RLU203" s="2"/>
      <c r="RLV203" s="2"/>
      <c r="RLW203" s="2"/>
      <c r="RLX203" s="2"/>
      <c r="RLY203" s="2"/>
      <c r="RLZ203" s="2"/>
      <c r="RMA203" s="2"/>
      <c r="RMB203" s="2"/>
      <c r="RMC203" s="2"/>
      <c r="RMD203" s="2"/>
      <c r="RME203" s="2"/>
      <c r="RMF203" s="2"/>
      <c r="RMG203" s="2"/>
      <c r="RMH203" s="2"/>
      <c r="RMI203" s="2"/>
      <c r="RMJ203" s="2"/>
      <c r="RMK203" s="2"/>
      <c r="RML203" s="2"/>
      <c r="RMM203" s="2"/>
      <c r="RMN203" s="2"/>
      <c r="RMO203" s="2"/>
      <c r="RMP203" s="2"/>
      <c r="RMQ203" s="2"/>
      <c r="RMR203" s="2"/>
      <c r="RMS203" s="2"/>
      <c r="RMT203" s="2"/>
      <c r="RMU203" s="2"/>
      <c r="RMV203" s="2"/>
      <c r="RMW203" s="2"/>
      <c r="RMX203" s="2"/>
      <c r="RMY203" s="2"/>
      <c r="RMZ203" s="2"/>
      <c r="RNA203" s="2"/>
      <c r="RNB203" s="2"/>
      <c r="RNC203" s="2"/>
      <c r="RND203" s="2"/>
      <c r="RNE203" s="2"/>
      <c r="RNF203" s="2"/>
      <c r="RNG203" s="2"/>
      <c r="RNH203" s="2"/>
      <c r="RNI203" s="2"/>
      <c r="RNJ203" s="2"/>
      <c r="RNK203" s="2"/>
      <c r="RNL203" s="2"/>
      <c r="RNM203" s="2"/>
      <c r="RNN203" s="2"/>
      <c r="RNO203" s="2"/>
      <c r="RNP203" s="2"/>
      <c r="RNQ203" s="2"/>
      <c r="RNR203" s="2"/>
      <c r="RNS203" s="2"/>
      <c r="RNT203" s="2"/>
      <c r="RNU203" s="2"/>
      <c r="RNV203" s="2"/>
      <c r="RNW203" s="2"/>
      <c r="RNX203" s="2"/>
      <c r="RNY203" s="2"/>
      <c r="RNZ203" s="2"/>
      <c r="ROA203" s="2"/>
      <c r="ROB203" s="2"/>
      <c r="ROC203" s="2"/>
      <c r="ROD203" s="2"/>
      <c r="ROE203" s="2"/>
      <c r="ROF203" s="2"/>
      <c r="ROG203" s="2"/>
      <c r="ROH203" s="2"/>
      <c r="ROI203" s="2"/>
      <c r="ROJ203" s="2"/>
      <c r="ROK203" s="2"/>
      <c r="ROL203" s="2"/>
      <c r="ROM203" s="2"/>
      <c r="RON203" s="2"/>
      <c r="ROO203" s="2"/>
      <c r="ROP203" s="2"/>
      <c r="ROQ203" s="2"/>
      <c r="ROR203" s="2"/>
      <c r="ROS203" s="2"/>
      <c r="ROT203" s="2"/>
      <c r="ROU203" s="2"/>
      <c r="ROV203" s="2"/>
      <c r="ROW203" s="2"/>
      <c r="ROX203" s="2"/>
      <c r="ROY203" s="2"/>
      <c r="ROZ203" s="2"/>
      <c r="RPA203" s="2"/>
      <c r="RPB203" s="2"/>
      <c r="RPC203" s="2"/>
      <c r="RPD203" s="2"/>
      <c r="RPE203" s="2"/>
      <c r="RPF203" s="2"/>
      <c r="RPG203" s="2"/>
      <c r="RPH203" s="2"/>
      <c r="RPI203" s="2"/>
      <c r="RPJ203" s="2"/>
      <c r="RPK203" s="2"/>
      <c r="RPL203" s="2"/>
      <c r="RPM203" s="2"/>
      <c r="RPN203" s="2"/>
      <c r="RPO203" s="2"/>
      <c r="RPP203" s="2"/>
      <c r="RPQ203" s="2"/>
      <c r="RPR203" s="2"/>
      <c r="RPS203" s="2"/>
      <c r="RPT203" s="2"/>
      <c r="RPU203" s="2"/>
      <c r="RPV203" s="2"/>
      <c r="RPW203" s="2"/>
      <c r="RPX203" s="2"/>
      <c r="RPY203" s="2"/>
      <c r="RPZ203" s="2"/>
      <c r="RQA203" s="2"/>
      <c r="RQB203" s="2"/>
      <c r="RQC203" s="2"/>
      <c r="RQD203" s="2"/>
      <c r="RQE203" s="2"/>
      <c r="RQF203" s="2"/>
      <c r="RQG203" s="2"/>
      <c r="RQH203" s="2"/>
      <c r="RQI203" s="2"/>
      <c r="RQJ203" s="2"/>
      <c r="RQK203" s="2"/>
      <c r="RQL203" s="2"/>
      <c r="RQM203" s="2"/>
      <c r="RQN203" s="2"/>
      <c r="RQO203" s="2"/>
      <c r="RQP203" s="2"/>
      <c r="RQQ203" s="2"/>
      <c r="RQR203" s="2"/>
      <c r="RQS203" s="2"/>
      <c r="RQT203" s="2"/>
      <c r="RQU203" s="2"/>
      <c r="RQV203" s="2"/>
      <c r="RQW203" s="2"/>
      <c r="RQX203" s="2"/>
      <c r="RQY203" s="2"/>
      <c r="RQZ203" s="2"/>
      <c r="RRA203" s="2"/>
      <c r="RRB203" s="2"/>
      <c r="RRC203" s="2"/>
      <c r="RRD203" s="2"/>
      <c r="RRE203" s="2"/>
      <c r="RRF203" s="2"/>
      <c r="RRG203" s="2"/>
      <c r="RRH203" s="2"/>
      <c r="RRI203" s="2"/>
      <c r="RRJ203" s="2"/>
      <c r="RRK203" s="2"/>
      <c r="RRL203" s="2"/>
      <c r="RRM203" s="2"/>
      <c r="RRN203" s="2"/>
      <c r="RRO203" s="2"/>
      <c r="RRP203" s="2"/>
      <c r="RRQ203" s="2"/>
      <c r="RRR203" s="2"/>
      <c r="RRS203" s="2"/>
      <c r="RRT203" s="2"/>
      <c r="RRU203" s="2"/>
      <c r="RRV203" s="2"/>
      <c r="RRW203" s="2"/>
      <c r="RRX203" s="2"/>
      <c r="RRY203" s="2"/>
      <c r="RRZ203" s="2"/>
      <c r="RSA203" s="2"/>
      <c r="RSB203" s="2"/>
      <c r="RSC203" s="2"/>
      <c r="RSD203" s="2"/>
      <c r="RSE203" s="2"/>
      <c r="RSF203" s="2"/>
      <c r="RSG203" s="2"/>
      <c r="RSH203" s="2"/>
      <c r="RSI203" s="2"/>
      <c r="RSJ203" s="2"/>
      <c r="RSK203" s="2"/>
      <c r="RSL203" s="2"/>
      <c r="RSM203" s="2"/>
      <c r="RSN203" s="2"/>
      <c r="RSO203" s="2"/>
      <c r="RSP203" s="2"/>
      <c r="RSQ203" s="2"/>
      <c r="RSR203" s="2"/>
      <c r="RSS203" s="2"/>
      <c r="RST203" s="2"/>
      <c r="RSU203" s="2"/>
      <c r="RSV203" s="2"/>
      <c r="RSW203" s="2"/>
      <c r="RSX203" s="2"/>
      <c r="RSY203" s="2"/>
      <c r="RSZ203" s="2"/>
      <c r="RTA203" s="2"/>
      <c r="RTB203" s="2"/>
      <c r="RTC203" s="2"/>
      <c r="RTD203" s="2"/>
      <c r="RTE203" s="2"/>
      <c r="RTF203" s="2"/>
      <c r="RTG203" s="2"/>
      <c r="RTH203" s="2"/>
      <c r="RTI203" s="2"/>
      <c r="RTJ203" s="2"/>
      <c r="RTK203" s="2"/>
      <c r="RTL203" s="2"/>
      <c r="RTM203" s="2"/>
      <c r="RTN203" s="2"/>
      <c r="RTO203" s="2"/>
      <c r="RTP203" s="2"/>
      <c r="RTQ203" s="2"/>
      <c r="RTR203" s="2"/>
      <c r="RTS203" s="2"/>
      <c r="RTT203" s="2"/>
      <c r="RTU203" s="2"/>
      <c r="RTV203" s="2"/>
      <c r="RTW203" s="2"/>
      <c r="RTX203" s="2"/>
      <c r="RTY203" s="2"/>
      <c r="RTZ203" s="2"/>
      <c r="RUA203" s="2"/>
      <c r="RUB203" s="2"/>
      <c r="RUC203" s="2"/>
      <c r="RUD203" s="2"/>
      <c r="RUE203" s="2"/>
      <c r="RUF203" s="2"/>
      <c r="RUG203" s="2"/>
      <c r="RUH203" s="2"/>
      <c r="RUI203" s="2"/>
      <c r="RUJ203" s="2"/>
      <c r="RUK203" s="2"/>
      <c r="RUL203" s="2"/>
      <c r="RUM203" s="2"/>
      <c r="RUN203" s="2"/>
      <c r="RUO203" s="2"/>
      <c r="RUP203" s="2"/>
      <c r="RUQ203" s="2"/>
      <c r="RUR203" s="2"/>
      <c r="RUS203" s="2"/>
      <c r="RUT203" s="2"/>
      <c r="RUU203" s="2"/>
      <c r="RUV203" s="2"/>
      <c r="RUW203" s="2"/>
      <c r="RUX203" s="2"/>
      <c r="RUY203" s="2"/>
      <c r="RUZ203" s="2"/>
      <c r="RVA203" s="2"/>
      <c r="RVB203" s="2"/>
      <c r="RVC203" s="2"/>
      <c r="RVD203" s="2"/>
      <c r="RVE203" s="2"/>
      <c r="RVF203" s="2"/>
      <c r="RVG203" s="2"/>
      <c r="RVH203" s="2"/>
      <c r="RVI203" s="2"/>
      <c r="RVJ203" s="2"/>
      <c r="RVK203" s="2"/>
      <c r="RVL203" s="2"/>
      <c r="RVM203" s="2"/>
      <c r="RVN203" s="2"/>
      <c r="RVO203" s="2"/>
      <c r="RVP203" s="2"/>
      <c r="RVQ203" s="2"/>
      <c r="RVR203" s="2"/>
      <c r="RVS203" s="2"/>
      <c r="RVT203" s="2"/>
      <c r="RVU203" s="2"/>
      <c r="RVV203" s="2"/>
      <c r="RVW203" s="2"/>
      <c r="RVX203" s="2"/>
      <c r="RVY203" s="2"/>
      <c r="RVZ203" s="2"/>
      <c r="RWA203" s="2"/>
      <c r="RWB203" s="2"/>
      <c r="RWC203" s="2"/>
      <c r="RWD203" s="2"/>
      <c r="RWE203" s="2"/>
      <c r="RWF203" s="2"/>
      <c r="RWG203" s="2"/>
      <c r="RWH203" s="2"/>
      <c r="RWI203" s="2"/>
      <c r="RWJ203" s="2"/>
      <c r="RWK203" s="2"/>
      <c r="RWL203" s="2"/>
      <c r="RWM203" s="2"/>
      <c r="RWN203" s="2"/>
      <c r="RWO203" s="2"/>
      <c r="RWP203" s="2"/>
      <c r="RWQ203" s="2"/>
      <c r="RWR203" s="2"/>
      <c r="RWS203" s="2"/>
      <c r="RWT203" s="2"/>
      <c r="RWU203" s="2"/>
      <c r="RWV203" s="2"/>
      <c r="RWW203" s="2"/>
      <c r="RWX203" s="2"/>
      <c r="RWY203" s="2"/>
      <c r="RWZ203" s="2"/>
      <c r="RXA203" s="2"/>
      <c r="RXB203" s="2"/>
      <c r="RXC203" s="2"/>
      <c r="RXD203" s="2"/>
      <c r="RXE203" s="2"/>
      <c r="RXF203" s="2"/>
      <c r="RXG203" s="2"/>
      <c r="RXH203" s="2"/>
      <c r="RXI203" s="2"/>
      <c r="RXJ203" s="2"/>
      <c r="RXK203" s="2"/>
      <c r="RXL203" s="2"/>
      <c r="RXM203" s="2"/>
      <c r="RXN203" s="2"/>
      <c r="RXO203" s="2"/>
      <c r="RXP203" s="2"/>
      <c r="RXQ203" s="2"/>
      <c r="RXR203" s="2"/>
      <c r="RXS203" s="2"/>
      <c r="RXT203" s="2"/>
      <c r="RXU203" s="2"/>
      <c r="RXV203" s="2"/>
      <c r="RXW203" s="2"/>
      <c r="RXX203" s="2"/>
      <c r="RXY203" s="2"/>
      <c r="RXZ203" s="2"/>
      <c r="RYA203" s="2"/>
      <c r="RYB203" s="2"/>
      <c r="RYC203" s="2"/>
      <c r="RYD203" s="2"/>
      <c r="RYE203" s="2"/>
      <c r="RYF203" s="2"/>
      <c r="RYG203" s="2"/>
      <c r="RYH203" s="2"/>
      <c r="RYI203" s="2"/>
      <c r="RYJ203" s="2"/>
      <c r="RYK203" s="2"/>
      <c r="RYL203" s="2"/>
      <c r="RYM203" s="2"/>
      <c r="RYN203" s="2"/>
      <c r="RYO203" s="2"/>
      <c r="RYP203" s="2"/>
      <c r="RYQ203" s="2"/>
      <c r="RYR203" s="2"/>
      <c r="RYS203" s="2"/>
      <c r="RYT203" s="2"/>
      <c r="RYU203" s="2"/>
      <c r="RYV203" s="2"/>
      <c r="RYW203" s="2"/>
      <c r="RYX203" s="2"/>
      <c r="RYY203" s="2"/>
      <c r="RYZ203" s="2"/>
      <c r="RZA203" s="2"/>
      <c r="RZB203" s="2"/>
      <c r="RZC203" s="2"/>
      <c r="RZD203" s="2"/>
      <c r="RZE203" s="2"/>
      <c r="RZF203" s="2"/>
      <c r="RZG203" s="2"/>
      <c r="RZH203" s="2"/>
      <c r="RZI203" s="2"/>
      <c r="RZJ203" s="2"/>
      <c r="RZK203" s="2"/>
      <c r="RZL203" s="2"/>
      <c r="RZM203" s="2"/>
      <c r="RZN203" s="2"/>
      <c r="RZO203" s="2"/>
      <c r="RZP203" s="2"/>
      <c r="RZQ203" s="2"/>
      <c r="RZR203" s="2"/>
      <c r="RZS203" s="2"/>
      <c r="RZT203" s="2"/>
      <c r="RZU203" s="2"/>
      <c r="RZV203" s="2"/>
      <c r="RZW203" s="2"/>
      <c r="RZX203" s="2"/>
      <c r="RZY203" s="2"/>
      <c r="RZZ203" s="2"/>
      <c r="SAA203" s="2"/>
      <c r="SAB203" s="2"/>
      <c r="SAC203" s="2"/>
      <c r="SAD203" s="2"/>
      <c r="SAE203" s="2"/>
      <c r="SAF203" s="2"/>
      <c r="SAG203" s="2"/>
      <c r="SAH203" s="2"/>
      <c r="SAI203" s="2"/>
      <c r="SAJ203" s="2"/>
      <c r="SAK203" s="2"/>
      <c r="SAL203" s="2"/>
      <c r="SAM203" s="2"/>
      <c r="SAN203" s="2"/>
      <c r="SAO203" s="2"/>
      <c r="SAP203" s="2"/>
      <c r="SAQ203" s="2"/>
      <c r="SAR203" s="2"/>
      <c r="SAS203" s="2"/>
      <c r="SAT203" s="2"/>
      <c r="SAU203" s="2"/>
      <c r="SAV203" s="2"/>
      <c r="SAW203" s="2"/>
      <c r="SAX203" s="2"/>
      <c r="SAY203" s="2"/>
      <c r="SAZ203" s="2"/>
      <c r="SBA203" s="2"/>
      <c r="SBB203" s="2"/>
      <c r="SBC203" s="2"/>
      <c r="SBD203" s="2"/>
      <c r="SBE203" s="2"/>
      <c r="SBF203" s="2"/>
      <c r="SBG203" s="2"/>
      <c r="SBH203" s="2"/>
      <c r="SBI203" s="2"/>
      <c r="SBJ203" s="2"/>
      <c r="SBK203" s="2"/>
      <c r="SBL203" s="2"/>
      <c r="SBM203" s="2"/>
      <c r="SBN203" s="2"/>
      <c r="SBO203" s="2"/>
      <c r="SBP203" s="2"/>
      <c r="SBQ203" s="2"/>
      <c r="SBR203" s="2"/>
      <c r="SBS203" s="2"/>
      <c r="SBT203" s="2"/>
      <c r="SBU203" s="2"/>
      <c r="SBV203" s="2"/>
      <c r="SBW203" s="2"/>
      <c r="SBX203" s="2"/>
      <c r="SBY203" s="2"/>
      <c r="SBZ203" s="2"/>
      <c r="SCA203" s="2"/>
      <c r="SCB203" s="2"/>
      <c r="SCC203" s="2"/>
      <c r="SCD203" s="2"/>
      <c r="SCE203" s="2"/>
      <c r="SCF203" s="2"/>
      <c r="SCG203" s="2"/>
      <c r="SCH203" s="2"/>
      <c r="SCI203" s="2"/>
      <c r="SCJ203" s="2"/>
      <c r="SCK203" s="2"/>
      <c r="SCL203" s="2"/>
      <c r="SCM203" s="2"/>
      <c r="SCN203" s="2"/>
      <c r="SCO203" s="2"/>
      <c r="SCP203" s="2"/>
      <c r="SCQ203" s="2"/>
      <c r="SCR203" s="2"/>
      <c r="SCS203" s="2"/>
      <c r="SCT203" s="2"/>
      <c r="SCU203" s="2"/>
      <c r="SCV203" s="2"/>
      <c r="SCW203" s="2"/>
      <c r="SCX203" s="2"/>
      <c r="SCY203" s="2"/>
      <c r="SCZ203" s="2"/>
      <c r="SDA203" s="2"/>
      <c r="SDB203" s="2"/>
      <c r="SDC203" s="2"/>
      <c r="SDD203" s="2"/>
      <c r="SDE203" s="2"/>
      <c r="SDF203" s="2"/>
      <c r="SDG203" s="2"/>
      <c r="SDH203" s="2"/>
      <c r="SDI203" s="2"/>
      <c r="SDJ203" s="2"/>
      <c r="SDK203" s="2"/>
      <c r="SDL203" s="2"/>
      <c r="SDM203" s="2"/>
      <c r="SDN203" s="2"/>
      <c r="SDO203" s="2"/>
      <c r="SDP203" s="2"/>
      <c r="SDQ203" s="2"/>
      <c r="SDR203" s="2"/>
      <c r="SDS203" s="2"/>
      <c r="SDT203" s="2"/>
      <c r="SDU203" s="2"/>
      <c r="SDV203" s="2"/>
      <c r="SDW203" s="2"/>
      <c r="SDX203" s="2"/>
      <c r="SDY203" s="2"/>
      <c r="SDZ203" s="2"/>
      <c r="SEA203" s="2"/>
      <c r="SEB203" s="2"/>
      <c r="SEC203" s="2"/>
      <c r="SED203" s="2"/>
      <c r="SEE203" s="2"/>
      <c r="SEF203" s="2"/>
      <c r="SEG203" s="2"/>
      <c r="SEH203" s="2"/>
      <c r="SEI203" s="2"/>
      <c r="SEJ203" s="2"/>
      <c r="SEK203" s="2"/>
      <c r="SEL203" s="2"/>
      <c r="SEM203" s="2"/>
      <c r="SEN203" s="2"/>
      <c r="SEO203" s="2"/>
      <c r="SEP203" s="2"/>
      <c r="SEQ203" s="2"/>
      <c r="SER203" s="2"/>
      <c r="SES203" s="2"/>
      <c r="SET203" s="2"/>
      <c r="SEU203" s="2"/>
      <c r="SEV203" s="2"/>
      <c r="SEW203" s="2"/>
      <c r="SEX203" s="2"/>
      <c r="SEY203" s="2"/>
      <c r="SEZ203" s="2"/>
      <c r="SFA203" s="2"/>
      <c r="SFB203" s="2"/>
      <c r="SFC203" s="2"/>
      <c r="SFD203" s="2"/>
      <c r="SFE203" s="2"/>
      <c r="SFF203" s="2"/>
      <c r="SFG203" s="2"/>
      <c r="SFH203" s="2"/>
      <c r="SFI203" s="2"/>
      <c r="SFJ203" s="2"/>
      <c r="SFK203" s="2"/>
      <c r="SFL203" s="2"/>
      <c r="SFM203" s="2"/>
      <c r="SFN203" s="2"/>
      <c r="SFO203" s="2"/>
      <c r="SFP203" s="2"/>
      <c r="SFQ203" s="2"/>
      <c r="SFR203" s="2"/>
      <c r="SFS203" s="2"/>
      <c r="SFT203" s="2"/>
      <c r="SFU203" s="2"/>
      <c r="SFV203" s="2"/>
      <c r="SFW203" s="2"/>
      <c r="SFX203" s="2"/>
      <c r="SFY203" s="2"/>
      <c r="SFZ203" s="2"/>
      <c r="SGA203" s="2"/>
      <c r="SGB203" s="2"/>
      <c r="SGC203" s="2"/>
      <c r="SGD203" s="2"/>
      <c r="SGE203" s="2"/>
      <c r="SGF203" s="2"/>
      <c r="SGG203" s="2"/>
      <c r="SGH203" s="2"/>
      <c r="SGI203" s="2"/>
      <c r="SGJ203" s="2"/>
      <c r="SGK203" s="2"/>
      <c r="SGL203" s="2"/>
      <c r="SGM203" s="2"/>
      <c r="SGN203" s="2"/>
      <c r="SGO203" s="2"/>
      <c r="SGP203" s="2"/>
      <c r="SGQ203" s="2"/>
      <c r="SGR203" s="2"/>
      <c r="SGS203" s="2"/>
      <c r="SGT203" s="2"/>
      <c r="SGU203" s="2"/>
      <c r="SGV203" s="2"/>
      <c r="SGW203" s="2"/>
      <c r="SGX203" s="2"/>
      <c r="SGY203" s="2"/>
      <c r="SGZ203" s="2"/>
      <c r="SHA203" s="2"/>
      <c r="SHB203" s="2"/>
      <c r="SHC203" s="2"/>
      <c r="SHD203" s="2"/>
      <c r="SHE203" s="2"/>
      <c r="SHF203" s="2"/>
      <c r="SHG203" s="2"/>
      <c r="SHH203" s="2"/>
      <c r="SHI203" s="2"/>
      <c r="SHJ203" s="2"/>
      <c r="SHK203" s="2"/>
      <c r="SHL203" s="2"/>
      <c r="SHM203" s="2"/>
      <c r="SHN203" s="2"/>
      <c r="SHO203" s="2"/>
      <c r="SHP203" s="2"/>
      <c r="SHQ203" s="2"/>
      <c r="SHR203" s="2"/>
      <c r="SHS203" s="2"/>
      <c r="SHT203" s="2"/>
      <c r="SHU203" s="2"/>
      <c r="SHV203" s="2"/>
      <c r="SHW203" s="2"/>
      <c r="SHX203" s="2"/>
      <c r="SHY203" s="2"/>
      <c r="SHZ203" s="2"/>
      <c r="SIA203" s="2"/>
      <c r="SIB203" s="2"/>
      <c r="SIC203" s="2"/>
      <c r="SID203" s="2"/>
      <c r="SIE203" s="2"/>
      <c r="SIF203" s="2"/>
      <c r="SIG203" s="2"/>
      <c r="SIH203" s="2"/>
      <c r="SII203" s="2"/>
      <c r="SIJ203" s="2"/>
      <c r="SIK203" s="2"/>
      <c r="SIL203" s="2"/>
      <c r="SIM203" s="2"/>
      <c r="SIN203" s="2"/>
      <c r="SIO203" s="2"/>
      <c r="SIP203" s="2"/>
      <c r="SIQ203" s="2"/>
      <c r="SIR203" s="2"/>
      <c r="SIS203" s="2"/>
      <c r="SIT203" s="2"/>
      <c r="SIU203" s="2"/>
      <c r="SIV203" s="2"/>
      <c r="SIW203" s="2"/>
      <c r="SIX203" s="2"/>
      <c r="SIY203" s="2"/>
      <c r="SIZ203" s="2"/>
      <c r="SJA203" s="2"/>
      <c r="SJB203" s="2"/>
      <c r="SJC203" s="2"/>
      <c r="SJD203" s="2"/>
      <c r="SJE203" s="2"/>
      <c r="SJF203" s="2"/>
      <c r="SJG203" s="2"/>
      <c r="SJH203" s="2"/>
      <c r="SJI203" s="2"/>
      <c r="SJJ203" s="2"/>
      <c r="SJK203" s="2"/>
      <c r="SJL203" s="2"/>
      <c r="SJM203" s="2"/>
      <c r="SJN203" s="2"/>
      <c r="SJO203" s="2"/>
      <c r="SJP203" s="2"/>
      <c r="SJQ203" s="2"/>
      <c r="SJR203" s="2"/>
      <c r="SJS203" s="2"/>
      <c r="SJT203" s="2"/>
      <c r="SJU203" s="2"/>
      <c r="SJV203" s="2"/>
      <c r="SJW203" s="2"/>
      <c r="SJX203" s="2"/>
      <c r="SJY203" s="2"/>
      <c r="SJZ203" s="2"/>
      <c r="SKA203" s="2"/>
      <c r="SKB203" s="2"/>
      <c r="SKC203" s="2"/>
      <c r="SKD203" s="2"/>
      <c r="SKE203" s="2"/>
      <c r="SKF203" s="2"/>
      <c r="SKG203" s="2"/>
      <c r="SKH203" s="2"/>
      <c r="SKI203" s="2"/>
      <c r="SKJ203" s="2"/>
      <c r="SKK203" s="2"/>
      <c r="SKL203" s="2"/>
      <c r="SKM203" s="2"/>
      <c r="SKN203" s="2"/>
      <c r="SKO203" s="2"/>
      <c r="SKP203" s="2"/>
      <c r="SKQ203" s="2"/>
      <c r="SKR203" s="2"/>
      <c r="SKS203" s="2"/>
      <c r="SKT203" s="2"/>
      <c r="SKU203" s="2"/>
      <c r="SKV203" s="2"/>
      <c r="SKW203" s="2"/>
      <c r="SKX203" s="2"/>
      <c r="SKY203" s="2"/>
      <c r="SKZ203" s="2"/>
      <c r="SLA203" s="2"/>
      <c r="SLB203" s="2"/>
      <c r="SLC203" s="2"/>
      <c r="SLD203" s="2"/>
      <c r="SLE203" s="2"/>
      <c r="SLF203" s="2"/>
      <c r="SLG203" s="2"/>
      <c r="SLH203" s="2"/>
      <c r="SLI203" s="2"/>
      <c r="SLJ203" s="2"/>
      <c r="SLK203" s="2"/>
      <c r="SLL203" s="2"/>
      <c r="SLM203" s="2"/>
      <c r="SLN203" s="2"/>
      <c r="SLO203" s="2"/>
      <c r="SLP203" s="2"/>
      <c r="SLQ203" s="2"/>
      <c r="SLR203" s="2"/>
      <c r="SLS203" s="2"/>
      <c r="SLT203" s="2"/>
      <c r="SLU203" s="2"/>
      <c r="SLV203" s="2"/>
      <c r="SLW203" s="2"/>
      <c r="SLX203" s="2"/>
      <c r="SLY203" s="2"/>
      <c r="SLZ203" s="2"/>
      <c r="SMA203" s="2"/>
      <c r="SMB203" s="2"/>
      <c r="SMC203" s="2"/>
      <c r="SMD203" s="2"/>
      <c r="SME203" s="2"/>
      <c r="SMF203" s="2"/>
      <c r="SMG203" s="2"/>
      <c r="SMH203" s="2"/>
      <c r="SMI203" s="2"/>
      <c r="SMJ203" s="2"/>
      <c r="SMK203" s="2"/>
      <c r="SML203" s="2"/>
      <c r="SMM203" s="2"/>
      <c r="SMN203" s="2"/>
      <c r="SMO203" s="2"/>
      <c r="SMP203" s="2"/>
      <c r="SMQ203" s="2"/>
      <c r="SMR203" s="2"/>
      <c r="SMS203" s="2"/>
      <c r="SMT203" s="2"/>
      <c r="SMU203" s="2"/>
      <c r="SMV203" s="2"/>
      <c r="SMW203" s="2"/>
      <c r="SMX203" s="2"/>
      <c r="SMY203" s="2"/>
      <c r="SMZ203" s="2"/>
      <c r="SNA203" s="2"/>
      <c r="SNB203" s="2"/>
      <c r="SNC203" s="2"/>
      <c r="SND203" s="2"/>
      <c r="SNE203" s="2"/>
      <c r="SNF203" s="2"/>
      <c r="SNG203" s="2"/>
      <c r="SNH203" s="2"/>
      <c r="SNI203" s="2"/>
      <c r="SNJ203" s="2"/>
      <c r="SNK203" s="2"/>
      <c r="SNL203" s="2"/>
      <c r="SNM203" s="2"/>
      <c r="SNN203" s="2"/>
      <c r="SNO203" s="2"/>
      <c r="SNP203" s="2"/>
      <c r="SNQ203" s="2"/>
      <c r="SNR203" s="2"/>
      <c r="SNS203" s="2"/>
      <c r="SNT203" s="2"/>
      <c r="SNU203" s="2"/>
      <c r="SNV203" s="2"/>
      <c r="SNW203" s="2"/>
      <c r="SNX203" s="2"/>
      <c r="SNY203" s="2"/>
      <c r="SNZ203" s="2"/>
      <c r="SOA203" s="2"/>
      <c r="SOB203" s="2"/>
      <c r="SOC203" s="2"/>
      <c r="SOD203" s="2"/>
      <c r="SOE203" s="2"/>
      <c r="SOF203" s="2"/>
      <c r="SOG203" s="2"/>
      <c r="SOH203" s="2"/>
      <c r="SOI203" s="2"/>
      <c r="SOJ203" s="2"/>
      <c r="SOK203" s="2"/>
      <c r="SOL203" s="2"/>
      <c r="SOM203" s="2"/>
      <c r="SON203" s="2"/>
      <c r="SOO203" s="2"/>
      <c r="SOP203" s="2"/>
      <c r="SOQ203" s="2"/>
      <c r="SOR203" s="2"/>
      <c r="SOS203" s="2"/>
      <c r="SOT203" s="2"/>
      <c r="SOU203" s="2"/>
      <c r="SOV203" s="2"/>
      <c r="SOW203" s="2"/>
      <c r="SOX203" s="2"/>
      <c r="SOY203" s="2"/>
      <c r="SOZ203" s="2"/>
      <c r="SPA203" s="2"/>
      <c r="SPB203" s="2"/>
      <c r="SPC203" s="2"/>
      <c r="SPD203" s="2"/>
      <c r="SPE203" s="2"/>
      <c r="SPF203" s="2"/>
      <c r="SPG203" s="2"/>
      <c r="SPH203" s="2"/>
      <c r="SPI203" s="2"/>
      <c r="SPJ203" s="2"/>
      <c r="SPK203" s="2"/>
      <c r="SPL203" s="2"/>
      <c r="SPM203" s="2"/>
      <c r="SPN203" s="2"/>
      <c r="SPO203" s="2"/>
      <c r="SPP203" s="2"/>
      <c r="SPQ203" s="2"/>
      <c r="SPR203" s="2"/>
      <c r="SPS203" s="2"/>
      <c r="SPT203" s="2"/>
      <c r="SPU203" s="2"/>
      <c r="SPV203" s="2"/>
      <c r="SPW203" s="2"/>
      <c r="SPX203" s="2"/>
      <c r="SPY203" s="2"/>
      <c r="SPZ203" s="2"/>
      <c r="SQA203" s="2"/>
      <c r="SQB203" s="2"/>
      <c r="SQC203" s="2"/>
      <c r="SQD203" s="2"/>
      <c r="SQE203" s="2"/>
      <c r="SQF203" s="2"/>
      <c r="SQG203" s="2"/>
      <c r="SQH203" s="2"/>
      <c r="SQI203" s="2"/>
      <c r="SQJ203" s="2"/>
      <c r="SQK203" s="2"/>
      <c r="SQL203" s="2"/>
      <c r="SQM203" s="2"/>
      <c r="SQN203" s="2"/>
      <c r="SQO203" s="2"/>
      <c r="SQP203" s="2"/>
      <c r="SQQ203" s="2"/>
      <c r="SQR203" s="2"/>
      <c r="SQS203" s="2"/>
      <c r="SQT203" s="2"/>
      <c r="SQU203" s="2"/>
      <c r="SQV203" s="2"/>
      <c r="SQW203" s="2"/>
      <c r="SQX203" s="2"/>
      <c r="SQY203" s="2"/>
      <c r="SQZ203" s="2"/>
      <c r="SRA203" s="2"/>
      <c r="SRB203" s="2"/>
      <c r="SRC203" s="2"/>
      <c r="SRD203" s="2"/>
      <c r="SRE203" s="2"/>
      <c r="SRF203" s="2"/>
      <c r="SRG203" s="2"/>
      <c r="SRH203" s="2"/>
      <c r="SRI203" s="2"/>
      <c r="SRJ203" s="2"/>
      <c r="SRK203" s="2"/>
      <c r="SRL203" s="2"/>
      <c r="SRM203" s="2"/>
      <c r="SRN203" s="2"/>
      <c r="SRO203" s="2"/>
      <c r="SRP203" s="2"/>
      <c r="SRQ203" s="2"/>
      <c r="SRR203" s="2"/>
      <c r="SRS203" s="2"/>
      <c r="SRT203" s="2"/>
      <c r="SRU203" s="2"/>
      <c r="SRV203" s="2"/>
      <c r="SRW203" s="2"/>
      <c r="SRX203" s="2"/>
      <c r="SRY203" s="2"/>
      <c r="SRZ203" s="2"/>
      <c r="SSA203" s="2"/>
      <c r="SSB203" s="2"/>
      <c r="SSC203" s="2"/>
      <c r="SSD203" s="2"/>
      <c r="SSE203" s="2"/>
      <c r="SSF203" s="2"/>
      <c r="SSG203" s="2"/>
      <c r="SSH203" s="2"/>
      <c r="SSI203" s="2"/>
      <c r="SSJ203" s="2"/>
      <c r="SSK203" s="2"/>
      <c r="SSL203" s="2"/>
      <c r="SSM203" s="2"/>
      <c r="SSN203" s="2"/>
      <c r="SSO203" s="2"/>
      <c r="SSP203" s="2"/>
      <c r="SSQ203" s="2"/>
      <c r="SSR203" s="2"/>
      <c r="SSS203" s="2"/>
      <c r="SST203" s="2"/>
      <c r="SSU203" s="2"/>
      <c r="SSV203" s="2"/>
      <c r="SSW203" s="2"/>
      <c r="SSX203" s="2"/>
      <c r="SSY203" s="2"/>
      <c r="SSZ203" s="2"/>
      <c r="STA203" s="2"/>
      <c r="STB203" s="2"/>
      <c r="STC203" s="2"/>
      <c r="STD203" s="2"/>
      <c r="STE203" s="2"/>
      <c r="STF203" s="2"/>
      <c r="STG203" s="2"/>
      <c r="STH203" s="2"/>
      <c r="STI203" s="2"/>
      <c r="STJ203" s="2"/>
      <c r="STK203" s="2"/>
      <c r="STL203" s="2"/>
      <c r="STM203" s="2"/>
      <c r="STN203" s="2"/>
      <c r="STO203" s="2"/>
      <c r="STP203" s="2"/>
      <c r="STQ203" s="2"/>
      <c r="STR203" s="2"/>
      <c r="STS203" s="2"/>
      <c r="STT203" s="2"/>
      <c r="STU203" s="2"/>
      <c r="STV203" s="2"/>
      <c r="STW203" s="2"/>
      <c r="STX203" s="2"/>
      <c r="STY203" s="2"/>
      <c r="STZ203" s="2"/>
      <c r="SUA203" s="2"/>
      <c r="SUB203" s="2"/>
      <c r="SUC203" s="2"/>
      <c r="SUD203" s="2"/>
      <c r="SUE203" s="2"/>
      <c r="SUF203" s="2"/>
      <c r="SUG203" s="2"/>
      <c r="SUH203" s="2"/>
      <c r="SUI203" s="2"/>
      <c r="SUJ203" s="2"/>
      <c r="SUK203" s="2"/>
      <c r="SUL203" s="2"/>
      <c r="SUM203" s="2"/>
      <c r="SUN203" s="2"/>
      <c r="SUO203" s="2"/>
      <c r="SUP203" s="2"/>
      <c r="SUQ203" s="2"/>
      <c r="SUR203" s="2"/>
      <c r="SUS203" s="2"/>
      <c r="SUT203" s="2"/>
      <c r="SUU203" s="2"/>
      <c r="SUV203" s="2"/>
      <c r="SUW203" s="2"/>
      <c r="SUX203" s="2"/>
      <c r="SUY203" s="2"/>
      <c r="SUZ203" s="2"/>
      <c r="SVA203" s="2"/>
      <c r="SVB203" s="2"/>
      <c r="SVC203" s="2"/>
      <c r="SVD203" s="2"/>
      <c r="SVE203" s="2"/>
      <c r="SVF203" s="2"/>
      <c r="SVG203" s="2"/>
      <c r="SVH203" s="2"/>
      <c r="SVI203" s="2"/>
      <c r="SVJ203" s="2"/>
      <c r="SVK203" s="2"/>
      <c r="SVL203" s="2"/>
      <c r="SVM203" s="2"/>
      <c r="SVN203" s="2"/>
      <c r="SVO203" s="2"/>
      <c r="SVP203" s="2"/>
      <c r="SVQ203" s="2"/>
      <c r="SVR203" s="2"/>
      <c r="SVS203" s="2"/>
      <c r="SVT203" s="2"/>
      <c r="SVU203" s="2"/>
      <c r="SVV203" s="2"/>
      <c r="SVW203" s="2"/>
      <c r="SVX203" s="2"/>
      <c r="SVY203" s="2"/>
      <c r="SVZ203" s="2"/>
      <c r="SWA203" s="2"/>
      <c r="SWB203" s="2"/>
      <c r="SWC203" s="2"/>
      <c r="SWD203" s="2"/>
      <c r="SWE203" s="2"/>
      <c r="SWF203" s="2"/>
      <c r="SWG203" s="2"/>
      <c r="SWH203" s="2"/>
      <c r="SWI203" s="2"/>
      <c r="SWJ203" s="2"/>
      <c r="SWK203" s="2"/>
      <c r="SWL203" s="2"/>
      <c r="SWM203" s="2"/>
      <c r="SWN203" s="2"/>
      <c r="SWO203" s="2"/>
      <c r="SWP203" s="2"/>
      <c r="SWQ203" s="2"/>
      <c r="SWR203" s="2"/>
      <c r="SWS203" s="2"/>
      <c r="SWT203" s="2"/>
      <c r="SWU203" s="2"/>
      <c r="SWV203" s="2"/>
      <c r="SWW203" s="2"/>
      <c r="SWX203" s="2"/>
      <c r="SWY203" s="2"/>
      <c r="SWZ203" s="2"/>
      <c r="SXA203" s="2"/>
      <c r="SXB203" s="2"/>
      <c r="SXC203" s="2"/>
      <c r="SXD203" s="2"/>
      <c r="SXE203" s="2"/>
      <c r="SXF203" s="2"/>
      <c r="SXG203" s="2"/>
      <c r="SXH203" s="2"/>
      <c r="SXI203" s="2"/>
      <c r="SXJ203" s="2"/>
      <c r="SXK203" s="2"/>
      <c r="SXL203" s="2"/>
      <c r="SXM203" s="2"/>
      <c r="SXN203" s="2"/>
      <c r="SXO203" s="2"/>
      <c r="SXP203" s="2"/>
      <c r="SXQ203" s="2"/>
      <c r="SXR203" s="2"/>
      <c r="SXS203" s="2"/>
      <c r="SXT203" s="2"/>
      <c r="SXU203" s="2"/>
      <c r="SXV203" s="2"/>
      <c r="SXW203" s="2"/>
      <c r="SXX203" s="2"/>
      <c r="SXY203" s="2"/>
      <c r="SXZ203" s="2"/>
      <c r="SYA203" s="2"/>
      <c r="SYB203" s="2"/>
      <c r="SYC203" s="2"/>
      <c r="SYD203" s="2"/>
      <c r="SYE203" s="2"/>
      <c r="SYF203" s="2"/>
      <c r="SYG203" s="2"/>
      <c r="SYH203" s="2"/>
      <c r="SYI203" s="2"/>
      <c r="SYJ203" s="2"/>
      <c r="SYK203" s="2"/>
      <c r="SYL203" s="2"/>
      <c r="SYM203" s="2"/>
      <c r="SYN203" s="2"/>
      <c r="SYO203" s="2"/>
      <c r="SYP203" s="2"/>
      <c r="SYQ203" s="2"/>
      <c r="SYR203" s="2"/>
      <c r="SYS203" s="2"/>
      <c r="SYT203" s="2"/>
      <c r="SYU203" s="2"/>
      <c r="SYV203" s="2"/>
      <c r="SYW203" s="2"/>
      <c r="SYX203" s="2"/>
      <c r="SYY203" s="2"/>
      <c r="SYZ203" s="2"/>
      <c r="SZA203" s="2"/>
      <c r="SZB203" s="2"/>
      <c r="SZC203" s="2"/>
      <c r="SZD203" s="2"/>
      <c r="SZE203" s="2"/>
      <c r="SZF203" s="2"/>
      <c r="SZG203" s="2"/>
      <c r="SZH203" s="2"/>
      <c r="SZI203" s="2"/>
      <c r="SZJ203" s="2"/>
      <c r="SZK203" s="2"/>
      <c r="SZL203" s="2"/>
      <c r="SZM203" s="2"/>
      <c r="SZN203" s="2"/>
      <c r="SZO203" s="2"/>
      <c r="SZP203" s="2"/>
      <c r="SZQ203" s="2"/>
      <c r="SZR203" s="2"/>
      <c r="SZS203" s="2"/>
      <c r="SZT203" s="2"/>
      <c r="SZU203" s="2"/>
      <c r="SZV203" s="2"/>
      <c r="SZW203" s="2"/>
      <c r="SZX203" s="2"/>
      <c r="SZY203" s="2"/>
      <c r="SZZ203" s="2"/>
      <c r="TAA203" s="2"/>
      <c r="TAB203" s="2"/>
      <c r="TAC203" s="2"/>
      <c r="TAD203" s="2"/>
      <c r="TAE203" s="2"/>
      <c r="TAF203" s="2"/>
      <c r="TAG203" s="2"/>
      <c r="TAH203" s="2"/>
      <c r="TAI203" s="2"/>
      <c r="TAJ203" s="2"/>
      <c r="TAK203" s="2"/>
      <c r="TAL203" s="2"/>
      <c r="TAM203" s="2"/>
      <c r="TAN203" s="2"/>
      <c r="TAO203" s="2"/>
      <c r="TAP203" s="2"/>
      <c r="TAQ203" s="2"/>
      <c r="TAR203" s="2"/>
      <c r="TAS203" s="2"/>
      <c r="TAT203" s="2"/>
      <c r="TAU203" s="2"/>
      <c r="TAV203" s="2"/>
      <c r="TAW203" s="2"/>
      <c r="TAX203" s="2"/>
      <c r="TAY203" s="2"/>
      <c r="TAZ203" s="2"/>
      <c r="TBA203" s="2"/>
      <c r="TBB203" s="2"/>
      <c r="TBC203" s="2"/>
      <c r="TBD203" s="2"/>
      <c r="TBE203" s="2"/>
      <c r="TBF203" s="2"/>
      <c r="TBG203" s="2"/>
      <c r="TBH203" s="2"/>
      <c r="TBI203" s="2"/>
      <c r="TBJ203" s="2"/>
      <c r="TBK203" s="2"/>
      <c r="TBL203" s="2"/>
      <c r="TBM203" s="2"/>
      <c r="TBN203" s="2"/>
      <c r="TBO203" s="2"/>
      <c r="TBP203" s="2"/>
      <c r="TBQ203" s="2"/>
      <c r="TBR203" s="2"/>
      <c r="TBS203" s="2"/>
      <c r="TBT203" s="2"/>
      <c r="TBU203" s="2"/>
      <c r="TBV203" s="2"/>
      <c r="TBW203" s="2"/>
      <c r="TBX203" s="2"/>
      <c r="TBY203" s="2"/>
      <c r="TBZ203" s="2"/>
      <c r="TCA203" s="2"/>
      <c r="TCB203" s="2"/>
      <c r="TCC203" s="2"/>
      <c r="TCD203" s="2"/>
      <c r="TCE203" s="2"/>
      <c r="TCF203" s="2"/>
      <c r="TCG203" s="2"/>
      <c r="TCH203" s="2"/>
      <c r="TCI203" s="2"/>
      <c r="TCJ203" s="2"/>
      <c r="TCK203" s="2"/>
      <c r="TCL203" s="2"/>
      <c r="TCM203" s="2"/>
      <c r="TCN203" s="2"/>
      <c r="TCO203" s="2"/>
      <c r="TCP203" s="2"/>
      <c r="TCQ203" s="2"/>
      <c r="TCR203" s="2"/>
      <c r="TCS203" s="2"/>
      <c r="TCT203" s="2"/>
      <c r="TCU203" s="2"/>
      <c r="TCV203" s="2"/>
      <c r="TCW203" s="2"/>
      <c r="TCX203" s="2"/>
      <c r="TCY203" s="2"/>
      <c r="TCZ203" s="2"/>
      <c r="TDA203" s="2"/>
      <c r="TDB203" s="2"/>
      <c r="TDC203" s="2"/>
      <c r="TDD203" s="2"/>
      <c r="TDE203" s="2"/>
      <c r="TDF203" s="2"/>
      <c r="TDG203" s="2"/>
      <c r="TDH203" s="2"/>
      <c r="TDI203" s="2"/>
      <c r="TDJ203" s="2"/>
      <c r="TDK203" s="2"/>
      <c r="TDL203" s="2"/>
      <c r="TDM203" s="2"/>
      <c r="TDN203" s="2"/>
      <c r="TDO203" s="2"/>
      <c r="TDP203" s="2"/>
      <c r="TDQ203" s="2"/>
      <c r="TDR203" s="2"/>
      <c r="TDS203" s="2"/>
      <c r="TDT203" s="2"/>
      <c r="TDU203" s="2"/>
      <c r="TDV203" s="2"/>
      <c r="TDW203" s="2"/>
      <c r="TDX203" s="2"/>
      <c r="TDY203" s="2"/>
      <c r="TDZ203" s="2"/>
      <c r="TEA203" s="2"/>
      <c r="TEB203" s="2"/>
      <c r="TEC203" s="2"/>
      <c r="TED203" s="2"/>
      <c r="TEE203" s="2"/>
      <c r="TEF203" s="2"/>
      <c r="TEG203" s="2"/>
      <c r="TEH203" s="2"/>
      <c r="TEI203" s="2"/>
      <c r="TEJ203" s="2"/>
      <c r="TEK203" s="2"/>
      <c r="TEL203" s="2"/>
      <c r="TEM203" s="2"/>
      <c r="TEN203" s="2"/>
      <c r="TEO203" s="2"/>
      <c r="TEP203" s="2"/>
      <c r="TEQ203" s="2"/>
      <c r="TER203" s="2"/>
      <c r="TES203" s="2"/>
      <c r="TET203" s="2"/>
      <c r="TEU203" s="2"/>
      <c r="TEV203" s="2"/>
      <c r="TEW203" s="2"/>
      <c r="TEX203" s="2"/>
      <c r="TEY203" s="2"/>
      <c r="TEZ203" s="2"/>
      <c r="TFA203" s="2"/>
      <c r="TFB203" s="2"/>
      <c r="TFC203" s="2"/>
      <c r="TFD203" s="2"/>
      <c r="TFE203" s="2"/>
      <c r="TFF203" s="2"/>
      <c r="TFG203" s="2"/>
      <c r="TFH203" s="2"/>
      <c r="TFI203" s="2"/>
      <c r="TFJ203" s="2"/>
      <c r="TFK203" s="2"/>
      <c r="TFL203" s="2"/>
      <c r="TFM203" s="2"/>
      <c r="TFN203" s="2"/>
      <c r="TFO203" s="2"/>
      <c r="TFP203" s="2"/>
      <c r="TFQ203" s="2"/>
      <c r="TFR203" s="2"/>
      <c r="TFS203" s="2"/>
      <c r="TFT203" s="2"/>
      <c r="TFU203" s="2"/>
      <c r="TFV203" s="2"/>
      <c r="TFW203" s="2"/>
      <c r="TFX203" s="2"/>
      <c r="TFY203" s="2"/>
      <c r="TFZ203" s="2"/>
      <c r="TGA203" s="2"/>
      <c r="TGB203" s="2"/>
      <c r="TGC203" s="2"/>
      <c r="TGD203" s="2"/>
      <c r="TGE203" s="2"/>
      <c r="TGF203" s="2"/>
      <c r="TGG203" s="2"/>
      <c r="TGH203" s="2"/>
      <c r="TGI203" s="2"/>
      <c r="TGJ203" s="2"/>
      <c r="TGK203" s="2"/>
      <c r="TGL203" s="2"/>
      <c r="TGM203" s="2"/>
      <c r="TGN203" s="2"/>
      <c r="TGO203" s="2"/>
      <c r="TGP203" s="2"/>
      <c r="TGQ203" s="2"/>
      <c r="TGR203" s="2"/>
      <c r="TGS203" s="2"/>
      <c r="TGT203" s="2"/>
      <c r="TGU203" s="2"/>
      <c r="TGV203" s="2"/>
      <c r="TGW203" s="2"/>
      <c r="TGX203" s="2"/>
      <c r="TGY203" s="2"/>
      <c r="TGZ203" s="2"/>
      <c r="THA203" s="2"/>
      <c r="THB203" s="2"/>
      <c r="THC203" s="2"/>
      <c r="THD203" s="2"/>
      <c r="THE203" s="2"/>
      <c r="THF203" s="2"/>
      <c r="THG203" s="2"/>
      <c r="THH203" s="2"/>
      <c r="THI203" s="2"/>
      <c r="THJ203" s="2"/>
      <c r="THK203" s="2"/>
      <c r="THL203" s="2"/>
      <c r="THM203" s="2"/>
      <c r="THN203" s="2"/>
      <c r="THO203" s="2"/>
      <c r="THP203" s="2"/>
      <c r="THQ203" s="2"/>
      <c r="THR203" s="2"/>
      <c r="THS203" s="2"/>
      <c r="THT203" s="2"/>
      <c r="THU203" s="2"/>
      <c r="THV203" s="2"/>
      <c r="THW203" s="2"/>
      <c r="THX203" s="2"/>
      <c r="THY203" s="2"/>
      <c r="THZ203" s="2"/>
      <c r="TIA203" s="2"/>
      <c r="TIB203" s="2"/>
      <c r="TIC203" s="2"/>
      <c r="TID203" s="2"/>
      <c r="TIE203" s="2"/>
      <c r="TIF203" s="2"/>
      <c r="TIG203" s="2"/>
      <c r="TIH203" s="2"/>
      <c r="TII203" s="2"/>
      <c r="TIJ203" s="2"/>
      <c r="TIK203" s="2"/>
      <c r="TIL203" s="2"/>
      <c r="TIM203" s="2"/>
      <c r="TIN203" s="2"/>
      <c r="TIO203" s="2"/>
      <c r="TIP203" s="2"/>
      <c r="TIQ203" s="2"/>
      <c r="TIR203" s="2"/>
      <c r="TIS203" s="2"/>
      <c r="TIT203" s="2"/>
      <c r="TIU203" s="2"/>
      <c r="TIV203" s="2"/>
      <c r="TIW203" s="2"/>
      <c r="TIX203" s="2"/>
      <c r="TIY203" s="2"/>
      <c r="TIZ203" s="2"/>
      <c r="TJA203" s="2"/>
      <c r="TJB203" s="2"/>
      <c r="TJC203" s="2"/>
      <c r="TJD203" s="2"/>
      <c r="TJE203" s="2"/>
      <c r="TJF203" s="2"/>
      <c r="TJG203" s="2"/>
      <c r="TJH203" s="2"/>
      <c r="TJI203" s="2"/>
      <c r="TJJ203" s="2"/>
      <c r="TJK203" s="2"/>
      <c r="TJL203" s="2"/>
      <c r="TJM203" s="2"/>
      <c r="TJN203" s="2"/>
      <c r="TJO203" s="2"/>
      <c r="TJP203" s="2"/>
      <c r="TJQ203" s="2"/>
      <c r="TJR203" s="2"/>
      <c r="TJS203" s="2"/>
      <c r="TJT203" s="2"/>
      <c r="TJU203" s="2"/>
      <c r="TJV203" s="2"/>
      <c r="TJW203" s="2"/>
      <c r="TJX203" s="2"/>
      <c r="TJY203" s="2"/>
      <c r="TJZ203" s="2"/>
      <c r="TKA203" s="2"/>
      <c r="TKB203" s="2"/>
      <c r="TKC203" s="2"/>
      <c r="TKD203" s="2"/>
      <c r="TKE203" s="2"/>
      <c r="TKF203" s="2"/>
      <c r="TKG203" s="2"/>
      <c r="TKH203" s="2"/>
      <c r="TKI203" s="2"/>
      <c r="TKJ203" s="2"/>
      <c r="TKK203" s="2"/>
      <c r="TKL203" s="2"/>
      <c r="TKM203" s="2"/>
      <c r="TKN203" s="2"/>
      <c r="TKO203" s="2"/>
      <c r="TKP203" s="2"/>
      <c r="TKQ203" s="2"/>
      <c r="TKR203" s="2"/>
      <c r="TKS203" s="2"/>
      <c r="TKT203" s="2"/>
      <c r="TKU203" s="2"/>
      <c r="TKV203" s="2"/>
      <c r="TKW203" s="2"/>
      <c r="TKX203" s="2"/>
      <c r="TKY203" s="2"/>
      <c r="TKZ203" s="2"/>
      <c r="TLA203" s="2"/>
      <c r="TLB203" s="2"/>
      <c r="TLC203" s="2"/>
      <c r="TLD203" s="2"/>
      <c r="TLE203" s="2"/>
      <c r="TLF203" s="2"/>
      <c r="TLG203" s="2"/>
      <c r="TLH203" s="2"/>
      <c r="TLI203" s="2"/>
      <c r="TLJ203" s="2"/>
      <c r="TLK203" s="2"/>
      <c r="TLL203" s="2"/>
      <c r="TLM203" s="2"/>
      <c r="TLN203" s="2"/>
      <c r="TLO203" s="2"/>
      <c r="TLP203" s="2"/>
      <c r="TLQ203" s="2"/>
      <c r="TLR203" s="2"/>
      <c r="TLS203" s="2"/>
      <c r="TLT203" s="2"/>
      <c r="TLU203" s="2"/>
      <c r="TLV203" s="2"/>
      <c r="TLW203" s="2"/>
      <c r="TLX203" s="2"/>
      <c r="TLY203" s="2"/>
      <c r="TLZ203" s="2"/>
      <c r="TMA203" s="2"/>
      <c r="TMB203" s="2"/>
      <c r="TMC203" s="2"/>
      <c r="TMD203" s="2"/>
      <c r="TME203" s="2"/>
      <c r="TMF203" s="2"/>
      <c r="TMG203" s="2"/>
      <c r="TMH203" s="2"/>
      <c r="TMI203" s="2"/>
      <c r="TMJ203" s="2"/>
      <c r="TMK203" s="2"/>
      <c r="TML203" s="2"/>
      <c r="TMM203" s="2"/>
      <c r="TMN203" s="2"/>
      <c r="TMO203" s="2"/>
      <c r="TMP203" s="2"/>
      <c r="TMQ203" s="2"/>
      <c r="TMR203" s="2"/>
      <c r="TMS203" s="2"/>
      <c r="TMT203" s="2"/>
      <c r="TMU203" s="2"/>
      <c r="TMV203" s="2"/>
      <c r="TMW203" s="2"/>
      <c r="TMX203" s="2"/>
      <c r="TMY203" s="2"/>
      <c r="TMZ203" s="2"/>
      <c r="TNA203" s="2"/>
      <c r="TNB203" s="2"/>
      <c r="TNC203" s="2"/>
      <c r="TND203" s="2"/>
      <c r="TNE203" s="2"/>
      <c r="TNF203" s="2"/>
      <c r="TNG203" s="2"/>
      <c r="TNH203" s="2"/>
      <c r="TNI203" s="2"/>
      <c r="TNJ203" s="2"/>
      <c r="TNK203" s="2"/>
      <c r="TNL203" s="2"/>
      <c r="TNM203" s="2"/>
      <c r="TNN203" s="2"/>
      <c r="TNO203" s="2"/>
      <c r="TNP203" s="2"/>
      <c r="TNQ203" s="2"/>
      <c r="TNR203" s="2"/>
      <c r="TNS203" s="2"/>
      <c r="TNT203" s="2"/>
      <c r="TNU203" s="2"/>
      <c r="TNV203" s="2"/>
      <c r="TNW203" s="2"/>
      <c r="TNX203" s="2"/>
      <c r="TNY203" s="2"/>
      <c r="TNZ203" s="2"/>
      <c r="TOA203" s="2"/>
      <c r="TOB203" s="2"/>
      <c r="TOC203" s="2"/>
      <c r="TOD203" s="2"/>
      <c r="TOE203" s="2"/>
      <c r="TOF203" s="2"/>
      <c r="TOG203" s="2"/>
      <c r="TOH203" s="2"/>
      <c r="TOI203" s="2"/>
      <c r="TOJ203" s="2"/>
      <c r="TOK203" s="2"/>
      <c r="TOL203" s="2"/>
      <c r="TOM203" s="2"/>
      <c r="TON203" s="2"/>
      <c r="TOO203" s="2"/>
      <c r="TOP203" s="2"/>
      <c r="TOQ203" s="2"/>
      <c r="TOR203" s="2"/>
      <c r="TOS203" s="2"/>
      <c r="TOT203" s="2"/>
      <c r="TOU203" s="2"/>
      <c r="TOV203" s="2"/>
      <c r="TOW203" s="2"/>
      <c r="TOX203" s="2"/>
      <c r="TOY203" s="2"/>
      <c r="TOZ203" s="2"/>
      <c r="TPA203" s="2"/>
      <c r="TPB203" s="2"/>
      <c r="TPC203" s="2"/>
      <c r="TPD203" s="2"/>
      <c r="TPE203" s="2"/>
      <c r="TPF203" s="2"/>
      <c r="TPG203" s="2"/>
      <c r="TPH203" s="2"/>
      <c r="TPI203" s="2"/>
      <c r="TPJ203" s="2"/>
      <c r="TPK203" s="2"/>
      <c r="TPL203" s="2"/>
      <c r="TPM203" s="2"/>
      <c r="TPN203" s="2"/>
      <c r="TPO203" s="2"/>
      <c r="TPP203" s="2"/>
      <c r="TPQ203" s="2"/>
      <c r="TPR203" s="2"/>
      <c r="TPS203" s="2"/>
      <c r="TPT203" s="2"/>
      <c r="TPU203" s="2"/>
      <c r="TPV203" s="2"/>
      <c r="TPW203" s="2"/>
      <c r="TPX203" s="2"/>
      <c r="TPY203" s="2"/>
      <c r="TPZ203" s="2"/>
      <c r="TQA203" s="2"/>
      <c r="TQB203" s="2"/>
      <c r="TQC203" s="2"/>
      <c r="TQD203" s="2"/>
      <c r="TQE203" s="2"/>
      <c r="TQF203" s="2"/>
      <c r="TQG203" s="2"/>
      <c r="TQH203" s="2"/>
      <c r="TQI203" s="2"/>
      <c r="TQJ203" s="2"/>
      <c r="TQK203" s="2"/>
      <c r="TQL203" s="2"/>
      <c r="TQM203" s="2"/>
      <c r="TQN203" s="2"/>
      <c r="TQO203" s="2"/>
      <c r="TQP203" s="2"/>
      <c r="TQQ203" s="2"/>
      <c r="TQR203" s="2"/>
      <c r="TQS203" s="2"/>
      <c r="TQT203" s="2"/>
      <c r="TQU203" s="2"/>
      <c r="TQV203" s="2"/>
      <c r="TQW203" s="2"/>
      <c r="TQX203" s="2"/>
      <c r="TQY203" s="2"/>
      <c r="TQZ203" s="2"/>
      <c r="TRA203" s="2"/>
      <c r="TRB203" s="2"/>
      <c r="TRC203" s="2"/>
      <c r="TRD203" s="2"/>
      <c r="TRE203" s="2"/>
      <c r="TRF203" s="2"/>
      <c r="TRG203" s="2"/>
      <c r="TRH203" s="2"/>
      <c r="TRI203" s="2"/>
      <c r="TRJ203" s="2"/>
      <c r="TRK203" s="2"/>
      <c r="TRL203" s="2"/>
      <c r="TRM203" s="2"/>
      <c r="TRN203" s="2"/>
      <c r="TRO203" s="2"/>
      <c r="TRP203" s="2"/>
      <c r="TRQ203" s="2"/>
      <c r="TRR203" s="2"/>
      <c r="TRS203" s="2"/>
      <c r="TRT203" s="2"/>
      <c r="TRU203" s="2"/>
      <c r="TRV203" s="2"/>
      <c r="TRW203" s="2"/>
      <c r="TRX203" s="2"/>
      <c r="TRY203" s="2"/>
      <c r="TRZ203" s="2"/>
      <c r="TSA203" s="2"/>
      <c r="TSB203" s="2"/>
      <c r="TSC203" s="2"/>
      <c r="TSD203" s="2"/>
      <c r="TSE203" s="2"/>
      <c r="TSF203" s="2"/>
      <c r="TSG203" s="2"/>
      <c r="TSH203" s="2"/>
      <c r="TSI203" s="2"/>
      <c r="TSJ203" s="2"/>
      <c r="TSK203" s="2"/>
      <c r="TSL203" s="2"/>
      <c r="TSM203" s="2"/>
      <c r="TSN203" s="2"/>
      <c r="TSO203" s="2"/>
      <c r="TSP203" s="2"/>
      <c r="TSQ203" s="2"/>
      <c r="TSR203" s="2"/>
      <c r="TSS203" s="2"/>
      <c r="TST203" s="2"/>
      <c r="TSU203" s="2"/>
      <c r="TSV203" s="2"/>
      <c r="TSW203" s="2"/>
      <c r="TSX203" s="2"/>
      <c r="TSY203" s="2"/>
      <c r="TSZ203" s="2"/>
      <c r="TTA203" s="2"/>
      <c r="TTB203" s="2"/>
      <c r="TTC203" s="2"/>
      <c r="TTD203" s="2"/>
      <c r="TTE203" s="2"/>
      <c r="TTF203" s="2"/>
      <c r="TTG203" s="2"/>
      <c r="TTH203" s="2"/>
      <c r="TTI203" s="2"/>
      <c r="TTJ203" s="2"/>
      <c r="TTK203" s="2"/>
      <c r="TTL203" s="2"/>
      <c r="TTM203" s="2"/>
      <c r="TTN203" s="2"/>
      <c r="TTO203" s="2"/>
      <c r="TTP203" s="2"/>
      <c r="TTQ203" s="2"/>
      <c r="TTR203" s="2"/>
      <c r="TTS203" s="2"/>
      <c r="TTT203" s="2"/>
      <c r="TTU203" s="2"/>
      <c r="TTV203" s="2"/>
      <c r="TTW203" s="2"/>
      <c r="TTX203" s="2"/>
      <c r="TTY203" s="2"/>
      <c r="TTZ203" s="2"/>
      <c r="TUA203" s="2"/>
      <c r="TUB203" s="2"/>
      <c r="TUC203" s="2"/>
      <c r="TUD203" s="2"/>
      <c r="TUE203" s="2"/>
      <c r="TUF203" s="2"/>
      <c r="TUG203" s="2"/>
      <c r="TUH203" s="2"/>
      <c r="TUI203" s="2"/>
      <c r="TUJ203" s="2"/>
      <c r="TUK203" s="2"/>
      <c r="TUL203" s="2"/>
      <c r="TUM203" s="2"/>
      <c r="TUN203" s="2"/>
      <c r="TUO203" s="2"/>
      <c r="TUP203" s="2"/>
      <c r="TUQ203" s="2"/>
      <c r="TUR203" s="2"/>
      <c r="TUS203" s="2"/>
      <c r="TUT203" s="2"/>
      <c r="TUU203" s="2"/>
      <c r="TUV203" s="2"/>
      <c r="TUW203" s="2"/>
      <c r="TUX203" s="2"/>
      <c r="TUY203" s="2"/>
      <c r="TUZ203" s="2"/>
      <c r="TVA203" s="2"/>
      <c r="TVB203" s="2"/>
      <c r="TVC203" s="2"/>
      <c r="TVD203" s="2"/>
      <c r="TVE203" s="2"/>
      <c r="TVF203" s="2"/>
      <c r="TVG203" s="2"/>
      <c r="TVH203" s="2"/>
      <c r="TVI203" s="2"/>
      <c r="TVJ203" s="2"/>
      <c r="TVK203" s="2"/>
      <c r="TVL203" s="2"/>
      <c r="TVM203" s="2"/>
      <c r="TVN203" s="2"/>
      <c r="TVO203" s="2"/>
      <c r="TVP203" s="2"/>
      <c r="TVQ203" s="2"/>
      <c r="TVR203" s="2"/>
      <c r="TVS203" s="2"/>
      <c r="TVT203" s="2"/>
      <c r="TVU203" s="2"/>
      <c r="TVV203" s="2"/>
      <c r="TVW203" s="2"/>
      <c r="TVX203" s="2"/>
      <c r="TVY203" s="2"/>
      <c r="TVZ203" s="2"/>
      <c r="TWA203" s="2"/>
      <c r="TWB203" s="2"/>
      <c r="TWC203" s="2"/>
      <c r="TWD203" s="2"/>
      <c r="TWE203" s="2"/>
      <c r="TWF203" s="2"/>
      <c r="TWG203" s="2"/>
      <c r="TWH203" s="2"/>
      <c r="TWI203" s="2"/>
      <c r="TWJ203" s="2"/>
      <c r="TWK203" s="2"/>
      <c r="TWL203" s="2"/>
      <c r="TWM203" s="2"/>
      <c r="TWN203" s="2"/>
      <c r="TWO203" s="2"/>
      <c r="TWP203" s="2"/>
      <c r="TWQ203" s="2"/>
      <c r="TWR203" s="2"/>
      <c r="TWS203" s="2"/>
      <c r="TWT203" s="2"/>
      <c r="TWU203" s="2"/>
      <c r="TWV203" s="2"/>
      <c r="TWW203" s="2"/>
      <c r="TWX203" s="2"/>
      <c r="TWY203" s="2"/>
      <c r="TWZ203" s="2"/>
      <c r="TXA203" s="2"/>
      <c r="TXB203" s="2"/>
      <c r="TXC203" s="2"/>
      <c r="TXD203" s="2"/>
      <c r="TXE203" s="2"/>
      <c r="TXF203" s="2"/>
      <c r="TXG203" s="2"/>
      <c r="TXH203" s="2"/>
      <c r="TXI203" s="2"/>
      <c r="TXJ203" s="2"/>
      <c r="TXK203" s="2"/>
      <c r="TXL203" s="2"/>
      <c r="TXM203" s="2"/>
      <c r="TXN203" s="2"/>
      <c r="TXO203" s="2"/>
      <c r="TXP203" s="2"/>
      <c r="TXQ203" s="2"/>
      <c r="TXR203" s="2"/>
      <c r="TXS203" s="2"/>
      <c r="TXT203" s="2"/>
      <c r="TXU203" s="2"/>
      <c r="TXV203" s="2"/>
      <c r="TXW203" s="2"/>
      <c r="TXX203" s="2"/>
      <c r="TXY203" s="2"/>
      <c r="TXZ203" s="2"/>
      <c r="TYA203" s="2"/>
      <c r="TYB203" s="2"/>
      <c r="TYC203" s="2"/>
      <c r="TYD203" s="2"/>
      <c r="TYE203" s="2"/>
      <c r="TYF203" s="2"/>
      <c r="TYG203" s="2"/>
      <c r="TYH203" s="2"/>
      <c r="TYI203" s="2"/>
      <c r="TYJ203" s="2"/>
      <c r="TYK203" s="2"/>
      <c r="TYL203" s="2"/>
      <c r="TYM203" s="2"/>
      <c r="TYN203" s="2"/>
      <c r="TYO203" s="2"/>
      <c r="TYP203" s="2"/>
      <c r="TYQ203" s="2"/>
      <c r="TYR203" s="2"/>
      <c r="TYS203" s="2"/>
      <c r="TYT203" s="2"/>
      <c r="TYU203" s="2"/>
      <c r="TYV203" s="2"/>
      <c r="TYW203" s="2"/>
      <c r="TYX203" s="2"/>
      <c r="TYY203" s="2"/>
      <c r="TYZ203" s="2"/>
      <c r="TZA203" s="2"/>
      <c r="TZB203" s="2"/>
      <c r="TZC203" s="2"/>
      <c r="TZD203" s="2"/>
      <c r="TZE203" s="2"/>
      <c r="TZF203" s="2"/>
      <c r="TZG203" s="2"/>
      <c r="TZH203" s="2"/>
      <c r="TZI203" s="2"/>
      <c r="TZJ203" s="2"/>
      <c r="TZK203" s="2"/>
      <c r="TZL203" s="2"/>
      <c r="TZM203" s="2"/>
      <c r="TZN203" s="2"/>
      <c r="TZO203" s="2"/>
      <c r="TZP203" s="2"/>
      <c r="TZQ203" s="2"/>
      <c r="TZR203" s="2"/>
      <c r="TZS203" s="2"/>
      <c r="TZT203" s="2"/>
      <c r="TZU203" s="2"/>
      <c r="TZV203" s="2"/>
      <c r="TZW203" s="2"/>
      <c r="TZX203" s="2"/>
      <c r="TZY203" s="2"/>
      <c r="TZZ203" s="2"/>
      <c r="UAA203" s="2"/>
      <c r="UAB203" s="2"/>
      <c r="UAC203" s="2"/>
      <c r="UAD203" s="2"/>
      <c r="UAE203" s="2"/>
      <c r="UAF203" s="2"/>
      <c r="UAG203" s="2"/>
      <c r="UAH203" s="2"/>
      <c r="UAI203" s="2"/>
      <c r="UAJ203" s="2"/>
      <c r="UAK203" s="2"/>
      <c r="UAL203" s="2"/>
      <c r="UAM203" s="2"/>
      <c r="UAN203" s="2"/>
      <c r="UAO203" s="2"/>
      <c r="UAP203" s="2"/>
      <c r="UAQ203" s="2"/>
      <c r="UAR203" s="2"/>
      <c r="UAS203" s="2"/>
      <c r="UAT203" s="2"/>
      <c r="UAU203" s="2"/>
      <c r="UAV203" s="2"/>
      <c r="UAW203" s="2"/>
      <c r="UAX203" s="2"/>
      <c r="UAY203" s="2"/>
      <c r="UAZ203" s="2"/>
      <c r="UBA203" s="2"/>
      <c r="UBB203" s="2"/>
      <c r="UBC203" s="2"/>
      <c r="UBD203" s="2"/>
      <c r="UBE203" s="2"/>
      <c r="UBF203" s="2"/>
      <c r="UBG203" s="2"/>
      <c r="UBH203" s="2"/>
      <c r="UBI203" s="2"/>
      <c r="UBJ203" s="2"/>
      <c r="UBK203" s="2"/>
      <c r="UBL203" s="2"/>
      <c r="UBM203" s="2"/>
      <c r="UBN203" s="2"/>
      <c r="UBO203" s="2"/>
      <c r="UBP203" s="2"/>
      <c r="UBQ203" s="2"/>
      <c r="UBR203" s="2"/>
      <c r="UBS203" s="2"/>
      <c r="UBT203" s="2"/>
      <c r="UBU203" s="2"/>
      <c r="UBV203" s="2"/>
      <c r="UBW203" s="2"/>
      <c r="UBX203" s="2"/>
      <c r="UBY203" s="2"/>
      <c r="UBZ203" s="2"/>
      <c r="UCA203" s="2"/>
      <c r="UCB203" s="2"/>
      <c r="UCC203" s="2"/>
      <c r="UCD203" s="2"/>
      <c r="UCE203" s="2"/>
      <c r="UCF203" s="2"/>
      <c r="UCG203" s="2"/>
      <c r="UCH203" s="2"/>
      <c r="UCI203" s="2"/>
      <c r="UCJ203" s="2"/>
      <c r="UCK203" s="2"/>
      <c r="UCL203" s="2"/>
      <c r="UCM203" s="2"/>
      <c r="UCN203" s="2"/>
      <c r="UCO203" s="2"/>
      <c r="UCP203" s="2"/>
      <c r="UCQ203" s="2"/>
      <c r="UCR203" s="2"/>
      <c r="UCS203" s="2"/>
      <c r="UCT203" s="2"/>
      <c r="UCU203" s="2"/>
      <c r="UCV203" s="2"/>
      <c r="UCW203" s="2"/>
      <c r="UCX203" s="2"/>
      <c r="UCY203" s="2"/>
      <c r="UCZ203" s="2"/>
      <c r="UDA203" s="2"/>
      <c r="UDB203" s="2"/>
      <c r="UDC203" s="2"/>
      <c r="UDD203" s="2"/>
      <c r="UDE203" s="2"/>
      <c r="UDF203" s="2"/>
      <c r="UDG203" s="2"/>
      <c r="UDH203" s="2"/>
      <c r="UDI203" s="2"/>
      <c r="UDJ203" s="2"/>
      <c r="UDK203" s="2"/>
      <c r="UDL203" s="2"/>
      <c r="UDM203" s="2"/>
      <c r="UDN203" s="2"/>
      <c r="UDO203" s="2"/>
      <c r="UDP203" s="2"/>
      <c r="UDQ203" s="2"/>
      <c r="UDR203" s="2"/>
      <c r="UDS203" s="2"/>
      <c r="UDT203" s="2"/>
      <c r="UDU203" s="2"/>
      <c r="UDV203" s="2"/>
      <c r="UDW203" s="2"/>
      <c r="UDX203" s="2"/>
      <c r="UDY203" s="2"/>
      <c r="UDZ203" s="2"/>
      <c r="UEA203" s="2"/>
      <c r="UEB203" s="2"/>
      <c r="UEC203" s="2"/>
      <c r="UED203" s="2"/>
      <c r="UEE203" s="2"/>
      <c r="UEF203" s="2"/>
      <c r="UEG203" s="2"/>
      <c r="UEH203" s="2"/>
      <c r="UEI203" s="2"/>
      <c r="UEJ203" s="2"/>
      <c r="UEK203" s="2"/>
      <c r="UEL203" s="2"/>
      <c r="UEM203" s="2"/>
      <c r="UEN203" s="2"/>
      <c r="UEO203" s="2"/>
      <c r="UEP203" s="2"/>
      <c r="UEQ203" s="2"/>
      <c r="UER203" s="2"/>
      <c r="UES203" s="2"/>
      <c r="UET203" s="2"/>
      <c r="UEU203" s="2"/>
      <c r="UEV203" s="2"/>
      <c r="UEW203" s="2"/>
      <c r="UEX203" s="2"/>
      <c r="UEY203" s="2"/>
      <c r="UEZ203" s="2"/>
      <c r="UFA203" s="2"/>
      <c r="UFB203" s="2"/>
      <c r="UFC203" s="2"/>
      <c r="UFD203" s="2"/>
      <c r="UFE203" s="2"/>
      <c r="UFF203" s="2"/>
      <c r="UFG203" s="2"/>
      <c r="UFH203" s="2"/>
      <c r="UFI203" s="2"/>
      <c r="UFJ203" s="2"/>
      <c r="UFK203" s="2"/>
      <c r="UFL203" s="2"/>
      <c r="UFM203" s="2"/>
      <c r="UFN203" s="2"/>
      <c r="UFO203" s="2"/>
      <c r="UFP203" s="2"/>
      <c r="UFQ203" s="2"/>
      <c r="UFR203" s="2"/>
      <c r="UFS203" s="2"/>
      <c r="UFT203" s="2"/>
      <c r="UFU203" s="2"/>
      <c r="UFV203" s="2"/>
      <c r="UFW203" s="2"/>
      <c r="UFX203" s="2"/>
      <c r="UFY203" s="2"/>
      <c r="UFZ203" s="2"/>
      <c r="UGA203" s="2"/>
      <c r="UGB203" s="2"/>
      <c r="UGC203" s="2"/>
      <c r="UGD203" s="2"/>
      <c r="UGE203" s="2"/>
      <c r="UGF203" s="2"/>
      <c r="UGG203" s="2"/>
      <c r="UGH203" s="2"/>
      <c r="UGI203" s="2"/>
      <c r="UGJ203" s="2"/>
      <c r="UGK203" s="2"/>
      <c r="UGL203" s="2"/>
      <c r="UGM203" s="2"/>
      <c r="UGN203" s="2"/>
      <c r="UGO203" s="2"/>
      <c r="UGP203" s="2"/>
      <c r="UGQ203" s="2"/>
      <c r="UGR203" s="2"/>
      <c r="UGS203" s="2"/>
      <c r="UGT203" s="2"/>
      <c r="UGU203" s="2"/>
      <c r="UGV203" s="2"/>
      <c r="UGW203" s="2"/>
      <c r="UGX203" s="2"/>
      <c r="UGY203" s="2"/>
      <c r="UGZ203" s="2"/>
      <c r="UHA203" s="2"/>
      <c r="UHB203" s="2"/>
      <c r="UHC203" s="2"/>
      <c r="UHD203" s="2"/>
      <c r="UHE203" s="2"/>
      <c r="UHF203" s="2"/>
      <c r="UHG203" s="2"/>
      <c r="UHH203" s="2"/>
      <c r="UHI203" s="2"/>
      <c r="UHJ203" s="2"/>
      <c r="UHK203" s="2"/>
      <c r="UHL203" s="2"/>
      <c r="UHM203" s="2"/>
      <c r="UHN203" s="2"/>
      <c r="UHO203" s="2"/>
      <c r="UHP203" s="2"/>
      <c r="UHQ203" s="2"/>
      <c r="UHR203" s="2"/>
      <c r="UHS203" s="2"/>
      <c r="UHT203" s="2"/>
      <c r="UHU203" s="2"/>
      <c r="UHV203" s="2"/>
      <c r="UHW203" s="2"/>
      <c r="UHX203" s="2"/>
      <c r="UHY203" s="2"/>
      <c r="UHZ203" s="2"/>
      <c r="UIA203" s="2"/>
      <c r="UIB203" s="2"/>
      <c r="UIC203" s="2"/>
      <c r="UID203" s="2"/>
      <c r="UIE203" s="2"/>
      <c r="UIF203" s="2"/>
      <c r="UIG203" s="2"/>
      <c r="UIH203" s="2"/>
      <c r="UII203" s="2"/>
      <c r="UIJ203" s="2"/>
      <c r="UIK203" s="2"/>
      <c r="UIL203" s="2"/>
      <c r="UIM203" s="2"/>
      <c r="UIN203" s="2"/>
      <c r="UIO203" s="2"/>
      <c r="UIP203" s="2"/>
      <c r="UIQ203" s="2"/>
      <c r="UIR203" s="2"/>
      <c r="UIS203" s="2"/>
      <c r="UIT203" s="2"/>
      <c r="UIU203" s="2"/>
      <c r="UIV203" s="2"/>
      <c r="UIW203" s="2"/>
      <c r="UIX203" s="2"/>
      <c r="UIY203" s="2"/>
      <c r="UIZ203" s="2"/>
      <c r="UJA203" s="2"/>
      <c r="UJB203" s="2"/>
      <c r="UJC203" s="2"/>
      <c r="UJD203" s="2"/>
      <c r="UJE203" s="2"/>
      <c r="UJF203" s="2"/>
      <c r="UJG203" s="2"/>
      <c r="UJH203" s="2"/>
      <c r="UJI203" s="2"/>
      <c r="UJJ203" s="2"/>
      <c r="UJK203" s="2"/>
      <c r="UJL203" s="2"/>
      <c r="UJM203" s="2"/>
      <c r="UJN203" s="2"/>
      <c r="UJO203" s="2"/>
      <c r="UJP203" s="2"/>
      <c r="UJQ203" s="2"/>
      <c r="UJR203" s="2"/>
      <c r="UJS203" s="2"/>
      <c r="UJT203" s="2"/>
      <c r="UJU203" s="2"/>
      <c r="UJV203" s="2"/>
      <c r="UJW203" s="2"/>
      <c r="UJX203" s="2"/>
      <c r="UJY203" s="2"/>
      <c r="UJZ203" s="2"/>
      <c r="UKA203" s="2"/>
      <c r="UKB203" s="2"/>
      <c r="UKC203" s="2"/>
      <c r="UKD203" s="2"/>
      <c r="UKE203" s="2"/>
      <c r="UKF203" s="2"/>
      <c r="UKG203" s="2"/>
      <c r="UKH203" s="2"/>
      <c r="UKI203" s="2"/>
      <c r="UKJ203" s="2"/>
      <c r="UKK203" s="2"/>
      <c r="UKL203" s="2"/>
      <c r="UKM203" s="2"/>
      <c r="UKN203" s="2"/>
      <c r="UKO203" s="2"/>
      <c r="UKP203" s="2"/>
      <c r="UKQ203" s="2"/>
      <c r="UKR203" s="2"/>
      <c r="UKS203" s="2"/>
      <c r="UKT203" s="2"/>
      <c r="UKU203" s="2"/>
      <c r="UKV203" s="2"/>
      <c r="UKW203" s="2"/>
      <c r="UKX203" s="2"/>
      <c r="UKY203" s="2"/>
      <c r="UKZ203" s="2"/>
      <c r="ULA203" s="2"/>
      <c r="ULB203" s="2"/>
      <c r="ULC203" s="2"/>
      <c r="ULD203" s="2"/>
      <c r="ULE203" s="2"/>
      <c r="ULF203" s="2"/>
      <c r="ULG203" s="2"/>
      <c r="ULH203" s="2"/>
      <c r="ULI203" s="2"/>
      <c r="ULJ203" s="2"/>
      <c r="ULK203" s="2"/>
      <c r="ULL203" s="2"/>
      <c r="ULM203" s="2"/>
      <c r="ULN203" s="2"/>
      <c r="ULO203" s="2"/>
      <c r="ULP203" s="2"/>
      <c r="ULQ203" s="2"/>
      <c r="ULR203" s="2"/>
      <c r="ULS203" s="2"/>
      <c r="ULT203" s="2"/>
      <c r="ULU203" s="2"/>
      <c r="ULV203" s="2"/>
      <c r="ULW203" s="2"/>
      <c r="ULX203" s="2"/>
      <c r="ULY203" s="2"/>
      <c r="ULZ203" s="2"/>
      <c r="UMA203" s="2"/>
      <c r="UMB203" s="2"/>
      <c r="UMC203" s="2"/>
      <c r="UMD203" s="2"/>
      <c r="UME203" s="2"/>
      <c r="UMF203" s="2"/>
      <c r="UMG203" s="2"/>
      <c r="UMH203" s="2"/>
      <c r="UMI203" s="2"/>
      <c r="UMJ203" s="2"/>
      <c r="UMK203" s="2"/>
      <c r="UML203" s="2"/>
      <c r="UMM203" s="2"/>
      <c r="UMN203" s="2"/>
      <c r="UMO203" s="2"/>
      <c r="UMP203" s="2"/>
      <c r="UMQ203" s="2"/>
      <c r="UMR203" s="2"/>
      <c r="UMS203" s="2"/>
      <c r="UMT203" s="2"/>
      <c r="UMU203" s="2"/>
      <c r="UMV203" s="2"/>
      <c r="UMW203" s="2"/>
      <c r="UMX203" s="2"/>
      <c r="UMY203" s="2"/>
      <c r="UMZ203" s="2"/>
      <c r="UNA203" s="2"/>
      <c r="UNB203" s="2"/>
      <c r="UNC203" s="2"/>
      <c r="UND203" s="2"/>
      <c r="UNE203" s="2"/>
      <c r="UNF203" s="2"/>
      <c r="UNG203" s="2"/>
      <c r="UNH203" s="2"/>
      <c r="UNI203" s="2"/>
      <c r="UNJ203" s="2"/>
      <c r="UNK203" s="2"/>
      <c r="UNL203" s="2"/>
      <c r="UNM203" s="2"/>
      <c r="UNN203" s="2"/>
      <c r="UNO203" s="2"/>
      <c r="UNP203" s="2"/>
      <c r="UNQ203" s="2"/>
      <c r="UNR203" s="2"/>
      <c r="UNS203" s="2"/>
      <c r="UNT203" s="2"/>
      <c r="UNU203" s="2"/>
      <c r="UNV203" s="2"/>
      <c r="UNW203" s="2"/>
      <c r="UNX203" s="2"/>
      <c r="UNY203" s="2"/>
      <c r="UNZ203" s="2"/>
      <c r="UOA203" s="2"/>
      <c r="UOB203" s="2"/>
      <c r="UOC203" s="2"/>
      <c r="UOD203" s="2"/>
      <c r="UOE203" s="2"/>
      <c r="UOF203" s="2"/>
      <c r="UOG203" s="2"/>
      <c r="UOH203" s="2"/>
      <c r="UOI203" s="2"/>
      <c r="UOJ203" s="2"/>
      <c r="UOK203" s="2"/>
      <c r="UOL203" s="2"/>
      <c r="UOM203" s="2"/>
      <c r="UON203" s="2"/>
      <c r="UOO203" s="2"/>
      <c r="UOP203" s="2"/>
      <c r="UOQ203" s="2"/>
      <c r="UOR203" s="2"/>
      <c r="UOS203" s="2"/>
      <c r="UOT203" s="2"/>
      <c r="UOU203" s="2"/>
      <c r="UOV203" s="2"/>
      <c r="UOW203" s="2"/>
      <c r="UOX203" s="2"/>
      <c r="UOY203" s="2"/>
      <c r="UOZ203" s="2"/>
      <c r="UPA203" s="2"/>
      <c r="UPB203" s="2"/>
      <c r="UPC203" s="2"/>
      <c r="UPD203" s="2"/>
      <c r="UPE203" s="2"/>
      <c r="UPF203" s="2"/>
      <c r="UPG203" s="2"/>
      <c r="UPH203" s="2"/>
      <c r="UPI203" s="2"/>
      <c r="UPJ203" s="2"/>
      <c r="UPK203" s="2"/>
      <c r="UPL203" s="2"/>
      <c r="UPM203" s="2"/>
      <c r="UPN203" s="2"/>
      <c r="UPO203" s="2"/>
      <c r="UPP203" s="2"/>
      <c r="UPQ203" s="2"/>
      <c r="UPR203" s="2"/>
      <c r="UPS203" s="2"/>
      <c r="UPT203" s="2"/>
      <c r="UPU203" s="2"/>
      <c r="UPV203" s="2"/>
      <c r="UPW203" s="2"/>
      <c r="UPX203" s="2"/>
      <c r="UPY203" s="2"/>
      <c r="UPZ203" s="2"/>
      <c r="UQA203" s="2"/>
      <c r="UQB203" s="2"/>
      <c r="UQC203" s="2"/>
      <c r="UQD203" s="2"/>
      <c r="UQE203" s="2"/>
      <c r="UQF203" s="2"/>
      <c r="UQG203" s="2"/>
      <c r="UQH203" s="2"/>
      <c r="UQI203" s="2"/>
      <c r="UQJ203" s="2"/>
      <c r="UQK203" s="2"/>
      <c r="UQL203" s="2"/>
      <c r="UQM203" s="2"/>
      <c r="UQN203" s="2"/>
      <c r="UQO203" s="2"/>
      <c r="UQP203" s="2"/>
      <c r="UQQ203" s="2"/>
      <c r="UQR203" s="2"/>
      <c r="UQS203" s="2"/>
      <c r="UQT203" s="2"/>
      <c r="UQU203" s="2"/>
      <c r="UQV203" s="2"/>
      <c r="UQW203" s="2"/>
      <c r="UQX203" s="2"/>
      <c r="UQY203" s="2"/>
      <c r="UQZ203" s="2"/>
      <c r="URA203" s="2"/>
      <c r="URB203" s="2"/>
      <c r="URC203" s="2"/>
      <c r="URD203" s="2"/>
      <c r="URE203" s="2"/>
      <c r="URF203" s="2"/>
      <c r="URG203" s="2"/>
      <c r="URH203" s="2"/>
      <c r="URI203" s="2"/>
      <c r="URJ203" s="2"/>
      <c r="URK203" s="2"/>
      <c r="URL203" s="2"/>
      <c r="URM203" s="2"/>
      <c r="URN203" s="2"/>
      <c r="URO203" s="2"/>
      <c r="URP203" s="2"/>
      <c r="URQ203" s="2"/>
      <c r="URR203" s="2"/>
      <c r="URS203" s="2"/>
      <c r="URT203" s="2"/>
      <c r="URU203" s="2"/>
      <c r="URV203" s="2"/>
      <c r="URW203" s="2"/>
      <c r="URX203" s="2"/>
      <c r="URY203" s="2"/>
      <c r="URZ203" s="2"/>
      <c r="USA203" s="2"/>
      <c r="USB203" s="2"/>
      <c r="USC203" s="2"/>
      <c r="USD203" s="2"/>
      <c r="USE203" s="2"/>
      <c r="USF203" s="2"/>
      <c r="USG203" s="2"/>
      <c r="USH203" s="2"/>
      <c r="USI203" s="2"/>
      <c r="USJ203" s="2"/>
      <c r="USK203" s="2"/>
      <c r="USL203" s="2"/>
      <c r="USM203" s="2"/>
      <c r="USN203" s="2"/>
      <c r="USO203" s="2"/>
      <c r="USP203" s="2"/>
      <c r="USQ203" s="2"/>
      <c r="USR203" s="2"/>
      <c r="USS203" s="2"/>
      <c r="UST203" s="2"/>
      <c r="USU203" s="2"/>
      <c r="USV203" s="2"/>
      <c r="USW203" s="2"/>
      <c r="USX203" s="2"/>
      <c r="USY203" s="2"/>
      <c r="USZ203" s="2"/>
      <c r="UTA203" s="2"/>
      <c r="UTB203" s="2"/>
      <c r="UTC203" s="2"/>
      <c r="UTD203" s="2"/>
      <c r="UTE203" s="2"/>
      <c r="UTF203" s="2"/>
      <c r="UTG203" s="2"/>
      <c r="UTH203" s="2"/>
      <c r="UTI203" s="2"/>
      <c r="UTJ203" s="2"/>
      <c r="UTK203" s="2"/>
      <c r="UTL203" s="2"/>
      <c r="UTM203" s="2"/>
      <c r="UTN203" s="2"/>
      <c r="UTO203" s="2"/>
      <c r="UTP203" s="2"/>
      <c r="UTQ203" s="2"/>
      <c r="UTR203" s="2"/>
      <c r="UTS203" s="2"/>
      <c r="UTT203" s="2"/>
      <c r="UTU203" s="2"/>
      <c r="UTV203" s="2"/>
      <c r="UTW203" s="2"/>
      <c r="UTX203" s="2"/>
      <c r="UTY203" s="2"/>
      <c r="UTZ203" s="2"/>
      <c r="UUA203" s="2"/>
      <c r="UUB203" s="2"/>
      <c r="UUC203" s="2"/>
      <c r="UUD203" s="2"/>
      <c r="UUE203" s="2"/>
      <c r="UUF203" s="2"/>
      <c r="UUG203" s="2"/>
      <c r="UUH203" s="2"/>
      <c r="UUI203" s="2"/>
      <c r="UUJ203" s="2"/>
      <c r="UUK203" s="2"/>
      <c r="UUL203" s="2"/>
      <c r="UUM203" s="2"/>
      <c r="UUN203" s="2"/>
      <c r="UUO203" s="2"/>
      <c r="UUP203" s="2"/>
      <c r="UUQ203" s="2"/>
      <c r="UUR203" s="2"/>
      <c r="UUS203" s="2"/>
      <c r="UUT203" s="2"/>
      <c r="UUU203" s="2"/>
      <c r="UUV203" s="2"/>
      <c r="UUW203" s="2"/>
      <c r="UUX203" s="2"/>
      <c r="UUY203" s="2"/>
      <c r="UUZ203" s="2"/>
      <c r="UVA203" s="2"/>
      <c r="UVB203" s="2"/>
      <c r="UVC203" s="2"/>
      <c r="UVD203" s="2"/>
      <c r="UVE203" s="2"/>
      <c r="UVF203" s="2"/>
      <c r="UVG203" s="2"/>
      <c r="UVH203" s="2"/>
      <c r="UVI203" s="2"/>
      <c r="UVJ203" s="2"/>
      <c r="UVK203" s="2"/>
      <c r="UVL203" s="2"/>
      <c r="UVM203" s="2"/>
      <c r="UVN203" s="2"/>
      <c r="UVO203" s="2"/>
      <c r="UVP203" s="2"/>
      <c r="UVQ203" s="2"/>
      <c r="UVR203" s="2"/>
      <c r="UVS203" s="2"/>
      <c r="UVT203" s="2"/>
      <c r="UVU203" s="2"/>
      <c r="UVV203" s="2"/>
      <c r="UVW203" s="2"/>
      <c r="UVX203" s="2"/>
      <c r="UVY203" s="2"/>
      <c r="UVZ203" s="2"/>
      <c r="UWA203" s="2"/>
      <c r="UWB203" s="2"/>
      <c r="UWC203" s="2"/>
      <c r="UWD203" s="2"/>
      <c r="UWE203" s="2"/>
      <c r="UWF203" s="2"/>
      <c r="UWG203" s="2"/>
      <c r="UWH203" s="2"/>
      <c r="UWI203" s="2"/>
      <c r="UWJ203" s="2"/>
      <c r="UWK203" s="2"/>
      <c r="UWL203" s="2"/>
      <c r="UWM203" s="2"/>
      <c r="UWN203" s="2"/>
      <c r="UWO203" s="2"/>
      <c r="UWP203" s="2"/>
      <c r="UWQ203" s="2"/>
      <c r="UWR203" s="2"/>
      <c r="UWS203" s="2"/>
      <c r="UWT203" s="2"/>
      <c r="UWU203" s="2"/>
      <c r="UWV203" s="2"/>
      <c r="UWW203" s="2"/>
      <c r="UWX203" s="2"/>
      <c r="UWY203" s="2"/>
      <c r="UWZ203" s="2"/>
      <c r="UXA203" s="2"/>
      <c r="UXB203" s="2"/>
      <c r="UXC203" s="2"/>
      <c r="UXD203" s="2"/>
      <c r="UXE203" s="2"/>
      <c r="UXF203" s="2"/>
      <c r="UXG203" s="2"/>
      <c r="UXH203" s="2"/>
      <c r="UXI203" s="2"/>
      <c r="UXJ203" s="2"/>
      <c r="UXK203" s="2"/>
      <c r="UXL203" s="2"/>
      <c r="UXM203" s="2"/>
      <c r="UXN203" s="2"/>
      <c r="UXO203" s="2"/>
      <c r="UXP203" s="2"/>
      <c r="UXQ203" s="2"/>
      <c r="UXR203" s="2"/>
      <c r="UXS203" s="2"/>
      <c r="UXT203" s="2"/>
      <c r="UXU203" s="2"/>
      <c r="UXV203" s="2"/>
      <c r="UXW203" s="2"/>
      <c r="UXX203" s="2"/>
      <c r="UXY203" s="2"/>
      <c r="UXZ203" s="2"/>
      <c r="UYA203" s="2"/>
      <c r="UYB203" s="2"/>
      <c r="UYC203" s="2"/>
      <c r="UYD203" s="2"/>
      <c r="UYE203" s="2"/>
      <c r="UYF203" s="2"/>
      <c r="UYG203" s="2"/>
      <c r="UYH203" s="2"/>
      <c r="UYI203" s="2"/>
      <c r="UYJ203" s="2"/>
      <c r="UYK203" s="2"/>
      <c r="UYL203" s="2"/>
      <c r="UYM203" s="2"/>
      <c r="UYN203" s="2"/>
      <c r="UYO203" s="2"/>
      <c r="UYP203" s="2"/>
      <c r="UYQ203" s="2"/>
      <c r="UYR203" s="2"/>
      <c r="UYS203" s="2"/>
      <c r="UYT203" s="2"/>
      <c r="UYU203" s="2"/>
      <c r="UYV203" s="2"/>
      <c r="UYW203" s="2"/>
      <c r="UYX203" s="2"/>
      <c r="UYY203" s="2"/>
      <c r="UYZ203" s="2"/>
      <c r="UZA203" s="2"/>
      <c r="UZB203" s="2"/>
      <c r="UZC203" s="2"/>
      <c r="UZD203" s="2"/>
      <c r="UZE203" s="2"/>
      <c r="UZF203" s="2"/>
      <c r="UZG203" s="2"/>
      <c r="UZH203" s="2"/>
      <c r="UZI203" s="2"/>
      <c r="UZJ203" s="2"/>
      <c r="UZK203" s="2"/>
      <c r="UZL203" s="2"/>
      <c r="UZM203" s="2"/>
      <c r="UZN203" s="2"/>
      <c r="UZO203" s="2"/>
      <c r="UZP203" s="2"/>
      <c r="UZQ203" s="2"/>
      <c r="UZR203" s="2"/>
      <c r="UZS203" s="2"/>
      <c r="UZT203" s="2"/>
      <c r="UZU203" s="2"/>
      <c r="UZV203" s="2"/>
      <c r="UZW203" s="2"/>
      <c r="UZX203" s="2"/>
      <c r="UZY203" s="2"/>
      <c r="UZZ203" s="2"/>
      <c r="VAA203" s="2"/>
      <c r="VAB203" s="2"/>
      <c r="VAC203" s="2"/>
      <c r="VAD203" s="2"/>
      <c r="VAE203" s="2"/>
      <c r="VAF203" s="2"/>
      <c r="VAG203" s="2"/>
      <c r="VAH203" s="2"/>
      <c r="VAI203" s="2"/>
      <c r="VAJ203" s="2"/>
      <c r="VAK203" s="2"/>
      <c r="VAL203" s="2"/>
      <c r="VAM203" s="2"/>
      <c r="VAN203" s="2"/>
      <c r="VAO203" s="2"/>
      <c r="VAP203" s="2"/>
      <c r="VAQ203" s="2"/>
      <c r="VAR203" s="2"/>
      <c r="VAS203" s="2"/>
      <c r="VAT203" s="2"/>
      <c r="VAU203" s="2"/>
      <c r="VAV203" s="2"/>
      <c r="VAW203" s="2"/>
      <c r="VAX203" s="2"/>
      <c r="VAY203" s="2"/>
      <c r="VAZ203" s="2"/>
      <c r="VBA203" s="2"/>
      <c r="VBB203" s="2"/>
      <c r="VBC203" s="2"/>
      <c r="VBD203" s="2"/>
      <c r="VBE203" s="2"/>
      <c r="VBF203" s="2"/>
      <c r="VBG203" s="2"/>
      <c r="VBH203" s="2"/>
      <c r="VBI203" s="2"/>
      <c r="VBJ203" s="2"/>
      <c r="VBK203" s="2"/>
      <c r="VBL203" s="2"/>
      <c r="VBM203" s="2"/>
      <c r="VBN203" s="2"/>
      <c r="VBO203" s="2"/>
      <c r="VBP203" s="2"/>
      <c r="VBQ203" s="2"/>
      <c r="VBR203" s="2"/>
      <c r="VBS203" s="2"/>
      <c r="VBT203" s="2"/>
      <c r="VBU203" s="2"/>
      <c r="VBV203" s="2"/>
      <c r="VBW203" s="2"/>
      <c r="VBX203" s="2"/>
      <c r="VBY203" s="2"/>
      <c r="VBZ203" s="2"/>
      <c r="VCA203" s="2"/>
      <c r="VCB203" s="2"/>
      <c r="VCC203" s="2"/>
      <c r="VCD203" s="2"/>
      <c r="VCE203" s="2"/>
      <c r="VCF203" s="2"/>
      <c r="VCG203" s="2"/>
      <c r="VCH203" s="2"/>
      <c r="VCI203" s="2"/>
      <c r="VCJ203" s="2"/>
      <c r="VCK203" s="2"/>
      <c r="VCL203" s="2"/>
      <c r="VCM203" s="2"/>
      <c r="VCN203" s="2"/>
      <c r="VCO203" s="2"/>
      <c r="VCP203" s="2"/>
      <c r="VCQ203" s="2"/>
      <c r="VCR203" s="2"/>
      <c r="VCS203" s="2"/>
      <c r="VCT203" s="2"/>
      <c r="VCU203" s="2"/>
      <c r="VCV203" s="2"/>
      <c r="VCW203" s="2"/>
      <c r="VCX203" s="2"/>
      <c r="VCY203" s="2"/>
      <c r="VCZ203" s="2"/>
      <c r="VDA203" s="2"/>
      <c r="VDB203" s="2"/>
      <c r="VDC203" s="2"/>
      <c r="VDD203" s="2"/>
      <c r="VDE203" s="2"/>
      <c r="VDF203" s="2"/>
      <c r="VDG203" s="2"/>
      <c r="VDH203" s="2"/>
      <c r="VDI203" s="2"/>
      <c r="VDJ203" s="2"/>
      <c r="VDK203" s="2"/>
      <c r="VDL203" s="2"/>
      <c r="VDM203" s="2"/>
      <c r="VDN203" s="2"/>
      <c r="VDO203" s="2"/>
      <c r="VDP203" s="2"/>
      <c r="VDQ203" s="2"/>
      <c r="VDR203" s="2"/>
      <c r="VDS203" s="2"/>
      <c r="VDT203" s="2"/>
      <c r="VDU203" s="2"/>
      <c r="VDV203" s="2"/>
      <c r="VDW203" s="2"/>
      <c r="VDX203" s="2"/>
      <c r="VDY203" s="2"/>
      <c r="VDZ203" s="2"/>
      <c r="VEA203" s="2"/>
      <c r="VEB203" s="2"/>
      <c r="VEC203" s="2"/>
      <c r="VED203" s="2"/>
      <c r="VEE203" s="2"/>
      <c r="VEF203" s="2"/>
      <c r="VEG203" s="2"/>
      <c r="VEH203" s="2"/>
      <c r="VEI203" s="2"/>
      <c r="VEJ203" s="2"/>
      <c r="VEK203" s="2"/>
      <c r="VEL203" s="2"/>
      <c r="VEM203" s="2"/>
      <c r="VEN203" s="2"/>
      <c r="VEO203" s="2"/>
      <c r="VEP203" s="2"/>
      <c r="VEQ203" s="2"/>
      <c r="VER203" s="2"/>
      <c r="VES203" s="2"/>
      <c r="VET203" s="2"/>
      <c r="VEU203" s="2"/>
      <c r="VEV203" s="2"/>
      <c r="VEW203" s="2"/>
      <c r="VEX203" s="2"/>
      <c r="VEY203" s="2"/>
      <c r="VEZ203" s="2"/>
      <c r="VFA203" s="2"/>
      <c r="VFB203" s="2"/>
      <c r="VFC203" s="2"/>
      <c r="VFD203" s="2"/>
      <c r="VFE203" s="2"/>
      <c r="VFF203" s="2"/>
      <c r="VFG203" s="2"/>
      <c r="VFH203" s="2"/>
      <c r="VFI203" s="2"/>
      <c r="VFJ203" s="2"/>
      <c r="VFK203" s="2"/>
      <c r="VFL203" s="2"/>
      <c r="VFM203" s="2"/>
      <c r="VFN203" s="2"/>
      <c r="VFO203" s="2"/>
      <c r="VFP203" s="2"/>
      <c r="VFQ203" s="2"/>
      <c r="VFR203" s="2"/>
      <c r="VFS203" s="2"/>
      <c r="VFT203" s="2"/>
      <c r="VFU203" s="2"/>
      <c r="VFV203" s="2"/>
      <c r="VFW203" s="2"/>
      <c r="VFX203" s="2"/>
      <c r="VFY203" s="2"/>
      <c r="VFZ203" s="2"/>
      <c r="VGA203" s="2"/>
      <c r="VGB203" s="2"/>
      <c r="VGC203" s="2"/>
      <c r="VGD203" s="2"/>
      <c r="VGE203" s="2"/>
      <c r="VGF203" s="2"/>
      <c r="VGG203" s="2"/>
      <c r="VGH203" s="2"/>
      <c r="VGI203" s="2"/>
      <c r="VGJ203" s="2"/>
      <c r="VGK203" s="2"/>
      <c r="VGL203" s="2"/>
      <c r="VGM203" s="2"/>
      <c r="VGN203" s="2"/>
      <c r="VGO203" s="2"/>
      <c r="VGP203" s="2"/>
      <c r="VGQ203" s="2"/>
      <c r="VGR203" s="2"/>
      <c r="VGS203" s="2"/>
      <c r="VGT203" s="2"/>
      <c r="VGU203" s="2"/>
      <c r="VGV203" s="2"/>
      <c r="VGW203" s="2"/>
      <c r="VGX203" s="2"/>
      <c r="VGY203" s="2"/>
      <c r="VGZ203" s="2"/>
      <c r="VHA203" s="2"/>
      <c r="VHB203" s="2"/>
      <c r="VHC203" s="2"/>
      <c r="VHD203" s="2"/>
      <c r="VHE203" s="2"/>
      <c r="VHF203" s="2"/>
      <c r="VHG203" s="2"/>
      <c r="VHH203" s="2"/>
      <c r="VHI203" s="2"/>
      <c r="VHJ203" s="2"/>
      <c r="VHK203" s="2"/>
      <c r="VHL203" s="2"/>
      <c r="VHM203" s="2"/>
      <c r="VHN203" s="2"/>
      <c r="VHO203" s="2"/>
      <c r="VHP203" s="2"/>
      <c r="VHQ203" s="2"/>
      <c r="VHR203" s="2"/>
      <c r="VHS203" s="2"/>
      <c r="VHT203" s="2"/>
      <c r="VHU203" s="2"/>
      <c r="VHV203" s="2"/>
      <c r="VHW203" s="2"/>
      <c r="VHX203" s="2"/>
      <c r="VHY203" s="2"/>
      <c r="VHZ203" s="2"/>
      <c r="VIA203" s="2"/>
      <c r="VIB203" s="2"/>
      <c r="VIC203" s="2"/>
      <c r="VID203" s="2"/>
      <c r="VIE203" s="2"/>
      <c r="VIF203" s="2"/>
      <c r="VIG203" s="2"/>
      <c r="VIH203" s="2"/>
      <c r="VII203" s="2"/>
      <c r="VIJ203" s="2"/>
      <c r="VIK203" s="2"/>
      <c r="VIL203" s="2"/>
      <c r="VIM203" s="2"/>
      <c r="VIN203" s="2"/>
      <c r="VIO203" s="2"/>
      <c r="VIP203" s="2"/>
      <c r="VIQ203" s="2"/>
      <c r="VIR203" s="2"/>
      <c r="VIS203" s="2"/>
      <c r="VIT203" s="2"/>
      <c r="VIU203" s="2"/>
      <c r="VIV203" s="2"/>
      <c r="VIW203" s="2"/>
      <c r="VIX203" s="2"/>
      <c r="VIY203" s="2"/>
      <c r="VIZ203" s="2"/>
      <c r="VJA203" s="2"/>
      <c r="VJB203" s="2"/>
      <c r="VJC203" s="2"/>
      <c r="VJD203" s="2"/>
      <c r="VJE203" s="2"/>
      <c r="VJF203" s="2"/>
      <c r="VJG203" s="2"/>
      <c r="VJH203" s="2"/>
      <c r="VJI203" s="2"/>
      <c r="VJJ203" s="2"/>
      <c r="VJK203" s="2"/>
      <c r="VJL203" s="2"/>
      <c r="VJM203" s="2"/>
      <c r="VJN203" s="2"/>
      <c r="VJO203" s="2"/>
      <c r="VJP203" s="2"/>
      <c r="VJQ203" s="2"/>
      <c r="VJR203" s="2"/>
      <c r="VJS203" s="2"/>
      <c r="VJT203" s="2"/>
      <c r="VJU203" s="2"/>
      <c r="VJV203" s="2"/>
      <c r="VJW203" s="2"/>
      <c r="VJX203" s="2"/>
      <c r="VJY203" s="2"/>
      <c r="VJZ203" s="2"/>
      <c r="VKA203" s="2"/>
      <c r="VKB203" s="2"/>
      <c r="VKC203" s="2"/>
      <c r="VKD203" s="2"/>
      <c r="VKE203" s="2"/>
      <c r="VKF203" s="2"/>
      <c r="VKG203" s="2"/>
      <c r="VKH203" s="2"/>
      <c r="VKI203" s="2"/>
      <c r="VKJ203" s="2"/>
      <c r="VKK203" s="2"/>
      <c r="VKL203" s="2"/>
      <c r="VKM203" s="2"/>
      <c r="VKN203" s="2"/>
      <c r="VKO203" s="2"/>
      <c r="VKP203" s="2"/>
      <c r="VKQ203" s="2"/>
      <c r="VKR203" s="2"/>
      <c r="VKS203" s="2"/>
      <c r="VKT203" s="2"/>
      <c r="VKU203" s="2"/>
      <c r="VKV203" s="2"/>
      <c r="VKW203" s="2"/>
      <c r="VKX203" s="2"/>
      <c r="VKY203" s="2"/>
      <c r="VKZ203" s="2"/>
      <c r="VLA203" s="2"/>
      <c r="VLB203" s="2"/>
      <c r="VLC203" s="2"/>
      <c r="VLD203" s="2"/>
      <c r="VLE203" s="2"/>
      <c r="VLF203" s="2"/>
      <c r="VLG203" s="2"/>
      <c r="VLH203" s="2"/>
      <c r="VLI203" s="2"/>
      <c r="VLJ203" s="2"/>
      <c r="VLK203" s="2"/>
      <c r="VLL203" s="2"/>
      <c r="VLM203" s="2"/>
      <c r="VLN203" s="2"/>
      <c r="VLO203" s="2"/>
      <c r="VLP203" s="2"/>
      <c r="VLQ203" s="2"/>
      <c r="VLR203" s="2"/>
      <c r="VLS203" s="2"/>
      <c r="VLT203" s="2"/>
      <c r="VLU203" s="2"/>
      <c r="VLV203" s="2"/>
      <c r="VLW203" s="2"/>
      <c r="VLX203" s="2"/>
      <c r="VLY203" s="2"/>
      <c r="VLZ203" s="2"/>
      <c r="VMA203" s="2"/>
      <c r="VMB203" s="2"/>
      <c r="VMC203" s="2"/>
      <c r="VMD203" s="2"/>
      <c r="VME203" s="2"/>
      <c r="VMF203" s="2"/>
      <c r="VMG203" s="2"/>
      <c r="VMH203" s="2"/>
      <c r="VMI203" s="2"/>
      <c r="VMJ203" s="2"/>
      <c r="VMK203" s="2"/>
      <c r="VML203" s="2"/>
      <c r="VMM203" s="2"/>
      <c r="VMN203" s="2"/>
      <c r="VMO203" s="2"/>
      <c r="VMP203" s="2"/>
      <c r="VMQ203" s="2"/>
      <c r="VMR203" s="2"/>
      <c r="VMS203" s="2"/>
      <c r="VMT203" s="2"/>
      <c r="VMU203" s="2"/>
      <c r="VMV203" s="2"/>
      <c r="VMW203" s="2"/>
      <c r="VMX203" s="2"/>
      <c r="VMY203" s="2"/>
      <c r="VMZ203" s="2"/>
      <c r="VNA203" s="2"/>
      <c r="VNB203" s="2"/>
      <c r="VNC203" s="2"/>
      <c r="VND203" s="2"/>
      <c r="VNE203" s="2"/>
      <c r="VNF203" s="2"/>
      <c r="VNG203" s="2"/>
      <c r="VNH203" s="2"/>
      <c r="VNI203" s="2"/>
      <c r="VNJ203" s="2"/>
      <c r="VNK203" s="2"/>
      <c r="VNL203" s="2"/>
      <c r="VNM203" s="2"/>
      <c r="VNN203" s="2"/>
      <c r="VNO203" s="2"/>
      <c r="VNP203" s="2"/>
      <c r="VNQ203" s="2"/>
      <c r="VNR203" s="2"/>
      <c r="VNS203" s="2"/>
      <c r="VNT203" s="2"/>
      <c r="VNU203" s="2"/>
      <c r="VNV203" s="2"/>
      <c r="VNW203" s="2"/>
      <c r="VNX203" s="2"/>
      <c r="VNY203" s="2"/>
      <c r="VNZ203" s="2"/>
      <c r="VOA203" s="2"/>
      <c r="VOB203" s="2"/>
      <c r="VOC203" s="2"/>
      <c r="VOD203" s="2"/>
      <c r="VOE203" s="2"/>
      <c r="VOF203" s="2"/>
      <c r="VOG203" s="2"/>
      <c r="VOH203" s="2"/>
      <c r="VOI203" s="2"/>
      <c r="VOJ203" s="2"/>
      <c r="VOK203" s="2"/>
      <c r="VOL203" s="2"/>
      <c r="VOM203" s="2"/>
      <c r="VON203" s="2"/>
      <c r="VOO203" s="2"/>
      <c r="VOP203" s="2"/>
      <c r="VOQ203" s="2"/>
      <c r="VOR203" s="2"/>
      <c r="VOS203" s="2"/>
      <c r="VOT203" s="2"/>
      <c r="VOU203" s="2"/>
      <c r="VOV203" s="2"/>
      <c r="VOW203" s="2"/>
      <c r="VOX203" s="2"/>
      <c r="VOY203" s="2"/>
      <c r="VOZ203" s="2"/>
      <c r="VPA203" s="2"/>
      <c r="VPB203" s="2"/>
      <c r="VPC203" s="2"/>
      <c r="VPD203" s="2"/>
      <c r="VPE203" s="2"/>
      <c r="VPF203" s="2"/>
      <c r="VPG203" s="2"/>
      <c r="VPH203" s="2"/>
      <c r="VPI203" s="2"/>
      <c r="VPJ203" s="2"/>
      <c r="VPK203" s="2"/>
      <c r="VPL203" s="2"/>
      <c r="VPM203" s="2"/>
      <c r="VPN203" s="2"/>
      <c r="VPO203" s="2"/>
      <c r="VPP203" s="2"/>
      <c r="VPQ203" s="2"/>
      <c r="VPR203" s="2"/>
      <c r="VPS203" s="2"/>
      <c r="VPT203" s="2"/>
      <c r="VPU203" s="2"/>
      <c r="VPV203" s="2"/>
      <c r="VPW203" s="2"/>
      <c r="VPX203" s="2"/>
      <c r="VPY203" s="2"/>
      <c r="VPZ203" s="2"/>
      <c r="VQA203" s="2"/>
      <c r="VQB203" s="2"/>
      <c r="VQC203" s="2"/>
      <c r="VQD203" s="2"/>
      <c r="VQE203" s="2"/>
      <c r="VQF203" s="2"/>
      <c r="VQG203" s="2"/>
      <c r="VQH203" s="2"/>
      <c r="VQI203" s="2"/>
      <c r="VQJ203" s="2"/>
      <c r="VQK203" s="2"/>
      <c r="VQL203" s="2"/>
      <c r="VQM203" s="2"/>
      <c r="VQN203" s="2"/>
      <c r="VQO203" s="2"/>
      <c r="VQP203" s="2"/>
      <c r="VQQ203" s="2"/>
      <c r="VQR203" s="2"/>
      <c r="VQS203" s="2"/>
      <c r="VQT203" s="2"/>
      <c r="VQU203" s="2"/>
      <c r="VQV203" s="2"/>
      <c r="VQW203" s="2"/>
      <c r="VQX203" s="2"/>
      <c r="VQY203" s="2"/>
      <c r="VQZ203" s="2"/>
      <c r="VRA203" s="2"/>
      <c r="VRB203" s="2"/>
      <c r="VRC203" s="2"/>
      <c r="VRD203" s="2"/>
      <c r="VRE203" s="2"/>
      <c r="VRF203" s="2"/>
      <c r="VRG203" s="2"/>
      <c r="VRH203" s="2"/>
      <c r="VRI203" s="2"/>
      <c r="VRJ203" s="2"/>
      <c r="VRK203" s="2"/>
      <c r="VRL203" s="2"/>
      <c r="VRM203" s="2"/>
      <c r="VRN203" s="2"/>
      <c r="VRO203" s="2"/>
      <c r="VRP203" s="2"/>
      <c r="VRQ203" s="2"/>
      <c r="VRR203" s="2"/>
      <c r="VRS203" s="2"/>
      <c r="VRT203" s="2"/>
      <c r="VRU203" s="2"/>
      <c r="VRV203" s="2"/>
      <c r="VRW203" s="2"/>
      <c r="VRX203" s="2"/>
      <c r="VRY203" s="2"/>
      <c r="VRZ203" s="2"/>
      <c r="VSA203" s="2"/>
      <c r="VSB203" s="2"/>
      <c r="VSC203" s="2"/>
      <c r="VSD203" s="2"/>
      <c r="VSE203" s="2"/>
      <c r="VSF203" s="2"/>
      <c r="VSG203" s="2"/>
      <c r="VSH203" s="2"/>
      <c r="VSI203" s="2"/>
      <c r="VSJ203" s="2"/>
      <c r="VSK203" s="2"/>
      <c r="VSL203" s="2"/>
      <c r="VSM203" s="2"/>
      <c r="VSN203" s="2"/>
      <c r="VSO203" s="2"/>
      <c r="VSP203" s="2"/>
      <c r="VSQ203" s="2"/>
      <c r="VSR203" s="2"/>
      <c r="VSS203" s="2"/>
      <c r="VST203" s="2"/>
      <c r="VSU203" s="2"/>
      <c r="VSV203" s="2"/>
      <c r="VSW203" s="2"/>
      <c r="VSX203" s="2"/>
      <c r="VSY203" s="2"/>
      <c r="VSZ203" s="2"/>
      <c r="VTA203" s="2"/>
      <c r="VTB203" s="2"/>
      <c r="VTC203" s="2"/>
      <c r="VTD203" s="2"/>
      <c r="VTE203" s="2"/>
      <c r="VTF203" s="2"/>
      <c r="VTG203" s="2"/>
      <c r="VTH203" s="2"/>
      <c r="VTI203" s="2"/>
      <c r="VTJ203" s="2"/>
      <c r="VTK203" s="2"/>
      <c r="VTL203" s="2"/>
      <c r="VTM203" s="2"/>
      <c r="VTN203" s="2"/>
      <c r="VTO203" s="2"/>
      <c r="VTP203" s="2"/>
      <c r="VTQ203" s="2"/>
      <c r="VTR203" s="2"/>
      <c r="VTS203" s="2"/>
      <c r="VTT203" s="2"/>
      <c r="VTU203" s="2"/>
      <c r="VTV203" s="2"/>
      <c r="VTW203" s="2"/>
      <c r="VTX203" s="2"/>
      <c r="VTY203" s="2"/>
      <c r="VTZ203" s="2"/>
      <c r="VUA203" s="2"/>
      <c r="VUB203" s="2"/>
      <c r="VUC203" s="2"/>
      <c r="VUD203" s="2"/>
      <c r="VUE203" s="2"/>
      <c r="VUF203" s="2"/>
      <c r="VUG203" s="2"/>
      <c r="VUH203" s="2"/>
      <c r="VUI203" s="2"/>
      <c r="VUJ203" s="2"/>
      <c r="VUK203" s="2"/>
      <c r="VUL203" s="2"/>
      <c r="VUM203" s="2"/>
      <c r="VUN203" s="2"/>
      <c r="VUO203" s="2"/>
      <c r="VUP203" s="2"/>
      <c r="VUQ203" s="2"/>
      <c r="VUR203" s="2"/>
      <c r="VUS203" s="2"/>
      <c r="VUT203" s="2"/>
      <c r="VUU203" s="2"/>
      <c r="VUV203" s="2"/>
      <c r="VUW203" s="2"/>
      <c r="VUX203" s="2"/>
      <c r="VUY203" s="2"/>
      <c r="VUZ203" s="2"/>
      <c r="VVA203" s="2"/>
      <c r="VVB203" s="2"/>
      <c r="VVC203" s="2"/>
      <c r="VVD203" s="2"/>
      <c r="VVE203" s="2"/>
      <c r="VVF203" s="2"/>
      <c r="VVG203" s="2"/>
      <c r="VVH203" s="2"/>
      <c r="VVI203" s="2"/>
      <c r="VVJ203" s="2"/>
      <c r="VVK203" s="2"/>
      <c r="VVL203" s="2"/>
      <c r="VVM203" s="2"/>
      <c r="VVN203" s="2"/>
      <c r="VVO203" s="2"/>
      <c r="VVP203" s="2"/>
      <c r="VVQ203" s="2"/>
      <c r="VVR203" s="2"/>
      <c r="VVS203" s="2"/>
      <c r="VVT203" s="2"/>
      <c r="VVU203" s="2"/>
      <c r="VVV203" s="2"/>
      <c r="VVW203" s="2"/>
      <c r="VVX203" s="2"/>
      <c r="VVY203" s="2"/>
      <c r="VVZ203" s="2"/>
      <c r="VWA203" s="2"/>
      <c r="VWB203" s="2"/>
      <c r="VWC203" s="2"/>
      <c r="VWD203" s="2"/>
      <c r="VWE203" s="2"/>
      <c r="VWF203" s="2"/>
      <c r="VWG203" s="2"/>
      <c r="VWH203" s="2"/>
      <c r="VWI203" s="2"/>
      <c r="VWJ203" s="2"/>
      <c r="VWK203" s="2"/>
      <c r="VWL203" s="2"/>
      <c r="VWM203" s="2"/>
      <c r="VWN203" s="2"/>
      <c r="VWO203" s="2"/>
      <c r="VWP203" s="2"/>
      <c r="VWQ203" s="2"/>
      <c r="VWR203" s="2"/>
      <c r="VWS203" s="2"/>
      <c r="VWT203" s="2"/>
      <c r="VWU203" s="2"/>
      <c r="VWV203" s="2"/>
      <c r="VWW203" s="2"/>
      <c r="VWX203" s="2"/>
      <c r="VWY203" s="2"/>
      <c r="VWZ203" s="2"/>
      <c r="VXA203" s="2"/>
      <c r="VXB203" s="2"/>
      <c r="VXC203" s="2"/>
      <c r="VXD203" s="2"/>
      <c r="VXE203" s="2"/>
      <c r="VXF203" s="2"/>
      <c r="VXG203" s="2"/>
      <c r="VXH203" s="2"/>
      <c r="VXI203" s="2"/>
      <c r="VXJ203" s="2"/>
      <c r="VXK203" s="2"/>
      <c r="VXL203" s="2"/>
      <c r="VXM203" s="2"/>
      <c r="VXN203" s="2"/>
      <c r="VXO203" s="2"/>
      <c r="VXP203" s="2"/>
      <c r="VXQ203" s="2"/>
      <c r="VXR203" s="2"/>
      <c r="VXS203" s="2"/>
      <c r="VXT203" s="2"/>
      <c r="VXU203" s="2"/>
      <c r="VXV203" s="2"/>
      <c r="VXW203" s="2"/>
      <c r="VXX203" s="2"/>
      <c r="VXY203" s="2"/>
      <c r="VXZ203" s="2"/>
      <c r="VYA203" s="2"/>
      <c r="VYB203" s="2"/>
      <c r="VYC203" s="2"/>
      <c r="VYD203" s="2"/>
      <c r="VYE203" s="2"/>
      <c r="VYF203" s="2"/>
      <c r="VYG203" s="2"/>
      <c r="VYH203" s="2"/>
      <c r="VYI203" s="2"/>
      <c r="VYJ203" s="2"/>
      <c r="VYK203" s="2"/>
      <c r="VYL203" s="2"/>
      <c r="VYM203" s="2"/>
      <c r="VYN203" s="2"/>
      <c r="VYO203" s="2"/>
      <c r="VYP203" s="2"/>
      <c r="VYQ203" s="2"/>
      <c r="VYR203" s="2"/>
      <c r="VYS203" s="2"/>
      <c r="VYT203" s="2"/>
      <c r="VYU203" s="2"/>
      <c r="VYV203" s="2"/>
      <c r="VYW203" s="2"/>
      <c r="VYX203" s="2"/>
      <c r="VYY203" s="2"/>
      <c r="VYZ203" s="2"/>
      <c r="VZA203" s="2"/>
      <c r="VZB203" s="2"/>
      <c r="VZC203" s="2"/>
      <c r="VZD203" s="2"/>
      <c r="VZE203" s="2"/>
      <c r="VZF203" s="2"/>
      <c r="VZG203" s="2"/>
      <c r="VZH203" s="2"/>
      <c r="VZI203" s="2"/>
      <c r="VZJ203" s="2"/>
      <c r="VZK203" s="2"/>
      <c r="VZL203" s="2"/>
      <c r="VZM203" s="2"/>
      <c r="VZN203" s="2"/>
      <c r="VZO203" s="2"/>
      <c r="VZP203" s="2"/>
      <c r="VZQ203" s="2"/>
      <c r="VZR203" s="2"/>
      <c r="VZS203" s="2"/>
      <c r="VZT203" s="2"/>
      <c r="VZU203" s="2"/>
      <c r="VZV203" s="2"/>
      <c r="VZW203" s="2"/>
      <c r="VZX203" s="2"/>
      <c r="VZY203" s="2"/>
      <c r="VZZ203" s="2"/>
      <c r="WAA203" s="2"/>
      <c r="WAB203" s="2"/>
      <c r="WAC203" s="2"/>
      <c r="WAD203" s="2"/>
      <c r="WAE203" s="2"/>
      <c r="WAF203" s="2"/>
      <c r="WAG203" s="2"/>
      <c r="WAH203" s="2"/>
      <c r="WAI203" s="2"/>
      <c r="WAJ203" s="2"/>
      <c r="WAK203" s="2"/>
      <c r="WAL203" s="2"/>
      <c r="WAM203" s="2"/>
      <c r="WAN203" s="2"/>
      <c r="WAO203" s="2"/>
      <c r="WAP203" s="2"/>
      <c r="WAQ203" s="2"/>
      <c r="WAR203" s="2"/>
      <c r="WAS203" s="2"/>
      <c r="WAT203" s="2"/>
      <c r="WAU203" s="2"/>
      <c r="WAV203" s="2"/>
      <c r="WAW203" s="2"/>
      <c r="WAX203" s="2"/>
      <c r="WAY203" s="2"/>
      <c r="WAZ203" s="2"/>
      <c r="WBA203" s="2"/>
      <c r="WBB203" s="2"/>
      <c r="WBC203" s="2"/>
      <c r="WBD203" s="2"/>
      <c r="WBE203" s="2"/>
      <c r="WBF203" s="2"/>
      <c r="WBG203" s="2"/>
      <c r="WBH203" s="2"/>
      <c r="WBI203" s="2"/>
      <c r="WBJ203" s="2"/>
      <c r="WBK203" s="2"/>
      <c r="WBL203" s="2"/>
      <c r="WBM203" s="2"/>
      <c r="WBN203" s="2"/>
      <c r="WBO203" s="2"/>
      <c r="WBP203" s="2"/>
      <c r="WBQ203" s="2"/>
      <c r="WBR203" s="2"/>
      <c r="WBS203" s="2"/>
      <c r="WBT203" s="2"/>
      <c r="WBU203" s="2"/>
      <c r="WBV203" s="2"/>
      <c r="WBW203" s="2"/>
      <c r="WBX203" s="2"/>
      <c r="WBY203" s="2"/>
      <c r="WBZ203" s="2"/>
      <c r="WCA203" s="2"/>
      <c r="WCB203" s="2"/>
      <c r="WCC203" s="2"/>
      <c r="WCD203" s="2"/>
      <c r="WCE203" s="2"/>
      <c r="WCF203" s="2"/>
      <c r="WCG203" s="2"/>
      <c r="WCH203" s="2"/>
      <c r="WCI203" s="2"/>
      <c r="WCJ203" s="2"/>
      <c r="WCK203" s="2"/>
      <c r="WCL203" s="2"/>
      <c r="WCM203" s="2"/>
      <c r="WCN203" s="2"/>
      <c r="WCO203" s="2"/>
      <c r="WCP203" s="2"/>
      <c r="WCQ203" s="2"/>
      <c r="WCR203" s="2"/>
      <c r="WCS203" s="2"/>
      <c r="WCT203" s="2"/>
      <c r="WCU203" s="2"/>
      <c r="WCV203" s="2"/>
      <c r="WCW203" s="2"/>
      <c r="WCX203" s="2"/>
      <c r="WCY203" s="2"/>
      <c r="WCZ203" s="2"/>
      <c r="WDA203" s="2"/>
      <c r="WDB203" s="2"/>
      <c r="WDC203" s="2"/>
      <c r="WDD203" s="2"/>
      <c r="WDE203" s="2"/>
      <c r="WDF203" s="2"/>
      <c r="WDG203" s="2"/>
      <c r="WDH203" s="2"/>
      <c r="WDI203" s="2"/>
      <c r="WDJ203" s="2"/>
      <c r="WDK203" s="2"/>
      <c r="WDL203" s="2"/>
      <c r="WDM203" s="2"/>
      <c r="WDN203" s="2"/>
      <c r="WDO203" s="2"/>
      <c r="WDP203" s="2"/>
      <c r="WDQ203" s="2"/>
      <c r="WDR203" s="2"/>
      <c r="WDS203" s="2"/>
      <c r="WDT203" s="2"/>
      <c r="WDU203" s="2"/>
      <c r="WDV203" s="2"/>
      <c r="WDW203" s="2"/>
      <c r="WDX203" s="2"/>
      <c r="WDY203" s="2"/>
      <c r="WDZ203" s="2"/>
      <c r="WEA203" s="2"/>
      <c r="WEB203" s="2"/>
      <c r="WEC203" s="2"/>
      <c r="WED203" s="2"/>
      <c r="WEE203" s="2"/>
      <c r="WEF203" s="2"/>
      <c r="WEG203" s="2"/>
      <c r="WEH203" s="2"/>
      <c r="WEI203" s="2"/>
      <c r="WEJ203" s="2"/>
      <c r="WEK203" s="2"/>
      <c r="WEL203" s="2"/>
      <c r="WEM203" s="2"/>
      <c r="WEN203" s="2"/>
      <c r="WEO203" s="2"/>
      <c r="WEP203" s="2"/>
      <c r="WEQ203" s="2"/>
      <c r="WER203" s="2"/>
      <c r="WES203" s="2"/>
      <c r="WET203" s="2"/>
      <c r="WEU203" s="2"/>
      <c r="WEV203" s="2"/>
      <c r="WEW203" s="2"/>
      <c r="WEX203" s="2"/>
      <c r="WEY203" s="2"/>
      <c r="WEZ203" s="2"/>
      <c r="WFA203" s="2"/>
      <c r="WFB203" s="2"/>
      <c r="WFC203" s="2"/>
      <c r="WFD203" s="2"/>
      <c r="WFE203" s="2"/>
      <c r="WFF203" s="2"/>
      <c r="WFG203" s="2"/>
      <c r="WFH203" s="2"/>
      <c r="WFI203" s="2"/>
      <c r="WFJ203" s="2"/>
      <c r="WFK203" s="2"/>
      <c r="WFL203" s="2"/>
      <c r="WFM203" s="2"/>
      <c r="WFN203" s="2"/>
      <c r="WFO203" s="2"/>
      <c r="WFP203" s="2"/>
      <c r="WFQ203" s="2"/>
      <c r="WFR203" s="2"/>
      <c r="WFS203" s="2"/>
      <c r="WFT203" s="2"/>
      <c r="WFU203" s="2"/>
      <c r="WFV203" s="2"/>
      <c r="WFW203" s="2"/>
      <c r="WFX203" s="2"/>
      <c r="WFY203" s="2"/>
      <c r="WFZ203" s="2"/>
      <c r="WGA203" s="2"/>
      <c r="WGB203" s="2"/>
      <c r="WGC203" s="2"/>
      <c r="WGD203" s="2"/>
      <c r="WGE203" s="2"/>
      <c r="WGF203" s="2"/>
      <c r="WGG203" s="2"/>
      <c r="WGH203" s="2"/>
      <c r="WGI203" s="2"/>
      <c r="WGJ203" s="2"/>
      <c r="WGK203" s="2"/>
      <c r="WGL203" s="2"/>
      <c r="WGM203" s="2"/>
      <c r="WGN203" s="2"/>
      <c r="WGO203" s="2"/>
      <c r="WGP203" s="2"/>
      <c r="WGQ203" s="2"/>
      <c r="WGR203" s="2"/>
      <c r="WGS203" s="2"/>
      <c r="WGT203" s="2"/>
      <c r="WGU203" s="2"/>
      <c r="WGV203" s="2"/>
      <c r="WGW203" s="2"/>
      <c r="WGX203" s="2"/>
      <c r="WGY203" s="2"/>
      <c r="WGZ203" s="2"/>
      <c r="WHA203" s="2"/>
      <c r="WHB203" s="2"/>
      <c r="WHC203" s="2"/>
      <c r="WHD203" s="2"/>
      <c r="WHE203" s="2"/>
      <c r="WHF203" s="2"/>
      <c r="WHG203" s="2"/>
      <c r="WHH203" s="2"/>
      <c r="WHI203" s="2"/>
      <c r="WHJ203" s="2"/>
      <c r="WHK203" s="2"/>
      <c r="WHL203" s="2"/>
      <c r="WHM203" s="2"/>
      <c r="WHN203" s="2"/>
      <c r="WHO203" s="2"/>
      <c r="WHP203" s="2"/>
      <c r="WHQ203" s="2"/>
      <c r="WHR203" s="2"/>
      <c r="WHS203" s="2"/>
      <c r="WHT203" s="2"/>
      <c r="WHU203" s="2"/>
      <c r="WHV203" s="2"/>
      <c r="WHW203" s="2"/>
      <c r="WHX203" s="2"/>
      <c r="WHY203" s="2"/>
      <c r="WHZ203" s="2"/>
      <c r="WIA203" s="2"/>
      <c r="WIB203" s="2"/>
      <c r="WIC203" s="2"/>
      <c r="WID203" s="2"/>
      <c r="WIE203" s="2"/>
      <c r="WIF203" s="2"/>
      <c r="WIG203" s="2"/>
      <c r="WIH203" s="2"/>
      <c r="WII203" s="2"/>
      <c r="WIJ203" s="2"/>
      <c r="WIK203" s="2"/>
      <c r="WIL203" s="2"/>
      <c r="WIM203" s="2"/>
      <c r="WIN203" s="2"/>
      <c r="WIO203" s="2"/>
      <c r="WIP203" s="2"/>
      <c r="WIQ203" s="2"/>
      <c r="WIR203" s="2"/>
      <c r="WIS203" s="2"/>
      <c r="WIT203" s="2"/>
      <c r="WIU203" s="2"/>
      <c r="WIV203" s="2"/>
      <c r="WIW203" s="2"/>
      <c r="WIX203" s="2"/>
      <c r="WIY203" s="2"/>
      <c r="WIZ203" s="2"/>
      <c r="WJA203" s="2"/>
      <c r="WJB203" s="2"/>
      <c r="WJC203" s="2"/>
      <c r="WJD203" s="2"/>
      <c r="WJE203" s="2"/>
      <c r="WJF203" s="2"/>
      <c r="WJG203" s="2"/>
      <c r="WJH203" s="2"/>
      <c r="WJI203" s="2"/>
      <c r="WJJ203" s="2"/>
      <c r="WJK203" s="2"/>
      <c r="WJL203" s="2"/>
      <c r="WJM203" s="2"/>
      <c r="WJN203" s="2"/>
      <c r="WJO203" s="2"/>
      <c r="WJP203" s="2"/>
      <c r="WJQ203" s="2"/>
      <c r="WJR203" s="2"/>
      <c r="WJS203" s="2"/>
      <c r="WJT203" s="2"/>
      <c r="WJU203" s="2"/>
      <c r="WJV203" s="2"/>
      <c r="WJW203" s="2"/>
      <c r="WJX203" s="2"/>
      <c r="WJY203" s="2"/>
      <c r="WJZ203" s="2"/>
      <c r="WKA203" s="2"/>
      <c r="WKB203" s="2"/>
      <c r="WKC203" s="2"/>
      <c r="WKD203" s="2"/>
      <c r="WKE203" s="2"/>
      <c r="WKF203" s="2"/>
      <c r="WKG203" s="2"/>
      <c r="WKH203" s="2"/>
      <c r="WKI203" s="2"/>
      <c r="WKJ203" s="2"/>
      <c r="WKK203" s="2"/>
      <c r="WKL203" s="2"/>
      <c r="WKM203" s="2"/>
      <c r="WKN203" s="2"/>
      <c r="WKO203" s="2"/>
      <c r="WKP203" s="2"/>
      <c r="WKQ203" s="2"/>
      <c r="WKR203" s="2"/>
      <c r="WKS203" s="2"/>
      <c r="WKT203" s="2"/>
      <c r="WKU203" s="2"/>
      <c r="WKV203" s="2"/>
      <c r="WKW203" s="2"/>
      <c r="WKX203" s="2"/>
      <c r="WKY203" s="2"/>
      <c r="WKZ203" s="2"/>
      <c r="WLA203" s="2"/>
      <c r="WLB203" s="2"/>
      <c r="WLC203" s="2"/>
      <c r="WLD203" s="2"/>
      <c r="WLE203" s="2"/>
      <c r="WLF203" s="2"/>
      <c r="WLG203" s="2"/>
      <c r="WLH203" s="2"/>
      <c r="WLI203" s="2"/>
      <c r="WLJ203" s="2"/>
      <c r="WLK203" s="2"/>
      <c r="WLL203" s="2"/>
      <c r="WLM203" s="2"/>
      <c r="WLN203" s="2"/>
      <c r="WLO203" s="2"/>
      <c r="WLP203" s="2"/>
      <c r="WLQ203" s="2"/>
      <c r="WLR203" s="2"/>
      <c r="WLS203" s="2"/>
      <c r="WLT203" s="2"/>
      <c r="WLU203" s="2"/>
      <c r="WLV203" s="2"/>
      <c r="WLW203" s="2"/>
      <c r="WLX203" s="2"/>
      <c r="WLY203" s="2"/>
      <c r="WLZ203" s="2"/>
      <c r="WMA203" s="2"/>
      <c r="WMB203" s="2"/>
      <c r="WMC203" s="2"/>
      <c r="WMD203" s="2"/>
      <c r="WME203" s="2"/>
      <c r="WMF203" s="2"/>
      <c r="WMG203" s="2"/>
      <c r="WMH203" s="2"/>
      <c r="WMI203" s="2"/>
      <c r="WMJ203" s="2"/>
      <c r="WMK203" s="2"/>
      <c r="WML203" s="2"/>
      <c r="WMM203" s="2"/>
      <c r="WMN203" s="2"/>
      <c r="WMO203" s="2"/>
      <c r="WMP203" s="2"/>
      <c r="WMQ203" s="2"/>
      <c r="WMR203" s="2"/>
      <c r="WMS203" s="2"/>
      <c r="WMT203" s="2"/>
      <c r="WMU203" s="2"/>
      <c r="WMV203" s="2"/>
      <c r="WMW203" s="2"/>
      <c r="WMX203" s="2"/>
      <c r="WMY203" s="2"/>
      <c r="WMZ203" s="2"/>
      <c r="WNA203" s="2"/>
      <c r="WNB203" s="2"/>
      <c r="WNC203" s="2"/>
      <c r="WND203" s="2"/>
      <c r="WNE203" s="2"/>
      <c r="WNF203" s="2"/>
      <c r="WNG203" s="2"/>
      <c r="WNH203" s="2"/>
      <c r="WNI203" s="2"/>
      <c r="WNJ203" s="2"/>
      <c r="WNK203" s="2"/>
      <c r="WNL203" s="2"/>
      <c r="WNM203" s="2"/>
      <c r="WNN203" s="2"/>
      <c r="WNO203" s="2"/>
      <c r="WNP203" s="2"/>
      <c r="WNQ203" s="2"/>
      <c r="WNR203" s="2"/>
      <c r="WNS203" s="2"/>
      <c r="WNT203" s="2"/>
      <c r="WNU203" s="2"/>
      <c r="WNV203" s="2"/>
      <c r="WNW203" s="2"/>
      <c r="WNX203" s="2"/>
      <c r="WNY203" s="2"/>
      <c r="WNZ203" s="2"/>
      <c r="WOA203" s="2"/>
      <c r="WOB203" s="2"/>
      <c r="WOC203" s="2"/>
      <c r="WOD203" s="2"/>
      <c r="WOE203" s="2"/>
      <c r="WOF203" s="2"/>
      <c r="WOG203" s="2"/>
      <c r="WOH203" s="2"/>
      <c r="WOI203" s="2"/>
      <c r="WOJ203" s="2"/>
      <c r="WOK203" s="2"/>
      <c r="WOL203" s="2"/>
      <c r="WOM203" s="2"/>
      <c r="WON203" s="2"/>
      <c r="WOO203" s="2"/>
      <c r="WOP203" s="2"/>
      <c r="WOQ203" s="2"/>
      <c r="WOR203" s="2"/>
      <c r="WOS203" s="2"/>
      <c r="WOT203" s="2"/>
      <c r="WOU203" s="2"/>
      <c r="WOV203" s="2"/>
      <c r="WOW203" s="2"/>
      <c r="WOX203" s="2"/>
      <c r="WOY203" s="2"/>
      <c r="WOZ203" s="2"/>
      <c r="WPA203" s="2"/>
      <c r="WPB203" s="2"/>
      <c r="WPC203" s="2"/>
      <c r="WPD203" s="2"/>
      <c r="WPE203" s="2"/>
      <c r="WPF203" s="2"/>
      <c r="WPG203" s="2"/>
      <c r="WPH203" s="2"/>
      <c r="WPI203" s="2"/>
      <c r="WPJ203" s="2"/>
      <c r="WPK203" s="2"/>
      <c r="WPL203" s="2"/>
      <c r="WPM203" s="2"/>
      <c r="WPN203" s="2"/>
      <c r="WPO203" s="2"/>
      <c r="WPP203" s="2"/>
      <c r="WPQ203" s="2"/>
      <c r="WPR203" s="2"/>
      <c r="WPS203" s="2"/>
      <c r="WPT203" s="2"/>
      <c r="WPU203" s="2"/>
      <c r="WPV203" s="2"/>
      <c r="WPW203" s="2"/>
      <c r="WPX203" s="2"/>
      <c r="WPY203" s="2"/>
      <c r="WPZ203" s="2"/>
      <c r="WQA203" s="2"/>
      <c r="WQB203" s="2"/>
      <c r="WQC203" s="2"/>
      <c r="WQD203" s="2"/>
      <c r="WQE203" s="2"/>
      <c r="WQF203" s="2"/>
      <c r="WQG203" s="2"/>
      <c r="WQH203" s="2"/>
      <c r="WQI203" s="2"/>
      <c r="WQJ203" s="2"/>
      <c r="WQK203" s="2"/>
      <c r="WQL203" s="2"/>
      <c r="WQM203" s="2"/>
      <c r="WQN203" s="2"/>
      <c r="WQO203" s="2"/>
      <c r="WQP203" s="2"/>
      <c r="WQQ203" s="2"/>
      <c r="WQR203" s="2"/>
      <c r="WQS203" s="2"/>
      <c r="WQT203" s="2"/>
      <c r="WQU203" s="2"/>
      <c r="WQV203" s="2"/>
      <c r="WQW203" s="2"/>
      <c r="WQX203" s="2"/>
      <c r="WQY203" s="2"/>
      <c r="WQZ203" s="2"/>
      <c r="WRA203" s="2"/>
      <c r="WRB203" s="2"/>
      <c r="WRC203" s="2"/>
      <c r="WRD203" s="2"/>
      <c r="WRE203" s="2"/>
      <c r="WRF203" s="2"/>
      <c r="WRG203" s="2"/>
      <c r="WRH203" s="2"/>
      <c r="WRI203" s="2"/>
      <c r="WRJ203" s="2"/>
      <c r="WRK203" s="2"/>
      <c r="WRL203" s="2"/>
      <c r="WRM203" s="2"/>
      <c r="WRN203" s="2"/>
      <c r="WRO203" s="2"/>
      <c r="WRP203" s="2"/>
      <c r="WRQ203" s="2"/>
      <c r="WRR203" s="2"/>
      <c r="WRS203" s="2"/>
      <c r="WRT203" s="2"/>
      <c r="WRU203" s="2"/>
      <c r="WRV203" s="2"/>
      <c r="WRW203" s="2"/>
      <c r="WRX203" s="2"/>
      <c r="WRY203" s="2"/>
      <c r="WRZ203" s="2"/>
      <c r="WSA203" s="2"/>
      <c r="WSB203" s="2"/>
      <c r="WSC203" s="2"/>
      <c r="WSD203" s="2"/>
      <c r="WSE203" s="2"/>
      <c r="WSF203" s="2"/>
      <c r="WSG203" s="2"/>
      <c r="WSH203" s="2"/>
      <c r="WSI203" s="2"/>
      <c r="WSJ203" s="2"/>
      <c r="WSK203" s="2"/>
      <c r="WSL203" s="2"/>
      <c r="WSM203" s="2"/>
      <c r="WSN203" s="2"/>
      <c r="WSO203" s="2"/>
      <c r="WSP203" s="2"/>
      <c r="WSQ203" s="2"/>
      <c r="WSR203" s="2"/>
      <c r="WSS203" s="2"/>
      <c r="WST203" s="2"/>
      <c r="WSU203" s="2"/>
      <c r="WSV203" s="2"/>
      <c r="WSW203" s="2"/>
      <c r="WSX203" s="2"/>
      <c r="WSY203" s="2"/>
      <c r="WSZ203" s="2"/>
      <c r="WTA203" s="2"/>
      <c r="WTB203" s="2"/>
      <c r="WTC203" s="2"/>
      <c r="WTD203" s="2"/>
      <c r="WTE203" s="2"/>
      <c r="WTF203" s="2"/>
      <c r="WTG203" s="2"/>
      <c r="WTH203" s="2"/>
      <c r="WTI203" s="2"/>
      <c r="WTJ203" s="2"/>
      <c r="WTK203" s="2"/>
      <c r="WTL203" s="2"/>
      <c r="WTM203" s="2"/>
      <c r="WTN203" s="2"/>
      <c r="WTO203" s="2"/>
      <c r="WTP203" s="2"/>
      <c r="WTQ203" s="2"/>
      <c r="WTR203" s="2"/>
      <c r="WTS203" s="2"/>
      <c r="WTT203" s="2"/>
      <c r="WTU203" s="2"/>
      <c r="WTV203" s="2"/>
      <c r="WTW203" s="2"/>
      <c r="WTX203" s="2"/>
      <c r="WTY203" s="2"/>
      <c r="WTZ203" s="2"/>
      <c r="WUA203" s="2"/>
      <c r="WUB203" s="2"/>
      <c r="WUC203" s="2"/>
      <c r="WUD203" s="2"/>
      <c r="WUE203" s="2"/>
      <c r="WUF203" s="2"/>
      <c r="WUG203" s="2"/>
      <c r="WUH203" s="2"/>
      <c r="WUI203" s="2"/>
      <c r="WUJ203" s="2"/>
      <c r="WUK203" s="2"/>
      <c r="WUL203" s="2"/>
      <c r="WUM203" s="2"/>
      <c r="WUN203" s="2"/>
      <c r="WUO203" s="2"/>
      <c r="WUP203" s="2"/>
      <c r="WUQ203" s="2"/>
      <c r="WUR203" s="2"/>
      <c r="WUS203" s="2"/>
      <c r="WUT203" s="2"/>
      <c r="WUU203" s="2"/>
      <c r="WUV203" s="2"/>
      <c r="WUW203" s="2"/>
      <c r="WUX203" s="2"/>
      <c r="WUY203" s="2"/>
      <c r="WUZ203" s="2"/>
      <c r="WVA203" s="2"/>
      <c r="WVB203" s="2"/>
      <c r="WVC203" s="2"/>
      <c r="WVD203" s="2"/>
      <c r="WVE203" s="2"/>
      <c r="WVF203" s="2"/>
      <c r="WVG203" s="2"/>
      <c r="WVH203" s="2"/>
      <c r="WVI203" s="2"/>
      <c r="WVJ203" s="2"/>
      <c r="WVK203" s="2"/>
      <c r="WVL203" s="2"/>
      <c r="WVM203" s="2"/>
      <c r="WVN203" s="2"/>
      <c r="WVO203" s="2"/>
      <c r="WVP203" s="2"/>
      <c r="WVQ203" s="2"/>
      <c r="WVR203" s="2"/>
      <c r="WVS203" s="2"/>
      <c r="WVT203" s="2"/>
      <c r="WVU203" s="2"/>
      <c r="WVV203" s="2"/>
      <c r="WVW203" s="2"/>
      <c r="WVX203" s="2"/>
      <c r="WVY203" s="2"/>
      <c r="WVZ203" s="2"/>
      <c r="WWA203" s="2"/>
      <c r="WWB203" s="2"/>
      <c r="WWC203" s="2"/>
      <c r="WWD203" s="2"/>
      <c r="WWE203" s="2"/>
      <c r="WWF203" s="2"/>
      <c r="WWG203" s="2"/>
      <c r="WWH203" s="2"/>
      <c r="WWI203" s="2"/>
      <c r="WWJ203" s="2"/>
      <c r="WWK203" s="2"/>
      <c r="WWL203" s="2"/>
      <c r="WWM203" s="2"/>
      <c r="WWN203" s="2"/>
      <c r="WWO203" s="2"/>
      <c r="WWP203" s="2"/>
      <c r="WWQ203" s="2"/>
      <c r="WWR203" s="2"/>
      <c r="WWS203" s="2"/>
      <c r="WWT203" s="2"/>
      <c r="WWU203" s="2"/>
      <c r="WWV203" s="2"/>
      <c r="WWW203" s="2"/>
      <c r="WWX203" s="2"/>
      <c r="WWY203" s="2"/>
      <c r="WWZ203" s="2"/>
      <c r="WXA203" s="2"/>
      <c r="WXB203" s="2"/>
      <c r="WXC203" s="2"/>
      <c r="WXD203" s="2"/>
      <c r="WXE203" s="2"/>
      <c r="WXF203" s="2"/>
      <c r="WXG203" s="2"/>
      <c r="WXH203" s="2"/>
      <c r="WXI203" s="2"/>
      <c r="WXJ203" s="2"/>
      <c r="WXK203" s="2"/>
      <c r="WXL203" s="2"/>
      <c r="WXM203" s="2"/>
      <c r="WXN203" s="2"/>
      <c r="WXO203" s="2"/>
      <c r="WXP203" s="2"/>
      <c r="WXQ203" s="2"/>
      <c r="WXR203" s="2"/>
      <c r="WXS203" s="2"/>
      <c r="WXT203" s="2"/>
      <c r="WXU203" s="2"/>
      <c r="WXV203" s="2"/>
      <c r="WXW203" s="2"/>
      <c r="WXX203" s="2"/>
      <c r="WXY203" s="2"/>
      <c r="WXZ203" s="2"/>
      <c r="WYA203" s="2"/>
      <c r="WYB203" s="2"/>
      <c r="WYC203" s="2"/>
      <c r="WYD203" s="2"/>
      <c r="WYE203" s="2"/>
      <c r="WYF203" s="2"/>
      <c r="WYG203" s="2"/>
      <c r="WYH203" s="2"/>
      <c r="WYI203" s="2"/>
      <c r="WYJ203" s="2"/>
      <c r="WYK203" s="2"/>
      <c r="WYL203" s="2"/>
      <c r="WYM203" s="2"/>
      <c r="WYN203" s="2"/>
      <c r="WYO203" s="2"/>
      <c r="WYP203" s="2"/>
      <c r="WYQ203" s="2"/>
      <c r="WYR203" s="2"/>
      <c r="WYS203" s="2"/>
      <c r="WYT203" s="2"/>
      <c r="WYU203" s="2"/>
      <c r="WYV203" s="2"/>
      <c r="WYW203" s="2"/>
      <c r="WYX203" s="2"/>
      <c r="WYY203" s="2"/>
      <c r="WYZ203" s="2"/>
      <c r="WZA203" s="2"/>
      <c r="WZB203" s="2"/>
      <c r="WZC203" s="2"/>
      <c r="WZD203" s="2"/>
      <c r="WZE203" s="2"/>
      <c r="WZF203" s="2"/>
      <c r="WZG203" s="2"/>
      <c r="WZH203" s="2"/>
      <c r="WZI203" s="2"/>
      <c r="WZJ203" s="2"/>
      <c r="WZK203" s="2"/>
      <c r="WZL203" s="2"/>
      <c r="WZM203" s="2"/>
      <c r="WZN203" s="2"/>
      <c r="WZO203" s="2"/>
      <c r="WZP203" s="2"/>
      <c r="WZQ203" s="2"/>
      <c r="WZR203" s="2"/>
      <c r="WZS203" s="2"/>
      <c r="WZT203" s="2"/>
      <c r="WZU203" s="2"/>
      <c r="WZV203" s="2"/>
      <c r="WZW203" s="2"/>
      <c r="WZX203" s="2"/>
      <c r="WZY203" s="2"/>
      <c r="WZZ203" s="2"/>
      <c r="XAA203" s="2"/>
      <c r="XAB203" s="2"/>
      <c r="XAC203" s="2"/>
      <c r="XAD203" s="2"/>
      <c r="XAE203" s="2"/>
      <c r="XAF203" s="2"/>
      <c r="XAG203" s="2"/>
      <c r="XAH203" s="2"/>
      <c r="XAI203" s="2"/>
      <c r="XAJ203" s="2"/>
      <c r="XAK203" s="2"/>
      <c r="XAL203" s="2"/>
      <c r="XAM203" s="2"/>
      <c r="XAN203" s="2"/>
      <c r="XAO203" s="2"/>
      <c r="XAP203" s="2"/>
      <c r="XAQ203" s="2"/>
      <c r="XAR203" s="2"/>
      <c r="XAS203" s="2"/>
      <c r="XAT203" s="2"/>
      <c r="XAU203" s="2"/>
      <c r="XAV203" s="2"/>
      <c r="XAW203" s="2"/>
      <c r="XAX203" s="2"/>
      <c r="XAY203" s="2"/>
      <c r="XAZ203" s="2"/>
      <c r="XBA203" s="2"/>
      <c r="XBB203" s="2"/>
      <c r="XBC203" s="2"/>
      <c r="XBD203" s="2"/>
      <c r="XBE203" s="2"/>
      <c r="XBF203" s="2"/>
      <c r="XBG203" s="2"/>
      <c r="XBH203" s="2"/>
      <c r="XBI203" s="2"/>
      <c r="XBJ203" s="2"/>
      <c r="XBK203" s="2"/>
      <c r="XBL203" s="2"/>
      <c r="XBM203" s="2"/>
      <c r="XBN203" s="2"/>
      <c r="XBO203" s="2"/>
      <c r="XBP203" s="2"/>
      <c r="XBQ203" s="2"/>
      <c r="XBR203" s="2"/>
      <c r="XBS203" s="2"/>
      <c r="XBT203" s="2"/>
      <c r="XBU203" s="2"/>
      <c r="XBV203" s="2"/>
      <c r="XBW203" s="2"/>
      <c r="XBX203" s="2"/>
      <c r="XBY203" s="2"/>
      <c r="XBZ203" s="2"/>
      <c r="XCA203" s="2"/>
      <c r="XCB203" s="2"/>
      <c r="XCC203" s="2"/>
      <c r="XCD203" s="2"/>
      <c r="XCE203" s="2"/>
      <c r="XCF203" s="2"/>
      <c r="XCG203" s="2"/>
      <c r="XCH203" s="2"/>
      <c r="XCI203" s="2"/>
      <c r="XCJ203" s="2"/>
      <c r="XCK203" s="2"/>
      <c r="XCL203" s="2"/>
      <c r="XCM203" s="2"/>
      <c r="XCN203" s="2"/>
      <c r="XCO203" s="2"/>
      <c r="XCP203" s="2"/>
      <c r="XCQ203" s="2"/>
      <c r="XCR203" s="2"/>
      <c r="XCS203" s="2"/>
      <c r="XCT203" s="2"/>
      <c r="XCU203" s="2"/>
      <c r="XCV203" s="2"/>
      <c r="XCW203" s="2"/>
      <c r="XCX203" s="2"/>
      <c r="XCY203" s="2"/>
      <c r="XCZ203" s="2"/>
      <c r="XDA203" s="2"/>
      <c r="XDB203" s="2"/>
      <c r="XDC203" s="2"/>
      <c r="XDD203" s="2"/>
      <c r="XDE203" s="2"/>
      <c r="XDF203" s="2"/>
      <c r="XDG203" s="2"/>
      <c r="XDH203" s="2"/>
      <c r="XDI203" s="2"/>
      <c r="XDJ203" s="2"/>
      <c r="XDK203" s="2"/>
      <c r="XDL203" s="2"/>
      <c r="XDM203" s="2"/>
      <c r="XDN203" s="2"/>
      <c r="XDO203" s="2"/>
      <c r="XDP203" s="2"/>
      <c r="XDQ203" s="2"/>
      <c r="XDR203" s="2"/>
      <c r="XDS203" s="2"/>
      <c r="XDT203" s="2"/>
      <c r="XDU203" s="2"/>
      <c r="XDV203" s="2"/>
      <c r="XDW203" s="2"/>
      <c r="XDX203" s="2"/>
      <c r="XDY203" s="2"/>
      <c r="XDZ203" s="2"/>
      <c r="XEA203" s="2"/>
      <c r="XEB203" s="2"/>
      <c r="XEC203" s="2"/>
      <c r="XED203" s="2"/>
      <c r="XEE203" s="2"/>
      <c r="XEF203" s="2"/>
      <c r="XEG203" s="2"/>
      <c r="XEH203" s="2"/>
      <c r="XEI203" s="2"/>
      <c r="XEJ203" s="2"/>
      <c r="XEK203" s="2"/>
      <c r="XEL203" s="2"/>
      <c r="XEM203" s="2"/>
      <c r="XEN203" s="2"/>
      <c r="XEO203" s="2"/>
      <c r="XEP203" s="2"/>
      <c r="XEQ203" s="2"/>
      <c r="XER203" s="2"/>
      <c r="XES203" s="2"/>
      <c r="XET203" s="2"/>
      <c r="XEU203" s="2"/>
      <c r="XEV203" s="2"/>
      <c r="XEW203" s="2"/>
      <c r="XEX203" s="2"/>
      <c r="XEY203" s="2"/>
      <c r="XEZ203" s="2"/>
      <c r="XFA203" s="2"/>
      <c r="XFB203" s="2"/>
    </row>
    <row r="204" spans="1:16382" ht="18" customHeight="1">
      <c r="B204" s="180"/>
      <c r="AC204" s="43"/>
    </row>
    <row r="205" spans="1:16382" ht="18" customHeight="1">
      <c r="B205" s="120"/>
      <c r="AC205" s="43"/>
    </row>
    <row r="206" spans="1:16382" ht="18" customHeight="1">
      <c r="B206" s="120"/>
      <c r="AC206" s="43"/>
    </row>
    <row r="207" spans="1:16382" ht="18" customHeight="1">
      <c r="B207" s="120"/>
      <c r="E207" s="1"/>
      <c r="AC207" s="43"/>
    </row>
    <row r="208" spans="1:16382" ht="18" customHeight="1">
      <c r="B208" s="120"/>
      <c r="AC208" s="43"/>
    </row>
    <row r="209" spans="2:29" ht="18" customHeight="1">
      <c r="B209" s="120"/>
      <c r="AC209" s="43"/>
    </row>
    <row r="210" spans="2:29" ht="18" customHeight="1">
      <c r="B210" s="120"/>
      <c r="AC210" s="43"/>
    </row>
    <row r="211" spans="2:29" ht="18" customHeight="1">
      <c r="B211" s="120"/>
      <c r="AC211" s="43"/>
    </row>
    <row r="212" spans="2:29" ht="18" customHeight="1">
      <c r="B212" s="120"/>
      <c r="AC212" s="43"/>
    </row>
    <row r="213" spans="2:29" ht="18" customHeight="1">
      <c r="B213" s="120"/>
      <c r="AC213" s="43"/>
    </row>
    <row r="214" spans="2:29" ht="18" customHeight="1">
      <c r="B214" s="120"/>
      <c r="AC214" s="43"/>
    </row>
    <row r="215" spans="2:29" ht="18" customHeight="1">
      <c r="B215" s="120"/>
      <c r="AC215" s="43"/>
    </row>
    <row r="216" spans="2:29" ht="18" customHeight="1">
      <c r="B216" s="120"/>
      <c r="AC216" s="43"/>
    </row>
    <row r="217" spans="2:29">
      <c r="B217" s="120"/>
    </row>
    <row r="218" spans="2:29">
      <c r="B218" s="120"/>
    </row>
    <row r="219" spans="2:29">
      <c r="B219" s="120"/>
    </row>
    <row r="220" spans="2:29">
      <c r="B220" s="120"/>
    </row>
    <row r="221" spans="2:29">
      <c r="B221" s="120"/>
    </row>
    <row r="222" spans="2:29">
      <c r="B222" s="120"/>
    </row>
    <row r="223" spans="2:29">
      <c r="B223" s="120"/>
    </row>
    <row r="224" spans="2:29">
      <c r="B224" s="120"/>
    </row>
    <row r="225" spans="2:2">
      <c r="B225" s="120"/>
    </row>
    <row r="226" spans="2:2">
      <c r="B226" s="120"/>
    </row>
    <row r="227" spans="2:2">
      <c r="B227" s="120"/>
    </row>
    <row r="228" spans="2:2">
      <c r="B228" s="120"/>
    </row>
    <row r="229" spans="2:2">
      <c r="B229" s="120"/>
    </row>
    <row r="230" spans="2:2">
      <c r="B230" s="120"/>
    </row>
    <row r="231" spans="2:2">
      <c r="B231" s="120"/>
    </row>
    <row r="232" spans="2:2">
      <c r="B232" s="120"/>
    </row>
    <row r="233" spans="2:2">
      <c r="B233" s="120"/>
    </row>
    <row r="234" spans="2:2">
      <c r="B234" s="120"/>
    </row>
    <row r="235" spans="2:2">
      <c r="B235" s="120"/>
    </row>
    <row r="236" spans="2:2">
      <c r="B236" s="120"/>
    </row>
    <row r="237" spans="2:2">
      <c r="B237" s="120"/>
    </row>
    <row r="238" spans="2:2">
      <c r="B238" s="120"/>
    </row>
    <row r="239" spans="2:2">
      <c r="B239" s="120"/>
    </row>
    <row r="240" spans="2:2">
      <c r="B240" s="120"/>
    </row>
    <row r="241" spans="2:2">
      <c r="B241" s="120"/>
    </row>
    <row r="242" spans="2:2">
      <c r="B242" s="120"/>
    </row>
    <row r="243" spans="2:2">
      <c r="B243" s="120"/>
    </row>
    <row r="244" spans="2:2">
      <c r="B244" s="120"/>
    </row>
    <row r="245" spans="2:2">
      <c r="B245" s="120"/>
    </row>
    <row r="246" spans="2:2">
      <c r="B246" s="120"/>
    </row>
    <row r="247" spans="2:2">
      <c r="B247" s="120"/>
    </row>
    <row r="248" spans="2:2">
      <c r="B248" s="120"/>
    </row>
    <row r="249" spans="2:2">
      <c r="B249" s="120"/>
    </row>
    <row r="250" spans="2:2">
      <c r="B250" s="120"/>
    </row>
    <row r="251" spans="2:2">
      <c r="B251" s="120"/>
    </row>
    <row r="252" spans="2:2">
      <c r="B252" s="120"/>
    </row>
    <row r="253" spans="2:2">
      <c r="B253" s="120"/>
    </row>
    <row r="254" spans="2:2">
      <c r="B254" s="120"/>
    </row>
    <row r="255" spans="2:2">
      <c r="B255" s="120"/>
    </row>
    <row r="256" spans="2:2">
      <c r="B256" s="120"/>
    </row>
    <row r="257" spans="2:2">
      <c r="B257" s="120"/>
    </row>
    <row r="258" spans="2:2">
      <c r="B258" s="120"/>
    </row>
    <row r="259" spans="2:2">
      <c r="B259" s="120"/>
    </row>
    <row r="260" spans="2:2">
      <c r="B260" s="120"/>
    </row>
    <row r="261" spans="2:2">
      <c r="B261" s="120"/>
    </row>
    <row r="262" spans="2:2">
      <c r="B262" s="120"/>
    </row>
    <row r="263" spans="2:2">
      <c r="B263" s="120"/>
    </row>
    <row r="264" spans="2:2">
      <c r="B264" s="120"/>
    </row>
    <row r="265" spans="2:2">
      <c r="B265" s="120"/>
    </row>
    <row r="266" spans="2:2">
      <c r="B266" s="120"/>
    </row>
    <row r="267" spans="2:2">
      <c r="B267" s="120"/>
    </row>
    <row r="268" spans="2:2">
      <c r="B268" s="120"/>
    </row>
    <row r="269" spans="2:2">
      <c r="B269" s="120"/>
    </row>
    <row r="270" spans="2:2">
      <c r="B270" s="120"/>
    </row>
    <row r="271" spans="2:2">
      <c r="B271" s="120"/>
    </row>
    <row r="272" spans="2:2">
      <c r="B272" s="120"/>
    </row>
    <row r="273" spans="2:2">
      <c r="B273" s="120"/>
    </row>
    <row r="274" spans="2:2">
      <c r="B274" s="120"/>
    </row>
    <row r="275" spans="2:2">
      <c r="B275" s="120"/>
    </row>
    <row r="276" spans="2:2">
      <c r="B276" s="120"/>
    </row>
    <row r="277" spans="2:2">
      <c r="B277" s="120"/>
    </row>
    <row r="278" spans="2:2">
      <c r="B278" s="120"/>
    </row>
    <row r="279" spans="2:2">
      <c r="B279" s="120"/>
    </row>
    <row r="280" spans="2:2">
      <c r="B280" s="120"/>
    </row>
    <row r="281" spans="2:2">
      <c r="B281" s="120"/>
    </row>
    <row r="282" spans="2:2">
      <c r="B282" s="120"/>
    </row>
    <row r="283" spans="2:2">
      <c r="B283" s="120"/>
    </row>
    <row r="284" spans="2:2">
      <c r="B284" s="120"/>
    </row>
    <row r="285" spans="2:2">
      <c r="B285" s="120"/>
    </row>
    <row r="286" spans="2:2">
      <c r="B286" s="120"/>
    </row>
    <row r="287" spans="2:2">
      <c r="B287" s="120"/>
    </row>
    <row r="288" spans="2:2">
      <c r="B288" s="120"/>
    </row>
    <row r="289" spans="2:2">
      <c r="B289" s="120"/>
    </row>
    <row r="290" spans="2:2">
      <c r="B290" s="120"/>
    </row>
    <row r="291" spans="2:2">
      <c r="B291" s="120"/>
    </row>
    <row r="292" spans="2:2">
      <c r="B292" s="120"/>
    </row>
    <row r="293" spans="2:2">
      <c r="B293" s="120"/>
    </row>
    <row r="294" spans="2:2">
      <c r="B294" s="120"/>
    </row>
    <row r="295" spans="2:2">
      <c r="B295" s="120"/>
    </row>
    <row r="296" spans="2:2">
      <c r="B296" s="120"/>
    </row>
    <row r="297" spans="2:2">
      <c r="B297" s="120"/>
    </row>
    <row r="298" spans="2:2">
      <c r="B298" s="120"/>
    </row>
    <row r="299" spans="2:2">
      <c r="B299" s="120"/>
    </row>
    <row r="300" spans="2:2">
      <c r="B300" s="120"/>
    </row>
    <row r="301" spans="2:2">
      <c r="B301" s="120"/>
    </row>
    <row r="302" spans="2:2">
      <c r="B302" s="120"/>
    </row>
    <row r="303" spans="2:2">
      <c r="B303" s="120"/>
    </row>
    <row r="304" spans="2:2">
      <c r="B304" s="120"/>
    </row>
    <row r="305" spans="2:2">
      <c r="B305" s="120"/>
    </row>
    <row r="306" spans="2:2">
      <c r="B306" s="120"/>
    </row>
    <row r="307" spans="2:2">
      <c r="B307" s="120"/>
    </row>
    <row r="308" spans="2:2">
      <c r="B308" s="120"/>
    </row>
    <row r="309" spans="2:2">
      <c r="B309" s="120"/>
    </row>
    <row r="310" spans="2:2">
      <c r="B310" s="120"/>
    </row>
    <row r="311" spans="2:2">
      <c r="B311" s="120"/>
    </row>
    <row r="312" spans="2:2">
      <c r="B312" s="120"/>
    </row>
    <row r="313" spans="2:2">
      <c r="B313" s="120"/>
    </row>
    <row r="314" spans="2:2">
      <c r="B314" s="120"/>
    </row>
    <row r="315" spans="2:2">
      <c r="B315" s="120"/>
    </row>
    <row r="316" spans="2:2">
      <c r="B316" s="120"/>
    </row>
    <row r="317" spans="2:2">
      <c r="B317" s="120"/>
    </row>
    <row r="318" spans="2:2">
      <c r="B318" s="120"/>
    </row>
    <row r="319" spans="2:2">
      <c r="B319" s="120"/>
    </row>
    <row r="320" spans="2:2">
      <c r="B320" s="120"/>
    </row>
    <row r="321" spans="2:2">
      <c r="B321" s="120"/>
    </row>
    <row r="322" spans="2:2">
      <c r="B322" s="120"/>
    </row>
    <row r="323" spans="2:2">
      <c r="B323" s="120"/>
    </row>
    <row r="324" spans="2:2">
      <c r="B324" s="120"/>
    </row>
    <row r="325" spans="2:2">
      <c r="B325" s="120"/>
    </row>
    <row r="326" spans="2:2">
      <c r="B326" s="120"/>
    </row>
    <row r="327" spans="2:2">
      <c r="B327" s="120"/>
    </row>
    <row r="328" spans="2:2">
      <c r="B328" s="120"/>
    </row>
    <row r="329" spans="2:2">
      <c r="B329" s="120"/>
    </row>
    <row r="330" spans="2:2">
      <c r="B330" s="120"/>
    </row>
    <row r="331" spans="2:2">
      <c r="B331" s="120"/>
    </row>
    <row r="332" spans="2:2">
      <c r="B332" s="120"/>
    </row>
    <row r="333" spans="2:2">
      <c r="B333" s="120"/>
    </row>
    <row r="334" spans="2:2">
      <c r="B334" s="120"/>
    </row>
    <row r="335" spans="2:2">
      <c r="B335" s="120"/>
    </row>
    <row r="336" spans="2:2">
      <c r="B336" s="120"/>
    </row>
    <row r="337" spans="2:2">
      <c r="B337" s="120"/>
    </row>
    <row r="338" spans="2:2">
      <c r="B338" s="120"/>
    </row>
    <row r="339" spans="2:2">
      <c r="B339" s="120"/>
    </row>
    <row r="340" spans="2:2">
      <c r="B340" s="120"/>
    </row>
    <row r="341" spans="2:2">
      <c r="B341" s="120"/>
    </row>
    <row r="342" spans="2:2">
      <c r="B342" s="120"/>
    </row>
    <row r="343" spans="2:2">
      <c r="B343" s="120"/>
    </row>
    <row r="344" spans="2:2">
      <c r="B344" s="120"/>
    </row>
    <row r="345" spans="2:2">
      <c r="B345" s="120"/>
    </row>
    <row r="346" spans="2:2">
      <c r="B346" s="120"/>
    </row>
    <row r="347" spans="2:2">
      <c r="B347" s="120"/>
    </row>
    <row r="348" spans="2:2">
      <c r="B348" s="120"/>
    </row>
    <row r="349" spans="2:2">
      <c r="B349" s="120"/>
    </row>
    <row r="350" spans="2:2">
      <c r="B350" s="120"/>
    </row>
    <row r="351" spans="2:2">
      <c r="B351" s="120"/>
    </row>
    <row r="352" spans="2:2">
      <c r="B352" s="120"/>
    </row>
    <row r="353" spans="2:2">
      <c r="B353" s="120"/>
    </row>
    <row r="354" spans="2:2">
      <c r="B354" s="120"/>
    </row>
    <row r="355" spans="2:2">
      <c r="B355" s="120"/>
    </row>
    <row r="356" spans="2:2">
      <c r="B356" s="120"/>
    </row>
    <row r="357" spans="2:2">
      <c r="B357" s="120"/>
    </row>
    <row r="358" spans="2:2">
      <c r="B358" s="120"/>
    </row>
    <row r="359" spans="2:2">
      <c r="B359" s="120"/>
    </row>
    <row r="360" spans="2:2">
      <c r="B360" s="120"/>
    </row>
    <row r="361" spans="2:2">
      <c r="B361" s="120"/>
    </row>
    <row r="362" spans="2:2">
      <c r="B362" s="120"/>
    </row>
    <row r="363" spans="2:2">
      <c r="B363" s="120"/>
    </row>
    <row r="364" spans="2:2">
      <c r="B364" s="120"/>
    </row>
    <row r="365" spans="2:2">
      <c r="B365" s="120"/>
    </row>
    <row r="366" spans="2:2">
      <c r="B366" s="120"/>
    </row>
    <row r="367" spans="2:2">
      <c r="B367" s="120"/>
    </row>
    <row r="368" spans="2:2">
      <c r="B368" s="120"/>
    </row>
    <row r="369" spans="2:2">
      <c r="B369" s="120"/>
    </row>
    <row r="370" spans="2:2">
      <c r="B370" s="120"/>
    </row>
    <row r="371" spans="2:2">
      <c r="B371" s="120"/>
    </row>
    <row r="372" spans="2:2">
      <c r="B372" s="120"/>
    </row>
    <row r="373" spans="2:2">
      <c r="B373" s="120"/>
    </row>
    <row r="374" spans="2:2">
      <c r="B374" s="120"/>
    </row>
    <row r="375" spans="2:2">
      <c r="B375" s="120"/>
    </row>
    <row r="376" spans="2:2">
      <c r="B376" s="120"/>
    </row>
    <row r="377" spans="2:2">
      <c r="B377" s="120"/>
    </row>
    <row r="378" spans="2:2">
      <c r="B378" s="120"/>
    </row>
    <row r="379" spans="2:2">
      <c r="B379" s="120"/>
    </row>
    <row r="380" spans="2:2">
      <c r="B380" s="120"/>
    </row>
    <row r="381" spans="2:2">
      <c r="B381" s="120"/>
    </row>
    <row r="382" spans="2:2">
      <c r="B382" s="120"/>
    </row>
    <row r="383" spans="2:2">
      <c r="B383" s="120"/>
    </row>
    <row r="384" spans="2:2">
      <c r="B384" s="120"/>
    </row>
    <row r="385" spans="2:2">
      <c r="B385" s="120"/>
    </row>
    <row r="386" spans="2:2">
      <c r="B386" s="120"/>
    </row>
    <row r="387" spans="2:2">
      <c r="B387" s="120"/>
    </row>
    <row r="388" spans="2:2">
      <c r="B388" s="120"/>
    </row>
    <row r="389" spans="2:2">
      <c r="B389" s="120"/>
    </row>
    <row r="390" spans="2:2">
      <c r="B390" s="120"/>
    </row>
    <row r="391" spans="2:2">
      <c r="B391" s="120"/>
    </row>
    <row r="392" spans="2:2">
      <c r="B392" s="120"/>
    </row>
    <row r="393" spans="2:2">
      <c r="B393" s="120"/>
    </row>
    <row r="394" spans="2:2">
      <c r="B394" s="120"/>
    </row>
    <row r="395" spans="2:2">
      <c r="B395" s="120"/>
    </row>
    <row r="396" spans="2:2">
      <c r="B396" s="120"/>
    </row>
    <row r="397" spans="2:2">
      <c r="B397" s="120"/>
    </row>
    <row r="398" spans="2:2">
      <c r="B398" s="120"/>
    </row>
    <row r="399" spans="2:2">
      <c r="B399" s="120"/>
    </row>
    <row r="400" spans="2:2">
      <c r="B400" s="120"/>
    </row>
    <row r="401" spans="2:2">
      <c r="B401" s="120"/>
    </row>
    <row r="402" spans="2:2">
      <c r="B402" s="120"/>
    </row>
    <row r="403" spans="2:2">
      <c r="B403" s="120"/>
    </row>
    <row r="404" spans="2:2">
      <c r="B404" s="120"/>
    </row>
    <row r="405" spans="2:2">
      <c r="B405" s="120"/>
    </row>
    <row r="406" spans="2:2">
      <c r="B406" s="120"/>
    </row>
    <row r="407" spans="2:2">
      <c r="B407" s="120"/>
    </row>
    <row r="408" spans="2:2">
      <c r="B408" s="120"/>
    </row>
    <row r="409" spans="2:2">
      <c r="B409" s="120"/>
    </row>
    <row r="410" spans="2:2">
      <c r="B410" s="120"/>
    </row>
    <row r="411" spans="2:2">
      <c r="B411" s="120"/>
    </row>
    <row r="412" spans="2:2">
      <c r="B412" s="120"/>
    </row>
    <row r="413" spans="2:2">
      <c r="B413" s="120"/>
    </row>
    <row r="414" spans="2:2">
      <c r="B414" s="120"/>
    </row>
    <row r="415" spans="2:2">
      <c r="B415" s="120"/>
    </row>
    <row r="416" spans="2:2">
      <c r="B416" s="120"/>
    </row>
    <row r="417" spans="2:2">
      <c r="B417" s="120"/>
    </row>
    <row r="418" spans="2:2">
      <c r="B418" s="120"/>
    </row>
    <row r="419" spans="2:2">
      <c r="B419" s="120"/>
    </row>
    <row r="420" spans="2:2">
      <c r="B420" s="120"/>
    </row>
    <row r="421" spans="2:2">
      <c r="B421" s="120"/>
    </row>
    <row r="422" spans="2:2">
      <c r="B422" s="120"/>
    </row>
    <row r="423" spans="2:2">
      <c r="B423" s="120"/>
    </row>
    <row r="424" spans="2:2">
      <c r="B424" s="120"/>
    </row>
    <row r="425" spans="2:2">
      <c r="B425" s="120"/>
    </row>
    <row r="426" spans="2:2">
      <c r="B426" s="120"/>
    </row>
    <row r="427" spans="2:2">
      <c r="B427" s="120"/>
    </row>
    <row r="428" spans="2:2">
      <c r="B428" s="120"/>
    </row>
    <row r="429" spans="2:2">
      <c r="B429" s="120"/>
    </row>
    <row r="430" spans="2:2">
      <c r="B430" s="120"/>
    </row>
    <row r="431" spans="2:2">
      <c r="B431" s="120"/>
    </row>
    <row r="432" spans="2:2">
      <c r="B432" s="120"/>
    </row>
    <row r="433" spans="2:2">
      <c r="B433" s="120"/>
    </row>
    <row r="434" spans="2:2">
      <c r="B434" s="120"/>
    </row>
    <row r="435" spans="2:2">
      <c r="B435" s="120"/>
    </row>
    <row r="436" spans="2:2">
      <c r="B436" s="120"/>
    </row>
    <row r="437" spans="2:2">
      <c r="B437" s="120"/>
    </row>
    <row r="438" spans="2:2">
      <c r="B438" s="120"/>
    </row>
    <row r="439" spans="2:2">
      <c r="B439" s="120"/>
    </row>
    <row r="440" spans="2:2">
      <c r="B440" s="120"/>
    </row>
    <row r="441" spans="2:2">
      <c r="B441" s="120"/>
    </row>
    <row r="442" spans="2:2">
      <c r="B442" s="120"/>
    </row>
    <row r="443" spans="2:2">
      <c r="B443" s="120"/>
    </row>
    <row r="444" spans="2:2">
      <c r="B444" s="120"/>
    </row>
    <row r="445" spans="2:2">
      <c r="B445" s="120"/>
    </row>
    <row r="446" spans="2:2">
      <c r="B446" s="120"/>
    </row>
    <row r="447" spans="2:2">
      <c r="B447" s="120"/>
    </row>
    <row r="448" spans="2:2">
      <c r="B448" s="120"/>
    </row>
    <row r="449" spans="2:2">
      <c r="B449" s="120"/>
    </row>
    <row r="450" spans="2:2">
      <c r="B450" s="120"/>
    </row>
    <row r="451" spans="2:2">
      <c r="B451" s="120"/>
    </row>
    <row r="452" spans="2:2">
      <c r="B452" s="120"/>
    </row>
    <row r="453" spans="2:2">
      <c r="B453" s="120"/>
    </row>
    <row r="454" spans="2:2">
      <c r="B454" s="120"/>
    </row>
    <row r="455" spans="2:2">
      <c r="B455" s="120"/>
    </row>
    <row r="456" spans="2:2">
      <c r="B456" s="120"/>
    </row>
    <row r="457" spans="2:2">
      <c r="B457" s="120"/>
    </row>
    <row r="458" spans="2:2">
      <c r="B458" s="120"/>
    </row>
    <row r="459" spans="2:2">
      <c r="B459" s="120"/>
    </row>
    <row r="460" spans="2:2">
      <c r="B460" s="120"/>
    </row>
    <row r="461" spans="2:2">
      <c r="B461" s="120"/>
    </row>
    <row r="462" spans="2:2">
      <c r="B462" s="120"/>
    </row>
    <row r="463" spans="2:2">
      <c r="B463" s="120"/>
    </row>
    <row r="464" spans="2:2">
      <c r="B464" s="120"/>
    </row>
    <row r="465" spans="2:2">
      <c r="B465" s="120"/>
    </row>
    <row r="466" spans="2:2">
      <c r="B466" s="120"/>
    </row>
    <row r="467" spans="2:2">
      <c r="B467" s="120"/>
    </row>
    <row r="468" spans="2:2">
      <c r="B468" s="120"/>
    </row>
    <row r="469" spans="2:2">
      <c r="B469" s="120"/>
    </row>
    <row r="470" spans="2:2">
      <c r="B470" s="120"/>
    </row>
    <row r="471" spans="2:2">
      <c r="B471" s="120"/>
    </row>
    <row r="472" spans="2:2">
      <c r="B472" s="120"/>
    </row>
    <row r="473" spans="2:2">
      <c r="B473" s="120"/>
    </row>
    <row r="474" spans="2:2">
      <c r="B474" s="120"/>
    </row>
    <row r="475" spans="2:2">
      <c r="B475" s="120"/>
    </row>
    <row r="476" spans="2:2">
      <c r="B476" s="120"/>
    </row>
    <row r="477" spans="2:2">
      <c r="B477" s="120"/>
    </row>
    <row r="478" spans="2:2">
      <c r="B478" s="120"/>
    </row>
    <row r="479" spans="2:2">
      <c r="B479" s="120"/>
    </row>
    <row r="480" spans="2:2">
      <c r="B480" s="120"/>
    </row>
    <row r="481" spans="2:2">
      <c r="B481" s="120"/>
    </row>
    <row r="482" spans="2:2">
      <c r="B482" s="120"/>
    </row>
    <row r="483" spans="2:2">
      <c r="B483" s="120"/>
    </row>
    <row r="484" spans="2:2">
      <c r="B484" s="120"/>
    </row>
    <row r="485" spans="2:2">
      <c r="B485" s="120"/>
    </row>
    <row r="486" spans="2:2">
      <c r="B486" s="120"/>
    </row>
    <row r="487" spans="2:2">
      <c r="B487" s="120"/>
    </row>
    <row r="488" spans="2:2">
      <c r="B488" s="120"/>
    </row>
    <row r="489" spans="2:2">
      <c r="B489" s="120"/>
    </row>
    <row r="490" spans="2:2">
      <c r="B490" s="120"/>
    </row>
    <row r="491" spans="2:2">
      <c r="B491" s="120"/>
    </row>
    <row r="492" spans="2:2">
      <c r="B492" s="120"/>
    </row>
    <row r="493" spans="2:2">
      <c r="B493" s="120"/>
    </row>
    <row r="494" spans="2:2">
      <c r="B494" s="120"/>
    </row>
    <row r="495" spans="2:2">
      <c r="B495" s="120"/>
    </row>
    <row r="496" spans="2:2">
      <c r="B496" s="120"/>
    </row>
    <row r="497" spans="2:2">
      <c r="B497" s="120"/>
    </row>
    <row r="498" spans="2:2">
      <c r="B498" s="120"/>
    </row>
    <row r="499" spans="2:2">
      <c r="B499" s="120"/>
    </row>
    <row r="500" spans="2:2">
      <c r="B500" s="120"/>
    </row>
    <row r="501" spans="2:2">
      <c r="B501" s="120"/>
    </row>
    <row r="502" spans="2:2">
      <c r="B502" s="120"/>
    </row>
    <row r="503" spans="2:2">
      <c r="B503" s="120"/>
    </row>
    <row r="504" spans="2:2">
      <c r="B504" s="120"/>
    </row>
    <row r="505" spans="2:2">
      <c r="B505" s="120"/>
    </row>
    <row r="506" spans="2:2">
      <c r="B506" s="120"/>
    </row>
    <row r="507" spans="2:2">
      <c r="B507" s="120"/>
    </row>
    <row r="508" spans="2:2">
      <c r="B508" s="120"/>
    </row>
    <row r="509" spans="2:2">
      <c r="B509" s="120"/>
    </row>
    <row r="510" spans="2:2">
      <c r="B510" s="120"/>
    </row>
    <row r="511" spans="2:2">
      <c r="B511" s="120"/>
    </row>
    <row r="512" spans="2:2">
      <c r="B512" s="120"/>
    </row>
    <row r="513" spans="2:2">
      <c r="B513" s="120"/>
    </row>
    <row r="514" spans="2:2">
      <c r="B514" s="120"/>
    </row>
    <row r="515" spans="2:2">
      <c r="B515" s="120"/>
    </row>
    <row r="516" spans="2:2">
      <c r="B516" s="120"/>
    </row>
    <row r="517" spans="2:2">
      <c r="B517" s="120"/>
    </row>
    <row r="518" spans="2:2">
      <c r="B518" s="120"/>
    </row>
    <row r="519" spans="2:2">
      <c r="B519" s="120"/>
    </row>
    <row r="520" spans="2:2">
      <c r="B520" s="120"/>
    </row>
    <row r="521" spans="2:2">
      <c r="B521" s="120"/>
    </row>
    <row r="522" spans="2:2">
      <c r="B522" s="120"/>
    </row>
    <row r="523" spans="2:2">
      <c r="B523" s="120"/>
    </row>
    <row r="524" spans="2:2">
      <c r="B524" s="120"/>
    </row>
    <row r="525" spans="2:2">
      <c r="B525" s="120"/>
    </row>
    <row r="526" spans="2:2">
      <c r="B526" s="120"/>
    </row>
    <row r="527" spans="2:2">
      <c r="B527" s="120"/>
    </row>
    <row r="528" spans="2:2">
      <c r="B528" s="120"/>
    </row>
    <row r="529" spans="2:2">
      <c r="B529" s="120"/>
    </row>
    <row r="530" spans="2:2">
      <c r="B530" s="120"/>
    </row>
    <row r="531" spans="2:2">
      <c r="B531" s="120"/>
    </row>
    <row r="532" spans="2:2">
      <c r="B532" s="120"/>
    </row>
    <row r="533" spans="2:2">
      <c r="B533" s="120"/>
    </row>
    <row r="534" spans="2:2">
      <c r="B534" s="120"/>
    </row>
    <row r="535" spans="2:2">
      <c r="B535" s="120"/>
    </row>
    <row r="536" spans="2:2">
      <c r="B536" s="120"/>
    </row>
    <row r="537" spans="2:2">
      <c r="B537" s="120"/>
    </row>
    <row r="538" spans="2:2">
      <c r="B538" s="120"/>
    </row>
    <row r="539" spans="2:2">
      <c r="B539" s="120"/>
    </row>
    <row r="540" spans="2:2">
      <c r="B540" s="120"/>
    </row>
    <row r="541" spans="2:2">
      <c r="B541" s="120"/>
    </row>
    <row r="542" spans="2:2">
      <c r="B542" s="120"/>
    </row>
    <row r="543" spans="2:2">
      <c r="B543" s="120"/>
    </row>
    <row r="544" spans="2:2">
      <c r="B544" s="120"/>
    </row>
    <row r="545" spans="2:2">
      <c r="B545" s="120"/>
    </row>
    <row r="546" spans="2:2">
      <c r="B546" s="120"/>
    </row>
    <row r="547" spans="2:2">
      <c r="B547" s="120"/>
    </row>
    <row r="548" spans="2:2">
      <c r="B548" s="120"/>
    </row>
    <row r="549" spans="2:2">
      <c r="B549" s="120"/>
    </row>
    <row r="550" spans="2:2">
      <c r="B550" s="120"/>
    </row>
    <row r="551" spans="2:2">
      <c r="B551" s="120"/>
    </row>
    <row r="552" spans="2:2">
      <c r="B552" s="120"/>
    </row>
    <row r="553" spans="2:2">
      <c r="B553" s="120"/>
    </row>
    <row r="554" spans="2:2">
      <c r="B554" s="120"/>
    </row>
    <row r="555" spans="2:2">
      <c r="B555" s="120"/>
    </row>
    <row r="556" spans="2:2">
      <c r="B556" s="120"/>
    </row>
    <row r="557" spans="2:2">
      <c r="B557" s="120"/>
    </row>
    <row r="558" spans="2:2">
      <c r="B558" s="120"/>
    </row>
    <row r="559" spans="2:2">
      <c r="B559" s="120"/>
    </row>
    <row r="560" spans="2:2">
      <c r="B560" s="120"/>
    </row>
    <row r="561" spans="2:2">
      <c r="B561" s="120"/>
    </row>
    <row r="562" spans="2:2">
      <c r="B562" s="120"/>
    </row>
    <row r="563" spans="2:2">
      <c r="B563" s="120"/>
    </row>
    <row r="564" spans="2:2">
      <c r="B564" s="120"/>
    </row>
    <row r="565" spans="2:2">
      <c r="B565" s="120"/>
    </row>
    <row r="566" spans="2:2">
      <c r="B566" s="120"/>
    </row>
    <row r="567" spans="2:2">
      <c r="B567" s="120"/>
    </row>
    <row r="568" spans="2:2">
      <c r="B568" s="120"/>
    </row>
    <row r="569" spans="2:2">
      <c r="B569" s="120"/>
    </row>
    <row r="570" spans="2:2">
      <c r="B570" s="120"/>
    </row>
    <row r="571" spans="2:2">
      <c r="B571" s="120"/>
    </row>
    <row r="572" spans="2:2">
      <c r="B572" s="120"/>
    </row>
    <row r="573" spans="2:2">
      <c r="B573" s="120"/>
    </row>
    <row r="574" spans="2:2">
      <c r="B574" s="120"/>
    </row>
    <row r="575" spans="2:2">
      <c r="B575" s="120"/>
    </row>
    <row r="576" spans="2:2">
      <c r="B576" s="120"/>
    </row>
    <row r="577" spans="2:2">
      <c r="B577" s="120"/>
    </row>
    <row r="578" spans="2:2">
      <c r="B578" s="120"/>
    </row>
    <row r="579" spans="2:2">
      <c r="B579" s="120"/>
    </row>
    <row r="580" spans="2:2">
      <c r="B580" s="120"/>
    </row>
    <row r="581" spans="2:2">
      <c r="B581" s="120"/>
    </row>
    <row r="582" spans="2:2">
      <c r="B582" s="120"/>
    </row>
    <row r="583" spans="2:2">
      <c r="B583" s="120"/>
    </row>
    <row r="584" spans="2:2">
      <c r="B584" s="120"/>
    </row>
    <row r="585" spans="2:2">
      <c r="B585" s="120"/>
    </row>
    <row r="586" spans="2:2">
      <c r="B586" s="120"/>
    </row>
    <row r="587" spans="2:2">
      <c r="B587" s="120"/>
    </row>
    <row r="588" spans="2:2">
      <c r="B588" s="120"/>
    </row>
    <row r="589" spans="2:2">
      <c r="B589" s="120"/>
    </row>
    <row r="590" spans="2:2">
      <c r="B590" s="120"/>
    </row>
    <row r="591" spans="2:2">
      <c r="B591" s="120"/>
    </row>
    <row r="592" spans="2:2">
      <c r="B592" s="120"/>
    </row>
    <row r="593" spans="2:2">
      <c r="B593" s="120"/>
    </row>
    <row r="594" spans="2:2">
      <c r="B594" s="120"/>
    </row>
    <row r="595" spans="2:2">
      <c r="B595" s="120"/>
    </row>
    <row r="596" spans="2:2">
      <c r="B596" s="120"/>
    </row>
    <row r="597" spans="2:2">
      <c r="B597" s="120"/>
    </row>
    <row r="598" spans="2:2">
      <c r="B598" s="120"/>
    </row>
    <row r="599" spans="2:2">
      <c r="B599" s="120"/>
    </row>
    <row r="600" spans="2:2">
      <c r="B600" s="120"/>
    </row>
    <row r="601" spans="2:2">
      <c r="B601" s="120"/>
    </row>
    <row r="602" spans="2:2">
      <c r="B602" s="120"/>
    </row>
    <row r="603" spans="2:2">
      <c r="B603" s="120"/>
    </row>
    <row r="604" spans="2:2">
      <c r="B604" s="120"/>
    </row>
    <row r="605" spans="2:2">
      <c r="B605" s="120"/>
    </row>
    <row r="606" spans="2:2">
      <c r="B606" s="120"/>
    </row>
    <row r="607" spans="2:2">
      <c r="B607" s="120"/>
    </row>
    <row r="608" spans="2:2">
      <c r="B608" s="120"/>
    </row>
    <row r="609" spans="2:2">
      <c r="B609" s="120"/>
    </row>
    <row r="610" spans="2:2">
      <c r="B610" s="120"/>
    </row>
    <row r="611" spans="2:2">
      <c r="B611" s="120"/>
    </row>
    <row r="612" spans="2:2">
      <c r="B612" s="120"/>
    </row>
    <row r="613" spans="2:2">
      <c r="B613" s="120"/>
    </row>
    <row r="614" spans="2:2">
      <c r="B614" s="120"/>
    </row>
    <row r="615" spans="2:2">
      <c r="B615" s="120"/>
    </row>
    <row r="616" spans="2:2">
      <c r="B616" s="120"/>
    </row>
    <row r="617" spans="2:2">
      <c r="B617" s="120"/>
    </row>
    <row r="618" spans="2:2">
      <c r="B618" s="120"/>
    </row>
    <row r="619" spans="2:2">
      <c r="B619" s="120"/>
    </row>
    <row r="620" spans="2:2">
      <c r="B620" s="120"/>
    </row>
    <row r="621" spans="2:2">
      <c r="B621" s="120"/>
    </row>
    <row r="622" spans="2:2">
      <c r="B622" s="120"/>
    </row>
    <row r="623" spans="2:2">
      <c r="B623" s="120"/>
    </row>
    <row r="624" spans="2:2">
      <c r="B624" s="120"/>
    </row>
    <row r="625" spans="2:2">
      <c r="B625" s="120"/>
    </row>
    <row r="626" spans="2:2">
      <c r="B626" s="120"/>
    </row>
    <row r="627" spans="2:2">
      <c r="B627" s="120"/>
    </row>
    <row r="628" spans="2:2">
      <c r="B628" s="120"/>
    </row>
    <row r="629" spans="2:2">
      <c r="B629" s="120"/>
    </row>
    <row r="630" spans="2:2">
      <c r="B630" s="120"/>
    </row>
    <row r="631" spans="2:2">
      <c r="B631" s="120"/>
    </row>
    <row r="632" spans="2:2">
      <c r="B632" s="120"/>
    </row>
    <row r="633" spans="2:2">
      <c r="B633" s="120"/>
    </row>
    <row r="634" spans="2:2">
      <c r="B634" s="120"/>
    </row>
    <row r="635" spans="2:2">
      <c r="B635" s="120"/>
    </row>
    <row r="636" spans="2:2">
      <c r="B636" s="120"/>
    </row>
    <row r="637" spans="2:2">
      <c r="B637" s="120"/>
    </row>
    <row r="638" spans="2:2">
      <c r="B638" s="120"/>
    </row>
    <row r="639" spans="2:2">
      <c r="B639" s="120"/>
    </row>
    <row r="640" spans="2:2">
      <c r="B640" s="120"/>
    </row>
    <row r="641" spans="2:2">
      <c r="B641" s="120"/>
    </row>
    <row r="642" spans="2:2">
      <c r="B642" s="120"/>
    </row>
    <row r="643" spans="2:2">
      <c r="B643" s="120"/>
    </row>
    <row r="644" spans="2:2">
      <c r="B644" s="120"/>
    </row>
    <row r="645" spans="2:2">
      <c r="B645" s="120"/>
    </row>
    <row r="646" spans="2:2">
      <c r="B646" s="120"/>
    </row>
    <row r="647" spans="2:2">
      <c r="B647" s="120"/>
    </row>
    <row r="648" spans="2:2">
      <c r="B648" s="120"/>
    </row>
    <row r="649" spans="2:2">
      <c r="B649" s="120"/>
    </row>
    <row r="650" spans="2:2">
      <c r="B650" s="120"/>
    </row>
    <row r="651" spans="2:2">
      <c r="B651" s="120"/>
    </row>
    <row r="652" spans="2:2">
      <c r="B652" s="120"/>
    </row>
    <row r="653" spans="2:2">
      <c r="B653" s="120"/>
    </row>
    <row r="654" spans="2:2">
      <c r="B654" s="120"/>
    </row>
    <row r="655" spans="2:2">
      <c r="B655" s="120"/>
    </row>
    <row r="656" spans="2:2">
      <c r="B656" s="120"/>
    </row>
    <row r="657" spans="2:2">
      <c r="B657" s="120"/>
    </row>
    <row r="658" spans="2:2">
      <c r="B658" s="120"/>
    </row>
    <row r="659" spans="2:2">
      <c r="B659" s="120"/>
    </row>
    <row r="660" spans="2:2">
      <c r="B660" s="120"/>
    </row>
    <row r="661" spans="2:2">
      <c r="B661" s="120"/>
    </row>
    <row r="662" spans="2:2">
      <c r="B662" s="120"/>
    </row>
    <row r="663" spans="2:2">
      <c r="B663" s="120"/>
    </row>
    <row r="664" spans="2:2">
      <c r="B664" s="120"/>
    </row>
    <row r="665" spans="2:2">
      <c r="B665" s="120"/>
    </row>
    <row r="666" spans="2:2">
      <c r="B666" s="120"/>
    </row>
    <row r="667" spans="2:2">
      <c r="B667" s="120"/>
    </row>
    <row r="668" spans="2:2">
      <c r="B668" s="120"/>
    </row>
    <row r="669" spans="2:2">
      <c r="B669" s="120"/>
    </row>
    <row r="670" spans="2:2">
      <c r="B670" s="120"/>
    </row>
    <row r="671" spans="2:2">
      <c r="B671" s="120"/>
    </row>
    <row r="672" spans="2:2">
      <c r="B672" s="120"/>
    </row>
    <row r="673" spans="2:2">
      <c r="B673" s="120"/>
    </row>
    <row r="674" spans="2:2">
      <c r="B674" s="120"/>
    </row>
    <row r="675" spans="2:2">
      <c r="B675" s="120"/>
    </row>
    <row r="676" spans="2:2">
      <c r="B676" s="120"/>
    </row>
    <row r="677" spans="2:2">
      <c r="B677" s="120"/>
    </row>
    <row r="678" spans="2:2">
      <c r="B678" s="120"/>
    </row>
    <row r="679" spans="2:2">
      <c r="B679" s="120"/>
    </row>
    <row r="680" spans="2:2">
      <c r="B680" s="120"/>
    </row>
    <row r="681" spans="2:2">
      <c r="B681" s="120"/>
    </row>
    <row r="682" spans="2:2">
      <c r="B682" s="120"/>
    </row>
    <row r="683" spans="2:2">
      <c r="B683" s="120"/>
    </row>
    <row r="684" spans="2:2">
      <c r="B684" s="120"/>
    </row>
    <row r="685" spans="2:2">
      <c r="B685" s="120"/>
    </row>
    <row r="686" spans="2:2">
      <c r="B686" s="120"/>
    </row>
    <row r="687" spans="2:2">
      <c r="B687" s="120"/>
    </row>
    <row r="688" spans="2:2">
      <c r="B688" s="120"/>
    </row>
    <row r="689" spans="2:2">
      <c r="B689" s="120"/>
    </row>
    <row r="690" spans="2:2">
      <c r="B690" s="120"/>
    </row>
    <row r="691" spans="2:2">
      <c r="B691" s="120"/>
    </row>
    <row r="692" spans="2:2">
      <c r="B692" s="120"/>
    </row>
    <row r="693" spans="2:2">
      <c r="B693" s="120"/>
    </row>
    <row r="694" spans="2:2">
      <c r="B694" s="120"/>
    </row>
    <row r="695" spans="2:2">
      <c r="B695" s="120"/>
    </row>
    <row r="696" spans="2:2">
      <c r="B696" s="120"/>
    </row>
    <row r="697" spans="2:2">
      <c r="B697" s="120"/>
    </row>
    <row r="698" spans="2:2">
      <c r="B698" s="120"/>
    </row>
    <row r="699" spans="2:2">
      <c r="B699" s="120"/>
    </row>
    <row r="700" spans="2:2">
      <c r="B700" s="120"/>
    </row>
    <row r="701" spans="2:2">
      <c r="B701" s="120"/>
    </row>
    <row r="702" spans="2:2">
      <c r="B702" s="120"/>
    </row>
    <row r="703" spans="2:2">
      <c r="B703" s="120"/>
    </row>
    <row r="704" spans="2:2">
      <c r="B704" s="120"/>
    </row>
    <row r="705" spans="2:2">
      <c r="B705" s="120"/>
    </row>
    <row r="706" spans="2:2">
      <c r="B706" s="120"/>
    </row>
    <row r="707" spans="2:2">
      <c r="B707" s="120"/>
    </row>
    <row r="708" spans="2:2">
      <c r="B708" s="120"/>
    </row>
    <row r="709" spans="2:2">
      <c r="B709" s="120"/>
    </row>
    <row r="710" spans="2:2">
      <c r="B710" s="120"/>
    </row>
    <row r="711" spans="2:2">
      <c r="B711" s="120"/>
    </row>
    <row r="712" spans="2:2">
      <c r="B712" s="120"/>
    </row>
    <row r="713" spans="2:2">
      <c r="B713" s="120"/>
    </row>
    <row r="714" spans="2:2">
      <c r="B714" s="120"/>
    </row>
    <row r="715" spans="2:2">
      <c r="B715" s="120"/>
    </row>
    <row r="716" spans="2:2">
      <c r="B716" s="120"/>
    </row>
    <row r="717" spans="2:2">
      <c r="B717" s="120"/>
    </row>
    <row r="718" spans="2:2">
      <c r="B718" s="120"/>
    </row>
    <row r="719" spans="2:2">
      <c r="B719" s="120"/>
    </row>
    <row r="720" spans="2:2">
      <c r="B720" s="120"/>
    </row>
    <row r="721" spans="2:2">
      <c r="B721" s="120"/>
    </row>
    <row r="722" spans="2:2">
      <c r="B722" s="120"/>
    </row>
    <row r="723" spans="2:2">
      <c r="B723" s="120"/>
    </row>
    <row r="724" spans="2:2">
      <c r="B724" s="120"/>
    </row>
    <row r="725" spans="2:2">
      <c r="B725" s="120"/>
    </row>
    <row r="726" spans="2:2">
      <c r="B726" s="120"/>
    </row>
    <row r="727" spans="2:2">
      <c r="B727" s="120"/>
    </row>
    <row r="728" spans="2:2">
      <c r="B728" s="120"/>
    </row>
    <row r="729" spans="2:2">
      <c r="B729" s="120"/>
    </row>
    <row r="730" spans="2:2">
      <c r="B730" s="120"/>
    </row>
    <row r="731" spans="2:2">
      <c r="B731" s="120"/>
    </row>
    <row r="732" spans="2:2">
      <c r="B732" s="120"/>
    </row>
    <row r="733" spans="2:2">
      <c r="B733" s="120"/>
    </row>
    <row r="734" spans="2:2">
      <c r="B734" s="120"/>
    </row>
    <row r="735" spans="2:2">
      <c r="B735" s="120"/>
    </row>
    <row r="736" spans="2:2">
      <c r="B736" s="120"/>
    </row>
    <row r="737" spans="2:2">
      <c r="B737" s="120"/>
    </row>
    <row r="738" spans="2:2">
      <c r="B738" s="120"/>
    </row>
    <row r="739" spans="2:2">
      <c r="B739" s="120"/>
    </row>
    <row r="740" spans="2:2">
      <c r="B740" s="120"/>
    </row>
    <row r="741" spans="2:2">
      <c r="B741" s="120"/>
    </row>
    <row r="742" spans="2:2">
      <c r="B742" s="120"/>
    </row>
    <row r="743" spans="2:2">
      <c r="B743" s="120"/>
    </row>
    <row r="744" spans="2:2">
      <c r="B744" s="120"/>
    </row>
    <row r="745" spans="2:2">
      <c r="B745" s="120"/>
    </row>
    <row r="746" spans="2:2">
      <c r="B746" s="120"/>
    </row>
    <row r="747" spans="2:2">
      <c r="B747" s="120"/>
    </row>
    <row r="748" spans="2:2">
      <c r="B748" s="120"/>
    </row>
    <row r="749" spans="2:2">
      <c r="B749" s="120"/>
    </row>
    <row r="750" spans="2:2">
      <c r="B750" s="120"/>
    </row>
    <row r="751" spans="2:2">
      <c r="B751" s="120"/>
    </row>
    <row r="752" spans="2:2">
      <c r="B752" s="120"/>
    </row>
    <row r="753" spans="2:2">
      <c r="B753" s="120"/>
    </row>
    <row r="754" spans="2:2">
      <c r="B754" s="120"/>
    </row>
    <row r="755" spans="2:2">
      <c r="B755" s="120"/>
    </row>
    <row r="756" spans="2:2">
      <c r="B756" s="120"/>
    </row>
    <row r="757" spans="2:2">
      <c r="B757" s="120"/>
    </row>
    <row r="758" spans="2:2">
      <c r="B758" s="120"/>
    </row>
    <row r="759" spans="2:2">
      <c r="B759" s="120"/>
    </row>
    <row r="760" spans="2:2">
      <c r="B760" s="120"/>
    </row>
    <row r="761" spans="2:2">
      <c r="B761" s="120"/>
    </row>
    <row r="762" spans="2:2">
      <c r="B762" s="120"/>
    </row>
    <row r="763" spans="2:2">
      <c r="B763" s="120"/>
    </row>
    <row r="764" spans="2:2">
      <c r="B764" s="120"/>
    </row>
    <row r="765" spans="2:2">
      <c r="B765" s="120"/>
    </row>
    <row r="766" spans="2:2">
      <c r="B766" s="120"/>
    </row>
    <row r="767" spans="2:2">
      <c r="B767" s="120"/>
    </row>
    <row r="768" spans="2:2">
      <c r="B768" s="120"/>
    </row>
    <row r="769" spans="2:2">
      <c r="B769" s="120"/>
    </row>
    <row r="770" spans="2:2">
      <c r="B770" s="120"/>
    </row>
    <row r="771" spans="2:2">
      <c r="B771" s="120"/>
    </row>
    <row r="772" spans="2:2">
      <c r="B772" s="120"/>
    </row>
    <row r="773" spans="2:2">
      <c r="B773" s="120"/>
    </row>
    <row r="774" spans="2:2">
      <c r="B774" s="120"/>
    </row>
    <row r="775" spans="2:2">
      <c r="B775" s="120"/>
    </row>
    <row r="776" spans="2:2">
      <c r="B776" s="120"/>
    </row>
    <row r="777" spans="2:2">
      <c r="B777" s="120"/>
    </row>
    <row r="778" spans="2:2">
      <c r="B778" s="120"/>
    </row>
    <row r="779" spans="2:2">
      <c r="B779" s="120"/>
    </row>
    <row r="780" spans="2:2">
      <c r="B780" s="120"/>
    </row>
    <row r="781" spans="2:2">
      <c r="B781" s="120"/>
    </row>
    <row r="782" spans="2:2">
      <c r="B782" s="120"/>
    </row>
    <row r="783" spans="2:2">
      <c r="B783" s="120"/>
    </row>
    <row r="784" spans="2:2">
      <c r="B784" s="120"/>
    </row>
    <row r="785" spans="2:2">
      <c r="B785" s="120"/>
    </row>
    <row r="786" spans="2:2">
      <c r="B786" s="120"/>
    </row>
    <row r="787" spans="2:2">
      <c r="B787" s="120"/>
    </row>
    <row r="788" spans="2:2">
      <c r="B788" s="120"/>
    </row>
    <row r="789" spans="2:2">
      <c r="B789" s="120"/>
    </row>
    <row r="790" spans="2:2">
      <c r="B790" s="120"/>
    </row>
    <row r="791" spans="2:2">
      <c r="B791" s="120"/>
    </row>
    <row r="792" spans="2:2">
      <c r="B792" s="120"/>
    </row>
    <row r="793" spans="2:2">
      <c r="B793" s="120"/>
    </row>
    <row r="794" spans="2:2">
      <c r="B794" s="120"/>
    </row>
    <row r="795" spans="2:2">
      <c r="B795" s="120"/>
    </row>
    <row r="796" spans="2:2">
      <c r="B796" s="120"/>
    </row>
    <row r="797" spans="2:2">
      <c r="B797" s="120"/>
    </row>
    <row r="798" spans="2:2">
      <c r="B798" s="120"/>
    </row>
    <row r="799" spans="2:2">
      <c r="B799" s="120"/>
    </row>
    <row r="800" spans="2:2">
      <c r="B800" s="120"/>
    </row>
    <row r="801" spans="2:2">
      <c r="B801" s="120"/>
    </row>
    <row r="802" spans="2:2">
      <c r="B802" s="120"/>
    </row>
    <row r="803" spans="2:2">
      <c r="B803" s="120"/>
    </row>
    <row r="804" spans="2:2">
      <c r="B804" s="120"/>
    </row>
    <row r="805" spans="2:2">
      <c r="B805" s="120"/>
    </row>
    <row r="806" spans="2:2">
      <c r="B806" s="120"/>
    </row>
    <row r="807" spans="2:2">
      <c r="B807" s="120"/>
    </row>
    <row r="808" spans="2:2">
      <c r="B808" s="120"/>
    </row>
    <row r="809" spans="2:2">
      <c r="B809" s="120"/>
    </row>
    <row r="810" spans="2:2">
      <c r="B810" s="120"/>
    </row>
    <row r="811" spans="2:2">
      <c r="B811" s="120"/>
    </row>
    <row r="812" spans="2:2">
      <c r="B812" s="120"/>
    </row>
    <row r="813" spans="2:2">
      <c r="B813" s="120"/>
    </row>
    <row r="814" spans="2:2">
      <c r="B814" s="120"/>
    </row>
    <row r="815" spans="2:2">
      <c r="B815" s="120"/>
    </row>
    <row r="816" spans="2:2">
      <c r="B816" s="120"/>
    </row>
    <row r="817" spans="2:2">
      <c r="B817" s="120"/>
    </row>
    <row r="818" spans="2:2">
      <c r="B818" s="120"/>
    </row>
    <row r="819" spans="2:2">
      <c r="B819" s="120"/>
    </row>
    <row r="820" spans="2:2">
      <c r="B820" s="120"/>
    </row>
    <row r="821" spans="2:2">
      <c r="B821" s="120"/>
    </row>
    <row r="822" spans="2:2">
      <c r="B822" s="120"/>
    </row>
    <row r="823" spans="2:2">
      <c r="B823" s="120"/>
    </row>
    <row r="824" spans="2:2">
      <c r="B824" s="120"/>
    </row>
    <row r="825" spans="2:2">
      <c r="B825" s="120"/>
    </row>
    <row r="826" spans="2:2">
      <c r="B826" s="120"/>
    </row>
    <row r="827" spans="2:2">
      <c r="B827" s="120"/>
    </row>
    <row r="828" spans="2:2">
      <c r="B828" s="120"/>
    </row>
    <row r="829" spans="2:2">
      <c r="B829" s="120"/>
    </row>
    <row r="830" spans="2:2">
      <c r="B830" s="120"/>
    </row>
    <row r="831" spans="2:2">
      <c r="B831" s="120"/>
    </row>
    <row r="832" spans="2:2">
      <c r="B832" s="120"/>
    </row>
    <row r="833" spans="2:2">
      <c r="B833" s="120"/>
    </row>
    <row r="834" spans="2:2">
      <c r="B834" s="120"/>
    </row>
    <row r="835" spans="2:2">
      <c r="B835" s="120"/>
    </row>
    <row r="836" spans="2:2">
      <c r="B836" s="120"/>
    </row>
    <row r="837" spans="2:2">
      <c r="B837" s="120"/>
    </row>
    <row r="838" spans="2:2">
      <c r="B838" s="120"/>
    </row>
    <row r="839" spans="2:2">
      <c r="B839" s="120"/>
    </row>
    <row r="840" spans="2:2">
      <c r="B840" s="120"/>
    </row>
    <row r="841" spans="2:2">
      <c r="B841" s="120"/>
    </row>
    <row r="842" spans="2:2">
      <c r="B842" s="120"/>
    </row>
    <row r="843" spans="2:2">
      <c r="B843" s="120"/>
    </row>
    <row r="844" spans="2:2">
      <c r="B844" s="120"/>
    </row>
    <row r="845" spans="2:2">
      <c r="B845" s="120"/>
    </row>
    <row r="846" spans="2:2">
      <c r="B846" s="120"/>
    </row>
    <row r="847" spans="2:2">
      <c r="B847" s="120"/>
    </row>
    <row r="848" spans="2:2">
      <c r="B848" s="120"/>
    </row>
    <row r="849" spans="2:2">
      <c r="B849" s="120"/>
    </row>
    <row r="850" spans="2:2">
      <c r="B850" s="120"/>
    </row>
    <row r="851" spans="2:2">
      <c r="B851" s="120"/>
    </row>
    <row r="852" spans="2:2">
      <c r="B852" s="120"/>
    </row>
    <row r="853" spans="2:2">
      <c r="B853" s="120"/>
    </row>
    <row r="854" spans="2:2">
      <c r="B854" s="120"/>
    </row>
    <row r="855" spans="2:2">
      <c r="B855" s="120"/>
    </row>
    <row r="856" spans="2:2">
      <c r="B856" s="120"/>
    </row>
    <row r="857" spans="2:2">
      <c r="B857" s="120"/>
    </row>
    <row r="858" spans="2:2">
      <c r="B858" s="120"/>
    </row>
    <row r="859" spans="2:2">
      <c r="B859" s="120"/>
    </row>
    <row r="860" spans="2:2">
      <c r="B860" s="120"/>
    </row>
    <row r="861" spans="2:2">
      <c r="B861" s="120"/>
    </row>
    <row r="862" spans="2:2">
      <c r="B862" s="120"/>
    </row>
    <row r="863" spans="2:2">
      <c r="B863" s="120"/>
    </row>
    <row r="864" spans="2:2">
      <c r="B864" s="120"/>
    </row>
    <row r="865" spans="2:2">
      <c r="B865" s="120"/>
    </row>
    <row r="866" spans="2:2">
      <c r="B866" s="120"/>
    </row>
    <row r="867" spans="2:2">
      <c r="B867" s="120"/>
    </row>
    <row r="868" spans="2:2">
      <c r="B868" s="120"/>
    </row>
    <row r="869" spans="2:2">
      <c r="B869" s="120"/>
    </row>
    <row r="870" spans="2:2">
      <c r="B870" s="120"/>
    </row>
    <row r="871" spans="2:2">
      <c r="B871" s="120"/>
    </row>
    <row r="872" spans="2:2">
      <c r="B872" s="120"/>
    </row>
    <row r="873" spans="2:2">
      <c r="B873" s="120"/>
    </row>
    <row r="874" spans="2:2">
      <c r="B874" s="120"/>
    </row>
    <row r="875" spans="2:2">
      <c r="B875" s="120"/>
    </row>
    <row r="876" spans="2:2">
      <c r="B876" s="120"/>
    </row>
    <row r="877" spans="2:2">
      <c r="B877" s="120"/>
    </row>
    <row r="878" spans="2:2">
      <c r="B878" s="120"/>
    </row>
    <row r="879" spans="2:2">
      <c r="B879" s="120"/>
    </row>
    <row r="880" spans="2:2">
      <c r="B880" s="120"/>
    </row>
    <row r="881" spans="2:2">
      <c r="B881" s="120"/>
    </row>
    <row r="882" spans="2:2">
      <c r="B882" s="120"/>
    </row>
    <row r="883" spans="2:2">
      <c r="B883" s="120"/>
    </row>
    <row r="884" spans="2:2">
      <c r="B884" s="120"/>
    </row>
    <row r="885" spans="2:2">
      <c r="B885" s="120"/>
    </row>
    <row r="886" spans="2:2">
      <c r="B886" s="120"/>
    </row>
    <row r="887" spans="2:2">
      <c r="B887" s="120"/>
    </row>
    <row r="888" spans="2:2">
      <c r="B888" s="120"/>
    </row>
    <row r="889" spans="2:2">
      <c r="B889" s="120"/>
    </row>
    <row r="890" spans="2:2">
      <c r="B890" s="120"/>
    </row>
    <row r="891" spans="2:2">
      <c r="B891" s="120"/>
    </row>
    <row r="892" spans="2:2">
      <c r="B892" s="120"/>
    </row>
    <row r="893" spans="2:2">
      <c r="B893" s="120"/>
    </row>
    <row r="894" spans="2:2">
      <c r="B894" s="120"/>
    </row>
    <row r="895" spans="2:2">
      <c r="B895" s="120"/>
    </row>
    <row r="896" spans="2:2">
      <c r="B896" s="120"/>
    </row>
    <row r="897" spans="2:2">
      <c r="B897" s="120"/>
    </row>
    <row r="898" spans="2:2">
      <c r="B898" s="120"/>
    </row>
    <row r="899" spans="2:2">
      <c r="B899" s="120"/>
    </row>
    <row r="900" spans="2:2">
      <c r="B900" s="120"/>
    </row>
    <row r="901" spans="2:2">
      <c r="B901" s="120"/>
    </row>
    <row r="902" spans="2:2">
      <c r="B902" s="120"/>
    </row>
    <row r="903" spans="2:2">
      <c r="B903" s="120"/>
    </row>
    <row r="904" spans="2:2">
      <c r="B904" s="120"/>
    </row>
    <row r="905" spans="2:2">
      <c r="B905" s="120"/>
    </row>
    <row r="906" spans="2:2">
      <c r="B906" s="120"/>
    </row>
    <row r="907" spans="2:2">
      <c r="B907" s="120"/>
    </row>
    <row r="908" spans="2:2">
      <c r="B908" s="120"/>
    </row>
    <row r="909" spans="2:2">
      <c r="B909" s="120"/>
    </row>
    <row r="910" spans="2:2">
      <c r="B910" s="120"/>
    </row>
    <row r="911" spans="2:2">
      <c r="B911" s="120"/>
    </row>
    <row r="912" spans="2:2">
      <c r="B912" s="120"/>
    </row>
    <row r="913" spans="2:2">
      <c r="B913" s="120"/>
    </row>
    <row r="914" spans="2:2">
      <c r="B914" s="120"/>
    </row>
    <row r="915" spans="2:2">
      <c r="B915" s="120"/>
    </row>
    <row r="916" spans="2:2">
      <c r="B916" s="120"/>
    </row>
    <row r="917" spans="2:2">
      <c r="B917" s="120"/>
    </row>
    <row r="918" spans="2:2">
      <c r="B918" s="120"/>
    </row>
    <row r="919" spans="2:2">
      <c r="B919" s="120"/>
    </row>
    <row r="920" spans="2:2">
      <c r="B920" s="120"/>
    </row>
    <row r="921" spans="2:2">
      <c r="B921" s="120"/>
    </row>
    <row r="922" spans="2:2">
      <c r="B922" s="120"/>
    </row>
    <row r="923" spans="2:2">
      <c r="B923" s="120"/>
    </row>
    <row r="924" spans="2:2">
      <c r="B924" s="120"/>
    </row>
    <row r="925" spans="2:2">
      <c r="B925" s="120"/>
    </row>
    <row r="926" spans="2:2">
      <c r="B926" s="120"/>
    </row>
    <row r="927" spans="2:2">
      <c r="B927" s="120"/>
    </row>
    <row r="928" spans="2:2">
      <c r="B928" s="120"/>
    </row>
    <row r="929" spans="2:2">
      <c r="B929" s="120"/>
    </row>
    <row r="930" spans="2:2">
      <c r="B930" s="120"/>
    </row>
    <row r="931" spans="2:2">
      <c r="B931" s="120"/>
    </row>
    <row r="932" spans="2:2">
      <c r="B932" s="120"/>
    </row>
    <row r="933" spans="2:2">
      <c r="B933" s="120"/>
    </row>
    <row r="934" spans="2:2">
      <c r="B934" s="120"/>
    </row>
    <row r="935" spans="2:2">
      <c r="B935" s="120"/>
    </row>
    <row r="936" spans="2:2">
      <c r="B936" s="120"/>
    </row>
    <row r="937" spans="2:2">
      <c r="B937" s="120"/>
    </row>
    <row r="938" spans="2:2">
      <c r="B938" s="120"/>
    </row>
    <row r="939" spans="2:2">
      <c r="B939" s="120"/>
    </row>
    <row r="940" spans="2:2">
      <c r="B940" s="120"/>
    </row>
    <row r="941" spans="2:2">
      <c r="B941" s="120"/>
    </row>
    <row r="942" spans="2:2">
      <c r="B942" s="120"/>
    </row>
    <row r="943" spans="2:2">
      <c r="B943" s="120"/>
    </row>
    <row r="944" spans="2:2">
      <c r="B944" s="120"/>
    </row>
    <row r="945" spans="2:2">
      <c r="B945" s="120"/>
    </row>
    <row r="946" spans="2:2">
      <c r="B946" s="120"/>
    </row>
    <row r="947" spans="2:2">
      <c r="B947" s="120"/>
    </row>
    <row r="948" spans="2:2">
      <c r="B948" s="120"/>
    </row>
    <row r="949" spans="2:2">
      <c r="B949" s="120"/>
    </row>
    <row r="950" spans="2:2">
      <c r="B950" s="120"/>
    </row>
    <row r="951" spans="2:2">
      <c r="B951" s="120"/>
    </row>
    <row r="952" spans="2:2">
      <c r="B952" s="120"/>
    </row>
    <row r="953" spans="2:2">
      <c r="B953" s="120"/>
    </row>
    <row r="954" spans="2:2">
      <c r="B954" s="120"/>
    </row>
    <row r="955" spans="2:2">
      <c r="B955" s="120"/>
    </row>
    <row r="956" spans="2:2">
      <c r="B956" s="120"/>
    </row>
    <row r="957" spans="2:2">
      <c r="B957" s="120"/>
    </row>
    <row r="958" spans="2:2">
      <c r="B958" s="120"/>
    </row>
    <row r="959" spans="2:2">
      <c r="B959" s="120"/>
    </row>
    <row r="960" spans="2:2">
      <c r="B960" s="120"/>
    </row>
    <row r="961" spans="2:2">
      <c r="B961" s="120"/>
    </row>
    <row r="962" spans="2:2">
      <c r="B962" s="120"/>
    </row>
    <row r="963" spans="2:2">
      <c r="B963" s="120"/>
    </row>
    <row r="964" spans="2:2">
      <c r="B964" s="120"/>
    </row>
    <row r="965" spans="2:2">
      <c r="B965" s="120"/>
    </row>
    <row r="966" spans="2:2">
      <c r="B966" s="120"/>
    </row>
    <row r="967" spans="2:2">
      <c r="B967" s="120"/>
    </row>
    <row r="968" spans="2:2">
      <c r="B968" s="120"/>
    </row>
    <row r="969" spans="2:2">
      <c r="B969" s="120"/>
    </row>
    <row r="970" spans="2:2">
      <c r="B970" s="120"/>
    </row>
    <row r="971" spans="2:2">
      <c r="B971" s="120"/>
    </row>
    <row r="972" spans="2:2">
      <c r="B972" s="120"/>
    </row>
    <row r="973" spans="2:2">
      <c r="B973" s="120"/>
    </row>
    <row r="974" spans="2:2">
      <c r="B974" s="120"/>
    </row>
    <row r="975" spans="2:2">
      <c r="B975" s="120"/>
    </row>
    <row r="976" spans="2:2">
      <c r="B976" s="120"/>
    </row>
    <row r="977" spans="2:2">
      <c r="B977" s="120"/>
    </row>
    <row r="978" spans="2:2">
      <c r="B978" s="120"/>
    </row>
    <row r="979" spans="2:2">
      <c r="B979" s="120"/>
    </row>
    <row r="980" spans="2:2">
      <c r="B980" s="120"/>
    </row>
    <row r="981" spans="2:2">
      <c r="B981" s="120"/>
    </row>
    <row r="982" spans="2:2">
      <c r="B982" s="120"/>
    </row>
    <row r="983" spans="2:2">
      <c r="B983" s="120"/>
    </row>
    <row r="984" spans="2:2">
      <c r="B984" s="120"/>
    </row>
    <row r="985" spans="2:2">
      <c r="B985" s="120"/>
    </row>
    <row r="986" spans="2:2">
      <c r="B986" s="120"/>
    </row>
    <row r="987" spans="2:2">
      <c r="B987" s="120"/>
    </row>
    <row r="988" spans="2:2">
      <c r="B988" s="120"/>
    </row>
    <row r="989" spans="2:2">
      <c r="B989" s="120"/>
    </row>
    <row r="990" spans="2:2">
      <c r="B990" s="120"/>
    </row>
    <row r="991" spans="2:2">
      <c r="B991" s="120"/>
    </row>
    <row r="992" spans="2:2">
      <c r="B992" s="120"/>
    </row>
    <row r="993" spans="2:2">
      <c r="B993" s="120"/>
    </row>
    <row r="994" spans="2:2">
      <c r="B994" s="120"/>
    </row>
    <row r="995" spans="2:2">
      <c r="B995" s="120"/>
    </row>
    <row r="996" spans="2:2">
      <c r="B996" s="120"/>
    </row>
    <row r="997" spans="2:2">
      <c r="B997" s="120"/>
    </row>
    <row r="998" spans="2:2">
      <c r="B998" s="120"/>
    </row>
    <row r="999" spans="2:2">
      <c r="B999" s="120"/>
    </row>
    <row r="1000" spans="2:2">
      <c r="B1000" s="120"/>
    </row>
    <row r="1001" spans="2:2">
      <c r="B1001" s="120"/>
    </row>
  </sheetData>
  <autoFilter ref="A2:AC179" xr:uid="{85A970EC-9DF1-44C6-A36E-E7546633ADF1}"/>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12" id="{E1CD6F13-D04C-40DA-91E0-2E9D3C79A8F2}">
            <x14:iconSet iconSet="3Symbols" showValue="0" custom="1">
              <x14:cfvo type="percent">
                <xm:f>0</xm:f>
              </x14:cfvo>
              <x14:cfvo type="num">
                <xm:f>0</xm:f>
              </x14:cfvo>
              <x14:cfvo type="num">
                <xm:f>1</xm:f>
              </x14:cfvo>
              <x14:cfIcon iconSet="3Symbols" iconId="0"/>
              <x14:cfIcon iconSet="3Symbols" iconId="0"/>
              <x14:cfIcon iconSet="3Symbols" iconId="2"/>
            </x14:iconSet>
          </x14:cfRule>
          <xm:sqref>R178:W178</xm:sqref>
        </x14:conditionalFormatting>
        <x14:conditionalFormatting xmlns:xm="http://schemas.microsoft.com/office/excel/2006/main">
          <x14:cfRule type="iconSet" priority="26" id="{3A4A6C99-6D02-4865-927D-697B380C9336}">
            <x14:iconSet iconSet="3Symbols" showValue="0" custom="1">
              <x14:cfvo type="percent">
                <xm:f>0</xm:f>
              </x14:cfvo>
              <x14:cfvo type="num">
                <xm:f>0</xm:f>
              </x14:cfvo>
              <x14:cfvo type="num">
                <xm:f>1</xm:f>
              </x14:cfvo>
              <x14:cfIcon iconSet="3Symbols" iconId="0"/>
              <x14:cfIcon iconSet="3Symbols" iconId="0"/>
              <x14:cfIcon iconSet="3Symbols" iconId="2"/>
            </x14:iconSet>
          </x14:cfRule>
          <xm:sqref>U22</xm:sqref>
        </x14:conditionalFormatting>
        <x14:conditionalFormatting xmlns:xm="http://schemas.microsoft.com/office/excel/2006/main">
          <x14:cfRule type="iconSet" priority="27" id="{1831D90A-6F0A-492B-B374-55FCF95F5EF9}">
            <x14:iconSet iconSet="3Symbols" showValue="0" custom="1">
              <x14:cfvo type="percent">
                <xm:f>0</xm:f>
              </x14:cfvo>
              <x14:cfvo type="num">
                <xm:f>0</xm:f>
              </x14:cfvo>
              <x14:cfvo type="num">
                <xm:f>1</xm:f>
              </x14:cfvo>
              <x14:cfIcon iconSet="3Symbols" iconId="0"/>
              <x14:cfIcon iconSet="3Symbols" iconId="0"/>
              <x14:cfIcon iconSet="3Symbols" iconId="2"/>
            </x14:iconSet>
          </x14:cfRule>
          <xm:sqref>U25:U27</xm:sqref>
        </x14:conditionalFormatting>
        <x14:conditionalFormatting xmlns:xm="http://schemas.microsoft.com/office/excel/2006/main">
          <x14:cfRule type="iconSet" priority="25" id="{46587EDB-DD07-445D-8BA6-FE9FC8CAABBB}">
            <x14:iconSet iconSet="3Symbols" showValue="0" custom="1">
              <x14:cfvo type="percent">
                <xm:f>0</xm:f>
              </x14:cfvo>
              <x14:cfvo type="num">
                <xm:f>0</xm:f>
              </x14:cfvo>
              <x14:cfvo type="num">
                <xm:f>1</xm:f>
              </x14:cfvo>
              <x14:cfIcon iconSet="3Symbols" iconId="0"/>
              <x14:cfIcon iconSet="3Symbols" iconId="0"/>
              <x14:cfIcon iconSet="3Symbols" iconId="2"/>
            </x14:iconSet>
          </x14:cfRule>
          <xm:sqref>U36:U38</xm:sqref>
        </x14:conditionalFormatting>
        <x14:conditionalFormatting xmlns:xm="http://schemas.microsoft.com/office/excel/2006/main">
          <x14:cfRule type="iconSet" priority="24" id="{6C6AA543-D04B-40E4-B783-F5545121EA95}">
            <x14:iconSet iconSet="3Symbols" showValue="0" custom="1">
              <x14:cfvo type="percent">
                <xm:f>0</xm:f>
              </x14:cfvo>
              <x14:cfvo type="num">
                <xm:f>0</xm:f>
              </x14:cfvo>
              <x14:cfvo type="num">
                <xm:f>1</xm:f>
              </x14:cfvo>
              <x14:cfIcon iconSet="3Symbols" iconId="0"/>
              <x14:cfIcon iconSet="3Symbols" iconId="0"/>
              <x14:cfIcon iconSet="3Symbols" iconId="2"/>
            </x14:iconSet>
          </x14:cfRule>
          <xm:sqref>U40:U48</xm:sqref>
        </x14:conditionalFormatting>
        <x14:conditionalFormatting xmlns:xm="http://schemas.microsoft.com/office/excel/2006/main">
          <x14:cfRule type="iconSet" priority="28" id="{7DD53C24-5057-4BBB-ADA3-5FBC432F3A32}">
            <x14:iconSet iconSet="3Symbols" showValue="0" custom="1">
              <x14:cfvo type="percent">
                <xm:f>0</xm:f>
              </x14:cfvo>
              <x14:cfvo type="num">
                <xm:f>0</xm:f>
              </x14:cfvo>
              <x14:cfvo type="num">
                <xm:f>1</xm:f>
              </x14:cfvo>
              <x14:cfIcon iconSet="3Symbols" iconId="0"/>
              <x14:cfIcon iconSet="3Symbols" iconId="0"/>
              <x14:cfIcon iconSet="3Symbols" iconId="2"/>
            </x14:iconSet>
          </x14:cfRule>
          <xm:sqref>U49</xm:sqref>
        </x14:conditionalFormatting>
        <x14:conditionalFormatting xmlns:xm="http://schemas.microsoft.com/office/excel/2006/main">
          <x14:cfRule type="iconSet" priority="29" id="{B351BEB9-36B5-40CA-A5B9-FDD124F46874}">
            <x14:iconSet iconSet="3Symbols" showValue="0" custom="1">
              <x14:cfvo type="percent">
                <xm:f>0</xm:f>
              </x14:cfvo>
              <x14:cfvo type="num">
                <xm:f>0</xm:f>
              </x14:cfvo>
              <x14:cfvo type="num">
                <xm:f>1</xm:f>
              </x14:cfvo>
              <x14:cfIcon iconSet="3Symbols" iconId="0"/>
              <x14:cfIcon iconSet="3Symbols" iconId="0"/>
              <x14:cfIcon iconSet="3Symbols" iconId="2"/>
            </x14:iconSet>
          </x14:cfRule>
          <xm:sqref>U51:U55</xm:sqref>
        </x14:conditionalFormatting>
        <x14:conditionalFormatting xmlns:xm="http://schemas.microsoft.com/office/excel/2006/main">
          <x14:cfRule type="iconSet" priority="30" id="{13CEE61E-F185-4202-BA41-490E6BA18AAA}">
            <x14:iconSet iconSet="3Symbols" showValue="0" custom="1">
              <x14:cfvo type="percent">
                <xm:f>0</xm:f>
              </x14:cfvo>
              <x14:cfvo type="num">
                <xm:f>0</xm:f>
              </x14:cfvo>
              <x14:cfvo type="num">
                <xm:f>1</xm:f>
              </x14:cfvo>
              <x14:cfIcon iconSet="3Symbols" iconId="0"/>
              <x14:cfIcon iconSet="3Symbols" iconId="0"/>
              <x14:cfIcon iconSet="3Symbols" iconId="2"/>
            </x14:iconSet>
          </x14:cfRule>
          <xm:sqref>U78:U81</xm:sqref>
        </x14:conditionalFormatting>
        <x14:conditionalFormatting xmlns:xm="http://schemas.microsoft.com/office/excel/2006/main">
          <x14:cfRule type="iconSet" priority="31" id="{BCF5E5D5-7B9C-4B13-82BB-0372FE8772E8}">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U106</xm:sqref>
        </x14:conditionalFormatting>
        <x14:conditionalFormatting xmlns:xm="http://schemas.microsoft.com/office/excel/2006/main">
          <x14:cfRule type="iconSet" priority="32" id="{096E99E7-A281-4BEB-BE53-CEBF548A3185}">
            <x14:iconSet iconSet="3Symbols" showValue="0" custom="1">
              <x14:cfvo type="percent">
                <xm:f>0</xm:f>
              </x14:cfvo>
              <x14:cfvo type="num">
                <xm:f>0</xm:f>
              </x14:cfvo>
              <x14:cfvo type="num">
                <xm:f>1</xm:f>
              </x14:cfvo>
              <x14:cfIcon iconSet="3Symbols" iconId="0"/>
              <x14:cfIcon iconSet="3Symbols" iconId="0"/>
              <x14:cfIcon iconSet="3Symbols" iconId="2"/>
            </x14:iconSet>
          </x14:cfRule>
          <xm:sqref>U129:U131</xm:sqref>
        </x14:conditionalFormatting>
        <x14:conditionalFormatting xmlns:xm="http://schemas.microsoft.com/office/excel/2006/main">
          <x14:cfRule type="iconSet" priority="33" id="{F7711888-6DDD-465D-964A-D878BC42BE91}">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U133:U134</xm:sqref>
        </x14:conditionalFormatting>
        <x14:conditionalFormatting xmlns:xm="http://schemas.microsoft.com/office/excel/2006/main">
          <x14:cfRule type="iconSet" priority="35" id="{E888FD4B-2F22-459C-8615-241C253117D1}">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U136:U138</xm:sqref>
        </x14:conditionalFormatting>
        <x14:conditionalFormatting xmlns:xm="http://schemas.microsoft.com/office/excel/2006/main">
          <x14:cfRule type="iconSet" priority="23" id="{E469D603-8135-4F7F-9E80-F516C5E9B845}">
            <x14:iconSet iconSet="3Symbols" showValue="0" custom="1">
              <x14:cfvo type="percent">
                <xm:f>0</xm:f>
              </x14:cfvo>
              <x14:cfvo type="num">
                <xm:f>0</xm:f>
              </x14:cfvo>
              <x14:cfvo type="num">
                <xm:f>1</xm:f>
              </x14:cfvo>
              <x14:cfIcon iconSet="3Symbols" iconId="0"/>
              <x14:cfIcon iconSet="3Symbols" iconId="0"/>
              <x14:cfIcon iconSet="3Symbols" iconId="2"/>
            </x14:iconSet>
          </x14:cfRule>
          <xm:sqref>U147:U149</xm:sqref>
        </x14:conditionalFormatting>
        <x14:conditionalFormatting xmlns:xm="http://schemas.microsoft.com/office/excel/2006/main">
          <x14:cfRule type="iconSet" priority="22" id="{3A94561C-7C2F-4EBF-B0C6-36B355C586CF}">
            <x14:iconSet iconSet="3Symbols" showValue="0" custom="1">
              <x14:cfvo type="percent">
                <xm:f>0</xm:f>
              </x14:cfvo>
              <x14:cfvo type="num">
                <xm:f>0</xm:f>
              </x14:cfvo>
              <x14:cfvo type="num">
                <xm:f>1</xm:f>
              </x14:cfvo>
              <x14:cfIcon iconSet="3Symbols" iconId="0"/>
              <x14:cfIcon iconSet="3Symbols" iconId="0"/>
              <x14:cfIcon iconSet="3Symbols" iconId="2"/>
            </x14:iconSet>
          </x14:cfRule>
          <xm:sqref>U151</xm:sqref>
        </x14:conditionalFormatting>
        <x14:conditionalFormatting xmlns:xm="http://schemas.microsoft.com/office/excel/2006/main">
          <x14:cfRule type="iconSet" priority="21" id="{BD416516-10CC-46F9-8B03-DCA0447E00C9}">
            <x14:iconSet iconSet="3Symbols" showValue="0" custom="1">
              <x14:cfvo type="percent">
                <xm:f>0</xm:f>
              </x14:cfvo>
              <x14:cfvo type="num">
                <xm:f>0</xm:f>
              </x14:cfvo>
              <x14:cfvo type="num">
                <xm:f>1</xm:f>
              </x14:cfvo>
              <x14:cfIcon iconSet="3Symbols" iconId="0"/>
              <x14:cfIcon iconSet="3Symbols" iconId="0"/>
              <x14:cfIcon iconSet="3Symbols" iconId="2"/>
            </x14:iconSet>
          </x14:cfRule>
          <xm:sqref>U154:U158</xm:sqref>
        </x14:conditionalFormatting>
        <x14:conditionalFormatting xmlns:xm="http://schemas.microsoft.com/office/excel/2006/main">
          <x14:cfRule type="iconSet" priority="38" id="{64DDFEC9-F8EE-42FF-93CF-4F96DEB0D6B5}">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U162</xm:sqref>
        </x14:conditionalFormatting>
        <x14:conditionalFormatting xmlns:xm="http://schemas.microsoft.com/office/excel/2006/main">
          <x14:cfRule type="iconSet" priority="39" id="{28EC4F06-6712-454B-867D-8934D294224D}">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U164</xm:sqref>
        </x14:conditionalFormatting>
        <x14:conditionalFormatting xmlns:xm="http://schemas.microsoft.com/office/excel/2006/main">
          <x14:cfRule type="iconSet" priority="19" id="{2B05ADA4-67A5-4103-93C5-7AAB7F86F7E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U168</xm:sqref>
        </x14:conditionalFormatting>
        <x14:conditionalFormatting xmlns:xm="http://schemas.microsoft.com/office/excel/2006/main">
          <x14:cfRule type="iconSet" priority="57" id="{5BBBACD1-5071-46F3-9465-6E392DA8E1EE}">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U173 W173:Z173 U172:V172 V171:Z171 X172:Z172</xm:sqref>
        </x14:conditionalFormatting>
        <x14:conditionalFormatting xmlns:xm="http://schemas.microsoft.com/office/excel/2006/main">
          <x14:cfRule type="iconSet" priority="56" id="{4C8D00ED-712D-4A3D-A81E-8F4DE9D6A86A}">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U174 W174:Z174</xm:sqref>
        </x14:conditionalFormatting>
        <x14:conditionalFormatting xmlns:xm="http://schemas.microsoft.com/office/excel/2006/main">
          <x14:cfRule type="iconSet" priority="44" id="{1AE33510-FE2D-45AF-B99C-495C49DF2866}">
            <x14:iconSet iconSet="3Symbols" showValue="0" custom="1">
              <x14:cfvo type="percent">
                <xm:f>0</xm:f>
              </x14:cfvo>
              <x14:cfvo type="num">
                <xm:f>0</xm:f>
              </x14:cfvo>
              <x14:cfvo type="num">
                <xm:f>1</xm:f>
              </x14:cfvo>
              <x14:cfIcon iconSet="3Symbols" iconId="0"/>
              <x14:cfIcon iconSet="3Symbols" iconId="0"/>
              <x14:cfIcon iconSet="3Symbols" iconId="2"/>
            </x14:iconSet>
          </x14:cfRule>
          <xm:sqref>U35:V35</xm:sqref>
        </x14:conditionalFormatting>
        <x14:conditionalFormatting xmlns:xm="http://schemas.microsoft.com/office/excel/2006/main">
          <x14:cfRule type="iconSet" priority="62" id="{AC9D6A8F-5A25-4280-8842-983902FD9BE3}">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U166:V166 X166:Z166</xm:sqref>
        </x14:conditionalFormatting>
        <x14:conditionalFormatting xmlns:xm="http://schemas.microsoft.com/office/excel/2006/main">
          <x14:cfRule type="iconSet" priority="78" id="{C2723F33-E806-4EC0-B426-7C25C38F8871}">
            <x14:iconSet iconSet="3Symbols" showValue="0" custom="1">
              <x14:cfvo type="percent">
                <xm:f>0</xm:f>
              </x14:cfvo>
              <x14:cfvo type="num">
                <xm:f>0</xm:f>
              </x14:cfvo>
              <x14:cfvo type="num">
                <xm:f>1</xm:f>
              </x14:cfvo>
              <x14:cfIcon iconSet="3Symbols" iconId="0"/>
              <x14:cfIcon iconSet="3Symbols" iconId="0"/>
              <x14:cfIcon iconSet="3Symbols" iconId="2"/>
            </x14:iconSet>
          </x14:cfRule>
          <xm:sqref>U76:W77 Y76:Z77</xm:sqref>
        </x14:conditionalFormatting>
        <x14:conditionalFormatting xmlns:xm="http://schemas.microsoft.com/office/excel/2006/main">
          <x14:cfRule type="iconSet" priority="76" id="{2454C804-5860-45DF-941F-C51540D6BD92}">
            <x14:iconSet iconSet="3Symbols" showValue="0" custom="1">
              <x14:cfvo type="percent">
                <xm:f>0</xm:f>
              </x14:cfvo>
              <x14:cfvo type="num">
                <xm:f>0</xm:f>
              </x14:cfvo>
              <x14:cfvo type="num">
                <xm:f>1</xm:f>
              </x14:cfvo>
              <x14:cfIcon iconSet="3Symbols" iconId="0"/>
              <x14:cfIcon iconSet="3Symbols" iconId="0"/>
              <x14:cfIcon iconSet="3Symbols" iconId="2"/>
            </x14:iconSet>
          </x14:cfRule>
          <xm:sqref>U87:W87 Y87:Z87 W88:Z89 U90:W91 Y90:Z90 Z91</xm:sqref>
        </x14:conditionalFormatting>
        <x14:conditionalFormatting xmlns:xm="http://schemas.microsoft.com/office/excel/2006/main">
          <x14:cfRule type="iconSet" priority="75" id="{7F60B36A-3C28-49D8-BF7A-863120C63D7A}">
            <x14:iconSet iconSet="3Symbols" showValue="0" custom="1">
              <x14:cfvo type="percent">
                <xm:f>0</xm:f>
              </x14:cfvo>
              <x14:cfvo type="num">
                <xm:f>0</xm:f>
              </x14:cfvo>
              <x14:cfvo type="num">
                <xm:f>1</xm:f>
              </x14:cfvo>
              <x14:cfIcon iconSet="3Symbols" iconId="0"/>
              <x14:cfIcon iconSet="3Symbols" iconId="0"/>
              <x14:cfIcon iconSet="3Symbols" iconId="2"/>
            </x14:iconSet>
          </x14:cfRule>
          <xm:sqref>U92:W93 Y92:Z93 U94:X94 Z94 W95:Z98</xm:sqref>
        </x14:conditionalFormatting>
        <x14:conditionalFormatting xmlns:xm="http://schemas.microsoft.com/office/excel/2006/main">
          <x14:cfRule type="iconSet" priority="64" id="{F275AC4E-611E-4F29-B7C6-E1CA6A0288C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U145:W146 Y145:Z146 W147:Z150</xm:sqref>
        </x14:conditionalFormatting>
        <x14:conditionalFormatting xmlns:xm="http://schemas.microsoft.com/office/excel/2006/main">
          <x14:cfRule type="iconSet" priority="72" id="{B404E751-CA2F-453F-A02E-8E383F7C0C1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U104:X105 Z104:Z105 W106:Z107</xm:sqref>
        </x14:conditionalFormatting>
        <x14:conditionalFormatting xmlns:xm="http://schemas.microsoft.com/office/excel/2006/main">
          <x14:cfRule type="iconSet" priority="69" id="{AC574416-1955-4461-B039-72BE86AC6657}">
            <x14:iconSet iconSet="3Symbols" showValue="0" custom="1">
              <x14:cfvo type="percent">
                <xm:f>0</xm:f>
              </x14:cfvo>
              <x14:cfvo type="num">
                <xm:f>0</xm:f>
              </x14:cfvo>
              <x14:cfvo type="num">
                <xm:f>1</xm:f>
              </x14:cfvo>
              <x14:cfIcon iconSet="3Symbols" iconId="0"/>
              <x14:cfIcon iconSet="3Symbols" iconId="0"/>
              <x14:cfIcon iconSet="3Symbols" iconId="2"/>
            </x14:iconSet>
          </x14:cfRule>
          <xm:sqref>U125:Y125 W124:Z124</xm:sqref>
        </x14:conditionalFormatting>
        <x14:conditionalFormatting xmlns:xm="http://schemas.microsoft.com/office/excel/2006/main">
          <x14:cfRule type="iconSet" priority="86" id="{0E693319-9579-4DAB-928A-C641819F194E}">
            <x14:iconSet iconSet="3Symbols" showValue="0" custom="1">
              <x14:cfvo type="percent">
                <xm:f>0</xm:f>
              </x14:cfvo>
              <x14:cfvo type="num">
                <xm:f>0</xm:f>
              </x14:cfvo>
              <x14:cfvo type="num">
                <xm:f>1</xm:f>
              </x14:cfvo>
              <x14:cfIcon iconSet="3Symbols" iconId="0"/>
              <x14:cfIcon iconSet="3Symbols" iconId="0"/>
              <x14:cfIcon iconSet="3Symbols" iconId="2"/>
            </x14:iconSet>
          </x14:cfRule>
          <xm:sqref>U31:Z31 U29:U30 W29:Z30 U32:U34 W32:Z34</xm:sqref>
        </x14:conditionalFormatting>
        <x14:conditionalFormatting xmlns:xm="http://schemas.microsoft.com/office/excel/2006/main">
          <x14:cfRule type="iconSet" priority="80" id="{7F6001A1-76EF-4CB6-BA0F-7F853FAFD6D4}">
            <x14:iconSet iconSet="3Symbols" showValue="0" custom="1">
              <x14:cfvo type="percent">
                <xm:f>0</xm:f>
              </x14:cfvo>
              <x14:cfvo type="num">
                <xm:f>0</xm:f>
              </x14:cfvo>
              <x14:cfvo type="num">
                <xm:f>1</xm:f>
              </x14:cfvo>
              <x14:cfIcon iconSet="3Symbols" iconId="0"/>
              <x14:cfIcon iconSet="3Symbols" iconId="0"/>
              <x14:cfIcon iconSet="3Symbols" iconId="2"/>
            </x14:iconSet>
          </x14:cfRule>
          <xm:sqref>U56:Z56</xm:sqref>
        </x14:conditionalFormatting>
        <x14:conditionalFormatting xmlns:xm="http://schemas.microsoft.com/office/excel/2006/main">
          <x14:cfRule type="iconSet" priority="77" id="{9772E391-1BC4-4A7A-ADB1-54958B91690B}">
            <x14:iconSet iconSet="3Symbols" showValue="0" custom="1">
              <x14:cfvo type="percent">
                <xm:f>0</xm:f>
              </x14:cfvo>
              <x14:cfvo type="num">
                <xm:f>0</xm:f>
              </x14:cfvo>
              <x14:cfvo type="num">
                <xm:f>1</xm:f>
              </x14:cfvo>
              <x14:cfIcon iconSet="3Symbols" iconId="0"/>
              <x14:cfIcon iconSet="3Symbols" iconId="0"/>
              <x14:cfIcon iconSet="3Symbols" iconId="2"/>
            </x14:iconSet>
          </x14:cfRule>
          <xm:sqref>U82:Z82 W78:Z81 U86:W86 W83:Z83 U84:V85 X84:Z85 Y86:Z86</xm:sqref>
        </x14:conditionalFormatting>
        <x14:conditionalFormatting xmlns:xm="http://schemas.microsoft.com/office/excel/2006/main">
          <x14:cfRule type="iconSet" priority="74" id="{4B3B7674-1FE6-4366-88EB-5712530FE18E}">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U101:Z101 U99:W99 Y99:Z99 W100:Z100 U103:Z103 U102:V102 X102:Z102</xm:sqref>
        </x14:conditionalFormatting>
        <x14:conditionalFormatting xmlns:xm="http://schemas.microsoft.com/office/excel/2006/main">
          <x14:cfRule type="iconSet" priority="42" id="{C870D29D-22E9-4448-AFFC-578C6FD49C6B}">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U108:Z108</xm:sqref>
        </x14:conditionalFormatting>
        <x14:conditionalFormatting xmlns:xm="http://schemas.microsoft.com/office/excel/2006/main">
          <x14:cfRule type="iconSet" priority="73" id="{2697FE22-8778-441D-9E71-7F3E79587EDC}">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U109:Z110</xm:sqref>
        </x14:conditionalFormatting>
        <x14:conditionalFormatting xmlns:xm="http://schemas.microsoft.com/office/excel/2006/main">
          <x14:cfRule type="iconSet" priority="71" id="{A4ED5849-B56E-4B98-A843-E05CE5301E50}">
            <x14:iconSet iconSet="3Symbols" showValue="0" custom="1">
              <x14:cfvo type="percent">
                <xm:f>0</xm:f>
              </x14:cfvo>
              <x14:cfvo type="num">
                <xm:f>0</xm:f>
              </x14:cfvo>
              <x14:cfvo type="num">
                <xm:f>1</xm:f>
              </x14:cfvo>
              <x14:cfIcon iconSet="3Symbols" iconId="0"/>
              <x14:cfIcon iconSet="3Symbols" iconId="0"/>
              <x14:cfIcon iconSet="3Symbols" iconId="2"/>
            </x14:iconSet>
          </x14:cfRule>
          <xm:sqref>U111:Z112</xm:sqref>
        </x14:conditionalFormatting>
        <x14:conditionalFormatting xmlns:xm="http://schemas.microsoft.com/office/excel/2006/main">
          <x14:cfRule type="iconSet" priority="63" id="{D7B50B25-0082-4851-B858-97BF9DFA6CDD}">
            <x14:iconSet iconSet="3Symbols" showValue="0" custom="1">
              <x14:cfvo type="percent">
                <xm:f>0</xm:f>
              </x14:cfvo>
              <x14:cfvo type="num">
                <xm:f>0</xm:f>
              </x14:cfvo>
              <x14:cfvo type="num">
                <xm:f>1</xm:f>
              </x14:cfvo>
              <x14:cfIcon iconSet="3Symbols" iconId="0"/>
              <x14:cfIcon iconSet="3Symbols" iconId="0"/>
              <x14:cfIcon iconSet="3Symbols" iconId="2"/>
            </x14:iconSet>
          </x14:cfRule>
          <xm:sqref>U152:Z152 W151:Z151 W154:Z157 U153:W153 Y153:Z153</xm:sqref>
        </x14:conditionalFormatting>
        <x14:conditionalFormatting xmlns:xm="http://schemas.microsoft.com/office/excel/2006/main">
          <x14:cfRule type="iconSet" priority="58" id="{3C93DD17-65A4-4CDB-8E05-8A9987ABC3DC}">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U167:Z167 U169:Z170 W168:Z168 U171</xm:sqref>
        </x14:conditionalFormatting>
        <x14:conditionalFormatting xmlns:xm="http://schemas.microsoft.com/office/excel/2006/main">
          <x14:cfRule type="iconSet" priority="55" id="{36B9F147-D4F2-45C9-A737-3396BAA20C8A}">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U177:Z177 U175:U176 W175:Z176</xm:sqref>
        </x14:conditionalFormatting>
        <x14:conditionalFormatting xmlns:xm="http://schemas.microsoft.com/office/excel/2006/main">
          <x14:cfRule type="iconSet" priority="54" id="{92189897-23AB-4FC3-BFDD-2E1216B2F931}">
            <x14:iconSet iconSet="3Symbols" showValue="0" custom="1">
              <x14:cfvo type="percent">
                <xm:f>0</xm:f>
              </x14:cfvo>
              <x14:cfvo type="num">
                <xm:f>0</xm:f>
              </x14:cfvo>
              <x14:cfvo type="num">
                <xm:f>1</xm:f>
              </x14:cfvo>
              <x14:cfIcon iconSet="3Symbols" iconId="0"/>
              <x14:cfIcon iconSet="3Symbols" iconId="0"/>
              <x14:cfIcon iconSet="3Symbols" iconId="2"/>
            </x14:iconSet>
          </x14:cfRule>
          <xm:sqref>U181:Z191</xm:sqref>
        </x14:conditionalFormatting>
        <x14:conditionalFormatting xmlns:xm="http://schemas.microsoft.com/office/excel/2006/main">
          <x14:cfRule type="iconSet" priority="94" id="{3A50E01E-C94E-416F-A5D2-8312A4B4928F}">
            <x14:iconSet iconSet="3Symbols" showValue="0" custom="1">
              <x14:cfvo type="percent">
                <xm:f>0</xm:f>
              </x14:cfvo>
              <x14:cfvo type="num">
                <xm:f>0</xm:f>
              </x14:cfvo>
              <x14:cfvo type="num">
                <xm:f>1</xm:f>
              </x14:cfvo>
              <x14:cfIcon iconSet="3Symbols" iconId="0"/>
              <x14:cfIcon iconSet="3Symbols" iconId="0"/>
              <x14:cfIcon iconSet="3Symbols" iconId="2"/>
            </x14:iconSet>
          </x14:cfRule>
          <xm:sqref>U192:Z202</xm:sqref>
        </x14:conditionalFormatting>
        <x14:conditionalFormatting xmlns:xm="http://schemas.microsoft.com/office/excel/2006/main">
          <x14:cfRule type="iconSet" priority="3" id="{BFDAC4C6-37E3-45B1-83D2-7C8A00CB893F}">
            <x14:iconSet iconSet="3Symbols" showValue="0" custom="1">
              <x14:cfvo type="percent">
                <xm:f>0</xm:f>
              </x14:cfvo>
              <x14:cfvo type="num">
                <xm:f>0</xm:f>
              </x14:cfvo>
              <x14:cfvo type="num">
                <xm:f>1</xm:f>
              </x14:cfvo>
              <x14:cfIcon iconSet="3Symbols" iconId="0"/>
              <x14:cfIcon iconSet="3Symbols" iconId="0"/>
              <x14:cfIcon iconSet="3Symbols" iconId="2"/>
            </x14:iconSet>
          </x14:cfRule>
          <xm:sqref>U203:Z203</xm:sqref>
        </x14:conditionalFormatting>
        <x14:conditionalFormatting xmlns:xm="http://schemas.microsoft.com/office/excel/2006/main">
          <x14:cfRule type="iconSet" priority="34" id="{04D35437-3980-4450-BB28-947BA9EF4C99}">
            <x14:iconSet iconSet="3Symbols" showValue="0" custom="1">
              <x14:cfvo type="percent">
                <xm:f>0</xm:f>
              </x14:cfvo>
              <x14:cfvo type="num">
                <xm:f>0</xm:f>
              </x14:cfvo>
              <x14:cfvo type="num">
                <xm:f>1</xm:f>
              </x14:cfvo>
              <x14:cfIcon iconSet="3Symbols" iconId="0"/>
              <x14:cfIcon iconSet="3Symbols" iconId="0"/>
              <x14:cfIcon iconSet="3Symbols" iconId="2"/>
            </x14:iconSet>
          </x14:cfRule>
          <xm:sqref>V120:V124</xm:sqref>
        </x14:conditionalFormatting>
        <x14:conditionalFormatting xmlns:xm="http://schemas.microsoft.com/office/excel/2006/main">
          <x14:cfRule type="iconSet" priority="40" id="{7953F206-FBCB-4F05-ACD5-FBF415AC40E3}">
            <x14:iconSet iconSet="3Symbols" showValue="0" custom="1">
              <x14:cfvo type="percent">
                <xm:f>0</xm:f>
              </x14:cfvo>
              <x14:cfvo type="num">
                <xm:f>0</xm:f>
              </x14:cfvo>
              <x14:cfvo type="num">
                <xm:f>1</xm:f>
              </x14:cfvo>
              <x14:cfIcon iconSet="3Symbols" iconId="0"/>
              <x14:cfIcon iconSet="3Symbols" iconId="0"/>
              <x14:cfIcon iconSet="3Symbols" iconId="2"/>
            </x14:iconSet>
          </x14:cfRule>
          <xm:sqref>V165</xm:sqref>
        </x14:conditionalFormatting>
        <x14:conditionalFormatting xmlns:xm="http://schemas.microsoft.com/office/excel/2006/main">
          <x14:cfRule type="iconSet" priority="16" id="{70172FD1-B275-4222-8A8B-1FD1DBE9B52E}">
            <x14:iconSet iconSet="3Symbols" showValue="0" custom="1">
              <x14:cfvo type="percent">
                <xm:f>0</xm:f>
              </x14:cfvo>
              <x14:cfvo type="num">
                <xm:f>0</xm:f>
              </x14:cfvo>
              <x14:cfvo type="num">
                <xm:f>1</xm:f>
              </x14:cfvo>
              <x14:cfIcon iconSet="3Symbols" iconId="0"/>
              <x14:cfIcon iconSet="3Symbols" iconId="0"/>
              <x14:cfIcon iconSet="3Symbols" iconId="2"/>
            </x14:iconSet>
          </x14:cfRule>
          <xm:sqref>V173:V176</xm:sqref>
        </x14:conditionalFormatting>
        <x14:conditionalFormatting xmlns:xm="http://schemas.microsoft.com/office/excel/2006/main">
          <x14:cfRule type="iconSet" priority="82" id="{4EF51E9C-25EC-4403-808F-EDCBB26BBFE7}">
            <x14:iconSet iconSet="3Symbols" showValue="0" custom="1">
              <x14:cfvo type="percent">
                <xm:f>0</xm:f>
              </x14:cfvo>
              <x14:cfvo type="num">
                <xm:f>0</xm:f>
              </x14:cfvo>
              <x14:cfvo type="num">
                <xm:f>1</xm:f>
              </x14:cfvo>
              <x14:cfIcon iconSet="3Symbols" iconId="0"/>
              <x14:cfIcon iconSet="3Symbols" iconId="0"/>
              <x14:cfIcon iconSet="3Symbols" iconId="2"/>
            </x14:iconSet>
          </x14:cfRule>
          <xm:sqref>V48:Z50</xm:sqref>
        </x14:conditionalFormatting>
        <x14:conditionalFormatting xmlns:xm="http://schemas.microsoft.com/office/excel/2006/main">
          <x14:cfRule type="iconSet" priority="81" id="{8C9FFFAD-6A79-418B-ADFF-F4122642ED0D}">
            <x14:iconSet iconSet="3Symbols" showValue="0" custom="1">
              <x14:cfvo type="percent">
                <xm:f>0</xm:f>
              </x14:cfvo>
              <x14:cfvo type="num">
                <xm:f>0</xm:f>
              </x14:cfvo>
              <x14:cfvo type="num">
                <xm:f>1</xm:f>
              </x14:cfvo>
              <x14:cfIcon iconSet="3Symbols" iconId="0"/>
              <x14:cfIcon iconSet="3Symbols" iconId="0"/>
              <x14:cfIcon iconSet="3Symbols" iconId="2"/>
            </x14:iconSet>
          </x14:cfRule>
          <xm:sqref>V54:Z54 W51:Z53 W55:Z55 V52</xm:sqref>
        </x14:conditionalFormatting>
        <x14:conditionalFormatting xmlns:xm="http://schemas.microsoft.com/office/excel/2006/main">
          <x14:cfRule type="iconSet" priority="50" id="{C10908ED-DC0E-40C9-ABED-66553AB43EAD}">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V130:Z130</xm:sqref>
        </x14:conditionalFormatting>
        <x14:conditionalFormatting xmlns:xm="http://schemas.microsoft.com/office/excel/2006/main">
          <x14:cfRule type="iconSet" priority="67" id="{6AA3EE8F-E7E2-4D60-B9C6-C6D19E3DA42C}">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V131:Z132</xm:sqref>
        </x14:conditionalFormatting>
        <x14:conditionalFormatting xmlns:xm="http://schemas.microsoft.com/office/excel/2006/main">
          <x14:cfRule type="iconSet" priority="59" id="{35315FE6-1BE5-414D-9FF3-705084EA9DA5}">
            <x14:iconSet iconSet="3Symbols" showValue="0" custom="1">
              <x14:cfvo type="percent">
                <xm:f>0</xm:f>
              </x14:cfvo>
              <x14:cfvo type="num">
                <xm:f>0</xm:f>
              </x14:cfvo>
              <x14:cfvo type="num">
                <xm:f>1</xm:f>
              </x14:cfvo>
              <x14:cfIcon iconSet="3Symbols" iconId="0"/>
              <x14:cfIcon iconSet="3Symbols" iconId="0"/>
              <x14:cfIcon iconSet="3Symbols" iconId="2"/>
            </x14:iconSet>
          </x14:cfRule>
          <xm:sqref>V164:Z164 U165 W165:Z165</xm:sqref>
        </x14:conditionalFormatting>
        <x14:conditionalFormatting xmlns:xm="http://schemas.microsoft.com/office/excel/2006/main">
          <x14:cfRule type="iconSet" priority="43" id="{F2DF8FFA-8122-462E-933B-E20B32A3F24D}">
            <x14:iconSet iconSet="3Symbols" showValue="0" custom="1">
              <x14:cfvo type="percent">
                <xm:f>0</xm:f>
              </x14:cfvo>
              <x14:cfvo type="num">
                <xm:f>0</xm:f>
              </x14:cfvo>
              <x14:cfvo type="num">
                <xm:f>1</xm:f>
              </x14:cfvo>
              <x14:cfIcon iconSet="3Symbols" iconId="0"/>
              <x14:cfIcon iconSet="3Symbols" iconId="0"/>
              <x14:cfIcon iconSet="3Symbols" iconId="2"/>
            </x14:iconSet>
          </x14:cfRule>
          <xm:sqref>W57 Y57:AB57</xm:sqref>
        </x14:conditionalFormatting>
        <x14:conditionalFormatting xmlns:xm="http://schemas.microsoft.com/office/excel/2006/main">
          <x14:cfRule type="iconSet" priority="79" id="{99712E1C-D0C7-4D1C-8B06-AF56FA39C410}">
            <x14:iconSet iconSet="3Symbols" showValue="0" custom="1">
              <x14:cfvo type="percent">
                <xm:f>0</xm:f>
              </x14:cfvo>
              <x14:cfvo type="num">
                <xm:f>0</xm:f>
              </x14:cfvo>
              <x14:cfvo type="num">
                <xm:f>1</xm:f>
              </x14:cfvo>
              <x14:cfIcon iconSet="3Symbols" iconId="0"/>
              <x14:cfIcon iconSet="3Symbols" iconId="0"/>
              <x14:cfIcon iconSet="3Symbols" iconId="2"/>
            </x14:iconSet>
          </x14:cfRule>
          <xm:sqref>W66 Y66:Z66</xm:sqref>
        </x14:conditionalFormatting>
        <x14:conditionalFormatting xmlns:xm="http://schemas.microsoft.com/office/excel/2006/main">
          <x14:cfRule type="iconSet" priority="18" id="{8934A8B5-B182-45AB-8D1D-D8EF247B1473}">
            <x14:iconSet iconSet="3Symbols" showValue="0" custom="1">
              <x14:cfvo type="percent">
                <xm:f>0</xm:f>
              </x14:cfvo>
              <x14:cfvo type="num">
                <xm:f>0</xm:f>
              </x14:cfvo>
              <x14:cfvo type="num">
                <xm:f>1</xm:f>
              </x14:cfvo>
              <x14:cfIcon iconSet="3Symbols" iconId="0"/>
              <x14:cfIcon iconSet="3Symbols" iconId="0"/>
              <x14:cfIcon iconSet="3Symbols" iconId="2"/>
            </x14:iconSet>
          </x14:cfRule>
          <xm:sqref>W84:W85 W102 W172</xm:sqref>
        </x14:conditionalFormatting>
        <x14:conditionalFormatting xmlns:xm="http://schemas.microsoft.com/office/excel/2006/main">
          <x14:cfRule type="iconSet" priority="36" id="{208BBBEA-6583-4C74-92F9-39DD317F18BD}">
            <x14:iconSet iconSet="3Symbols" showValue="0" custom="1">
              <x14:cfvo type="percent">
                <xm:f>0</xm:f>
              </x14:cfvo>
              <x14:cfvo type="num">
                <xm:f>0</xm:f>
              </x14:cfvo>
              <x14:cfvo type="num">
                <xm:f>1</xm:f>
              </x14:cfvo>
              <x14:cfIcon iconSet="3Symbols" iconId="0"/>
              <x14:cfIcon iconSet="3Symbols" iconId="0"/>
              <x14:cfIcon iconSet="3Symbols" iconId="2"/>
            </x14:iconSet>
          </x14:cfRule>
          <xm:sqref>W140</xm:sqref>
        </x14:conditionalFormatting>
        <x14:conditionalFormatting xmlns:xm="http://schemas.microsoft.com/office/excel/2006/main">
          <x14:cfRule type="iconSet" priority="41" id="{410F4EF9-2811-498E-966A-A08BDBAC9D45}">
            <x14:iconSet iconSet="3Symbols" showValue="0" custom="1">
              <x14:cfvo type="percent">
                <xm:f>0</xm:f>
              </x14:cfvo>
              <x14:cfvo type="num">
                <xm:f>0</xm:f>
              </x14:cfvo>
              <x14:cfvo type="num">
                <xm:f>1</xm:f>
              </x14:cfvo>
              <x14:cfIcon iconSet="3Symbols" iconId="0"/>
              <x14:cfIcon iconSet="3Symbols" iconId="0"/>
              <x14:cfIcon iconSet="3Symbols" iconId="2"/>
            </x14:iconSet>
          </x14:cfRule>
          <xm:sqref>W166</xm:sqref>
        </x14:conditionalFormatting>
        <x14:conditionalFormatting xmlns:xm="http://schemas.microsoft.com/office/excel/2006/main">
          <x14:cfRule type="iconSet" priority="90" id="{43B03C05-110F-4150-BE2E-8BB599636BBB}">
            <x14:iconSet iconSet="3Symbols" showValue="0" custom="1">
              <x14:cfvo type="percent">
                <xm:f>0</xm:f>
              </x14:cfvo>
              <x14:cfvo type="num">
                <xm:f>0</xm:f>
              </x14:cfvo>
              <x14:cfvo type="num">
                <xm:f>1</xm:f>
              </x14:cfvo>
              <x14:cfIcon iconSet="3Symbols" iconId="0"/>
              <x14:cfIcon iconSet="3Symbols" iconId="0"/>
              <x14:cfIcon iconSet="3Symbols" iconId="2"/>
            </x14:iconSet>
          </x14:cfRule>
          <xm:sqref>W6:Z13 U6:U21 U23:U24 U28 U39 U50 U107 U120:U124 U132 U135 U150 U4:Z5 V6:V30 V32:V34 V36:V47 V51 V55 U57:V75 V78:V81 U83:V83 U88:V89 U95:V98 U100:V100 V106:V107 V129 V133:V137 V147:V151 V154:V158 V162 V168 V53</xm:sqref>
        </x14:conditionalFormatting>
        <x14:conditionalFormatting xmlns:xm="http://schemas.microsoft.com/office/excel/2006/main">
          <x14:cfRule type="iconSet" priority="89" id="{660C1B88-77E6-4A2E-9231-B994FBF34B38}">
            <x14:iconSet iconSet="3Symbols" showValue="0" custom="1">
              <x14:cfvo type="percent">
                <xm:f>0</xm:f>
              </x14:cfvo>
              <x14:cfvo type="num">
                <xm:f>0</xm:f>
              </x14:cfvo>
              <x14:cfvo type="num">
                <xm:f>1</xm:f>
              </x14:cfvo>
              <x14:cfIcon iconSet="3Symbols" iconId="0"/>
              <x14:cfIcon iconSet="3Symbols" iconId="0"/>
              <x14:cfIcon iconSet="3Symbols" iconId="2"/>
            </x14:iconSet>
          </x14:cfRule>
          <xm:sqref>W14:Z21</xm:sqref>
        </x14:conditionalFormatting>
        <x14:conditionalFormatting xmlns:xm="http://schemas.microsoft.com/office/excel/2006/main">
          <x14:cfRule type="iconSet" priority="88" id="{77225182-9DE1-4CFC-BD75-233A14A60F66}">
            <x14:iconSet iconSet="3Symbols" showValue="0" custom="1">
              <x14:cfvo type="percent">
                <xm:f>0</xm:f>
              </x14:cfvo>
              <x14:cfvo type="num">
                <xm:f>0</xm:f>
              </x14:cfvo>
              <x14:cfvo type="num">
                <xm:f>1</xm:f>
              </x14:cfvo>
              <x14:cfIcon iconSet="3Symbols" iconId="0"/>
              <x14:cfIcon iconSet="3Symbols" iconId="0"/>
              <x14:cfIcon iconSet="3Symbols" iconId="2"/>
            </x14:iconSet>
          </x14:cfRule>
          <xm:sqref>W22:Z24</xm:sqref>
        </x14:conditionalFormatting>
        <x14:conditionalFormatting xmlns:xm="http://schemas.microsoft.com/office/excel/2006/main">
          <x14:cfRule type="iconSet" priority="87" id="{5E110664-2879-4D4E-9C81-2D740CE36930}">
            <x14:iconSet iconSet="3Symbols" showValue="0" custom="1">
              <x14:cfvo type="percent">
                <xm:f>0</xm:f>
              </x14:cfvo>
              <x14:cfvo type="num">
                <xm:f>0</xm:f>
              </x14:cfvo>
              <x14:cfvo type="num">
                <xm:f>1</xm:f>
              </x14:cfvo>
              <x14:cfIcon iconSet="3Symbols" iconId="0"/>
              <x14:cfIcon iconSet="3Symbols" iconId="0"/>
              <x14:cfIcon iconSet="3Symbols" iconId="2"/>
            </x14:iconSet>
          </x14:cfRule>
          <xm:sqref>W25:Z28</xm:sqref>
        </x14:conditionalFormatting>
        <x14:conditionalFormatting xmlns:xm="http://schemas.microsoft.com/office/excel/2006/main">
          <x14:cfRule type="iconSet" priority="85" id="{2B442B6E-9402-4E3F-B9E1-64F5693086ED}">
            <x14:iconSet iconSet="3Symbols" showValue="0" custom="1">
              <x14:cfvo type="percent">
                <xm:f>0</xm:f>
              </x14:cfvo>
              <x14:cfvo type="num">
                <xm:f>0</xm:f>
              </x14:cfvo>
              <x14:cfvo type="num">
                <xm:f>1</xm:f>
              </x14:cfvo>
              <x14:cfIcon iconSet="3Symbols" iconId="0"/>
              <x14:cfIcon iconSet="3Symbols" iconId="0"/>
              <x14:cfIcon iconSet="3Symbols" iconId="2"/>
            </x14:iconSet>
          </x14:cfRule>
          <xm:sqref>W35:Z35</xm:sqref>
        </x14:conditionalFormatting>
        <x14:conditionalFormatting xmlns:xm="http://schemas.microsoft.com/office/excel/2006/main">
          <x14:cfRule type="iconSet" priority="84" id="{237F9E57-7B4B-4E48-A88F-ADE409E71096}">
            <x14:iconSet iconSet="3Symbols" showValue="0" custom="1">
              <x14:cfvo type="percent">
                <xm:f>0</xm:f>
              </x14:cfvo>
              <x14:cfvo type="num">
                <xm:f>0</xm:f>
              </x14:cfvo>
              <x14:cfvo type="num">
                <xm:f>1</xm:f>
              </x14:cfvo>
              <x14:cfIcon iconSet="3Symbols" iconId="0"/>
              <x14:cfIcon iconSet="3Symbols" iconId="0"/>
              <x14:cfIcon iconSet="3Symbols" iconId="2"/>
            </x14:iconSet>
          </x14:cfRule>
          <xm:sqref>W36:Z41</xm:sqref>
        </x14:conditionalFormatting>
        <x14:conditionalFormatting xmlns:xm="http://schemas.microsoft.com/office/excel/2006/main">
          <x14:cfRule type="iconSet" priority="83" id="{F5F937FF-2405-4013-80DC-F9514F78DF9F}">
            <x14:iconSet iconSet="3Symbols" showValue="0" custom="1">
              <x14:cfvo type="percent">
                <xm:f>0</xm:f>
              </x14:cfvo>
              <x14:cfvo type="num">
                <xm:f>0</xm:f>
              </x14:cfvo>
              <x14:cfvo type="num">
                <xm:f>1</xm:f>
              </x14:cfvo>
              <x14:cfIcon iconSet="3Symbols" iconId="0"/>
              <x14:cfIcon iconSet="3Symbols" iconId="0"/>
              <x14:cfIcon iconSet="3Symbols" iconId="2"/>
            </x14:iconSet>
          </x14:cfRule>
          <xm:sqref>W42:Z47</xm:sqref>
        </x14:conditionalFormatting>
        <x14:conditionalFormatting xmlns:xm="http://schemas.microsoft.com/office/excel/2006/main">
          <x14:cfRule type="iconSet" priority="92" id="{5CAE2098-7357-44AD-B418-312CF22E2754}">
            <x14:iconSet iconSet="3Symbols" showValue="0" custom="1">
              <x14:cfvo type="percent">
                <xm:f>0</xm:f>
              </x14:cfvo>
              <x14:cfvo type="num">
                <xm:f>0</xm:f>
              </x14:cfvo>
              <x14:cfvo type="num">
                <xm:f>1</xm:f>
              </x14:cfvo>
              <x14:cfIcon iconSet="3Symbols" iconId="0"/>
              <x14:cfIcon iconSet="3Symbols" iconId="0"/>
              <x14:cfIcon iconSet="3Symbols" iconId="2"/>
            </x14:iconSet>
          </x14:cfRule>
          <xm:sqref>W67:Z75</xm:sqref>
        </x14:conditionalFormatting>
        <x14:conditionalFormatting xmlns:xm="http://schemas.microsoft.com/office/excel/2006/main">
          <x14:cfRule type="iconSet" priority="48" id="{FCF0976D-30A9-475B-B839-800B09F8AB41}">
            <x14:iconSet iconSet="3Symbols" showValue="0" custom="1">
              <x14:cfvo type="percent">
                <xm:f>0</xm:f>
              </x14:cfvo>
              <x14:cfvo type="num">
                <xm:f>0</xm:f>
              </x14:cfvo>
              <x14:cfvo type="num">
                <xm:f>1</xm:f>
              </x14:cfvo>
              <x14:cfIcon iconSet="3Symbols" iconId="0"/>
              <x14:cfIcon iconSet="3Symbols" iconId="0"/>
              <x14:cfIcon iconSet="3Symbols" iconId="2"/>
            </x14:iconSet>
          </x14:cfRule>
          <xm:sqref>W120:Z120</xm:sqref>
        </x14:conditionalFormatting>
        <x14:conditionalFormatting xmlns:xm="http://schemas.microsoft.com/office/excel/2006/main">
          <x14:cfRule type="iconSet" priority="70" id="{61A10ED1-1534-4CAE-AC13-1C712827C507}">
            <x14:iconSet iconSet="3Symbols" showValue="0" custom="1">
              <x14:cfvo type="percent">
                <xm:f>0</xm:f>
              </x14:cfvo>
              <x14:cfvo type="num">
                <xm:f>0</xm:f>
              </x14:cfvo>
              <x14:cfvo type="num">
                <xm:f>1</xm:f>
              </x14:cfvo>
              <x14:cfIcon iconSet="3Symbols" iconId="0"/>
              <x14:cfIcon iconSet="3Symbols" iconId="0"/>
              <x14:cfIcon iconSet="3Symbols" iconId="2"/>
            </x14:iconSet>
          </x14:cfRule>
          <xm:sqref>W121:Z123 U113:Z119</xm:sqref>
        </x14:conditionalFormatting>
        <x14:conditionalFormatting xmlns:xm="http://schemas.microsoft.com/office/excel/2006/main">
          <x14:cfRule type="iconSet" priority="68" id="{DD96691C-F69E-4FB3-A0E0-24BED8786B09}">
            <x14:iconSet iconSet="3Symbols" showValue="0" custom="1">
              <x14:cfvo type="percent">
                <xm:f>0</xm:f>
              </x14:cfvo>
              <x14:cfvo type="num">
                <xm:f>0</xm:f>
              </x14:cfvo>
              <x14:cfvo type="num">
                <xm:f>1</xm:f>
              </x14:cfvo>
              <x14:cfIcon iconSet="3Symbols" iconId="0"/>
              <x14:cfIcon iconSet="3Symbols" iconId="0"/>
              <x14:cfIcon iconSet="3Symbols" iconId="2"/>
            </x14:iconSet>
          </x14:cfRule>
          <xm:sqref>W129:Z129 U126:Z128</xm:sqref>
        </x14:conditionalFormatting>
        <x14:conditionalFormatting xmlns:xm="http://schemas.microsoft.com/office/excel/2006/main">
          <x14:cfRule type="iconSet" priority="46" id="{D429D09B-87AE-4C7C-96CD-E111FE22BA91}">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W133:Z133</xm:sqref>
        </x14:conditionalFormatting>
        <x14:conditionalFormatting xmlns:xm="http://schemas.microsoft.com/office/excel/2006/main">
          <x14:cfRule type="iconSet" priority="93" id="{64E74F06-B1EF-4386-A710-25B249832920}">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W134:Z136</xm:sqref>
        </x14:conditionalFormatting>
        <x14:conditionalFormatting xmlns:xm="http://schemas.microsoft.com/office/excel/2006/main">
          <x14:cfRule type="iconSet" priority="66" id="{89336701-2BBB-4377-B152-1FB0F694A892}">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W137:Z137 U139:Z139 U140:V140</xm:sqref>
        </x14:conditionalFormatting>
        <x14:conditionalFormatting xmlns:xm="http://schemas.microsoft.com/office/excel/2006/main">
          <x14:cfRule type="iconSet" priority="61" id="{E8A04C95-6E68-48C7-B979-5C65FA978335}">
            <x14:iconSet iconSet="3Symbols" showValue="0" custom="1">
              <x14:cfvo type="percent">
                <xm:f>0</xm:f>
              </x14:cfvo>
              <x14:cfvo type="num">
                <xm:f>0</xm:f>
              </x14:cfvo>
              <x14:cfvo type="num">
                <xm:f>1</xm:f>
              </x14:cfvo>
              <x14:cfIcon iconSet="3Symbols" iconId="0"/>
              <x14:cfIcon iconSet="3Symbols" iconId="0"/>
              <x14:cfIcon iconSet="3Symbols" iconId="2"/>
            </x14:iconSet>
          </x14:cfRule>
          <xm:sqref>W158:Z158 U159:W159 Y159:Z159 U160:X161 Z160:Z161</xm:sqref>
        </x14:conditionalFormatting>
        <x14:conditionalFormatting xmlns:xm="http://schemas.microsoft.com/office/excel/2006/main">
          <x14:cfRule type="iconSet" priority="60" id="{AA48125E-AD43-437A-9284-30718FE7A0BD}">
            <x14:iconSet iconSet="3Symbols" showValue="0" custom="1">
              <x14:cfvo type="percent">
                <xm:f>0</xm:f>
              </x14:cfvo>
              <x14:cfvo type="num">
                <xm:f>0</xm:f>
              </x14:cfvo>
              <x14:cfvo type="num">
                <xm:f>1</xm:f>
              </x14:cfvo>
              <x14:cfIcon iconSet="3Symbols" iconId="0"/>
              <x14:cfIcon iconSet="3Symbols" iconId="0"/>
              <x14:cfIcon iconSet="3Symbols" iconId="2"/>
            </x14:iconSet>
          </x14:cfRule>
          <xm:sqref>W162:Z162 U163:Y163</xm:sqref>
        </x14:conditionalFormatting>
        <x14:conditionalFormatting xmlns:xm="http://schemas.microsoft.com/office/excel/2006/main">
          <x14:cfRule type="iconSet" priority="15" id="{701464AD-9A3D-48DA-A595-26F5CAA8E03F}">
            <x14:iconSet iconSet="3Symbols" showValue="0" custom="1">
              <x14:cfvo type="percent">
                <xm:f>0</xm:f>
              </x14:cfvo>
              <x14:cfvo type="num">
                <xm:f>0</xm:f>
              </x14:cfvo>
              <x14:cfvo type="num">
                <xm:f>1</xm:f>
              </x14:cfvo>
              <x14:cfIcon iconSet="3Symbols" iconId="0"/>
              <x14:cfIcon iconSet="3Symbols" iconId="0"/>
              <x14:cfIcon iconSet="3Symbols" iconId="2"/>
            </x14:iconSet>
          </x14:cfRule>
          <xm:sqref>X57:X66 X76:X77 X86:X87 X90:X93 X99 X141:X145 X153</xm:sqref>
        </x14:conditionalFormatting>
        <x14:conditionalFormatting xmlns:xm="http://schemas.microsoft.com/office/excel/2006/main">
          <x14:cfRule type="iconSet" priority="37" id="{9A0BD446-5EF4-419F-A4E0-1F203FE5D133}">
            <x14:iconSet iconSet="3Symbols" showValue="0" custom="1">
              <x14:cfvo type="percent">
                <xm:f>0</xm:f>
              </x14:cfvo>
              <x14:cfvo type="num">
                <xm:f>0</xm:f>
              </x14:cfvo>
              <x14:cfvo type="num">
                <xm:f>1</xm:f>
              </x14:cfvo>
              <x14:cfIcon iconSet="3Symbols" iconId="0"/>
              <x14:cfIcon iconSet="3Symbols" iconId="0"/>
              <x14:cfIcon iconSet="3Symbols" iconId="2"/>
            </x14:iconSet>
          </x14:cfRule>
          <xm:sqref>X146</xm:sqref>
        </x14:conditionalFormatting>
        <x14:conditionalFormatting xmlns:xm="http://schemas.microsoft.com/office/excel/2006/main">
          <x14:cfRule type="iconSet" priority="20" id="{569DB4F9-229B-4C17-8429-D3DCDA09A322}">
            <x14:iconSet iconSet="3Symbols" showValue="0" custom="1">
              <x14:cfvo type="percent">
                <xm:f>0</xm:f>
              </x14:cfvo>
              <x14:cfvo type="num">
                <xm:f>0</xm:f>
              </x14:cfvo>
              <x14:cfvo type="num">
                <xm:f>1</xm:f>
              </x14:cfvo>
              <x14:cfIcon iconSet="3Symbols" iconId="0"/>
              <x14:cfIcon iconSet="3Symbols" iconId="0"/>
              <x14:cfIcon iconSet="3Symbols" iconId="2"/>
            </x14:iconSet>
          </x14:cfRule>
          <xm:sqref>X159</xm:sqref>
        </x14:conditionalFormatting>
        <x14:conditionalFormatting xmlns:xm="http://schemas.microsoft.com/office/excel/2006/main">
          <x14:cfRule type="iconSet" priority="11" id="{C891E6A6-1081-4321-A851-807F29DD843A}">
            <x14:iconSet iconSet="3Symbols" showValue="0" custom="1">
              <x14:cfvo type="percent">
                <xm:f>0</xm:f>
              </x14:cfvo>
              <x14:cfvo type="num">
                <xm:f>0</xm:f>
              </x14:cfvo>
              <x14:cfvo type="num">
                <xm:f>1</xm:f>
              </x14:cfvo>
              <x14:cfIcon iconSet="3Symbols" iconId="0"/>
              <x14:cfIcon iconSet="3Symbols" iconId="0"/>
              <x14:cfIcon iconSet="3Symbols" iconId="2"/>
            </x14:iconSet>
          </x14:cfRule>
          <xm:sqref>X178:Y178</xm:sqref>
        </x14:conditionalFormatting>
        <x14:conditionalFormatting xmlns:xm="http://schemas.microsoft.com/office/excel/2006/main">
          <x14:cfRule type="iconSet" priority="65" id="{04E38187-CB7C-4572-882B-41C694D4A4B1}">
            <x14:iconSet iconSet="3Symbols" showValue="0" custom="1">
              <x14:cfvo type="percent">
                <xm:f>0</xm:f>
              </x14:cfvo>
              <x14:cfvo type="num">
                <xm:f>0</xm:f>
              </x14:cfvo>
              <x14:cfvo type="num">
                <xm:f>1</xm:f>
              </x14:cfvo>
              <x14:cfIcon iconSet="3Symbols" iconId="0"/>
              <x14:cfIcon iconSet="3Symbols" iconId="0"/>
              <x14:cfIcon iconSet="3Symbols" iconId="2"/>
            </x14:iconSet>
          </x14:cfRule>
          <xm:sqref>X140:Z140 U141:W144 Y141:Z144</xm:sqref>
        </x14:conditionalFormatting>
        <x14:conditionalFormatting xmlns:xm="http://schemas.microsoft.com/office/excel/2006/main">
          <x14:cfRule type="iconSet" priority="13" id="{5EC41EEB-DEBE-4D82-8EFE-CA029AE9449C}">
            <x14:iconSet iconSet="3Symbols" showValue="0" custom="1">
              <x14:cfvo type="percent">
                <xm:f>0</xm:f>
              </x14:cfvo>
              <x14:cfvo type="num">
                <xm:f>0</xm:f>
              </x14:cfvo>
              <x14:cfvo type="num">
                <xm:f>1</xm:f>
              </x14:cfvo>
              <x14:cfIcon iconSet="3Symbols" iconId="0"/>
              <x14:cfIcon iconSet="3Symbols" iconId="0"/>
              <x14:cfIcon iconSet="3Symbols" iconId="2"/>
            </x14:iconSet>
          </x14:cfRule>
          <xm:sqref>Y91 Y94 Y160:Y161</xm:sqref>
        </x14:conditionalFormatting>
        <x14:conditionalFormatting xmlns:xm="http://schemas.microsoft.com/office/excel/2006/main">
          <x14:cfRule type="iconSet" priority="14" id="{2FE0E113-7830-45BF-BD0C-B1705838F4D6}">
            <x14:iconSet iconSet="3Symbols" showValue="0" custom="1">
              <x14:cfvo type="percent">
                <xm:f>0</xm:f>
              </x14:cfvo>
              <x14:cfvo type="num">
                <xm:f>0</xm:f>
              </x14:cfvo>
              <x14:cfvo type="num">
                <xm:f>1</xm:f>
              </x14:cfvo>
              <x14:cfIcon iconSet="3Symbols" iconId="0"/>
              <x14:cfIcon iconSet="3Symbols" iconId="0"/>
              <x14:cfIcon iconSet="3Symbols" iconId="2"/>
            </x14:iconSet>
          </x14:cfRule>
          <xm:sqref>Y104:Y105</xm:sqref>
        </x14:conditionalFormatting>
        <x14:conditionalFormatting xmlns:xm="http://schemas.microsoft.com/office/excel/2006/main">
          <x14:cfRule type="iconSet" priority="91" id="{5F96ED8D-F8E9-4283-B66D-55926843FBDF}">
            <x14:iconSet iconSet="3Symbols" showValue="0" custom="1">
              <x14:cfvo type="percent">
                <xm:f>0</xm:f>
              </x14:cfvo>
              <x14:cfvo type="num">
                <xm:f>0</xm:f>
              </x14:cfvo>
              <x14:cfvo type="num">
                <xm:f>1</xm:f>
              </x14:cfvo>
              <x14:cfIcon iconSet="3Symbols" iconId="0"/>
              <x14:cfIcon iconSet="3Symbols" iconId="0"/>
              <x14:cfIcon iconSet="3Symbols" iconId="2"/>
            </x14:iconSet>
          </x14:cfRule>
          <xm:sqref>Y58:Z65 W58:W65</xm:sqref>
        </x14:conditionalFormatting>
        <x14:conditionalFormatting xmlns:xm="http://schemas.microsoft.com/office/excel/2006/main">
          <x14:cfRule type="iconSet" priority="17" id="{8CE39010-FC34-4A69-B9A0-802B2245C684}">
            <x14:iconSet iconSet="3Symbols" showValue="0" custom="1">
              <x14:cfvo type="percent">
                <xm:f>0</xm:f>
              </x14:cfvo>
              <x14:cfvo type="num">
                <xm:f>0</xm:f>
              </x14:cfvo>
              <x14:cfvo type="num">
                <xm:f>1</xm:f>
              </x14:cfvo>
              <x14:cfIcon iconSet="3Symbols" iconId="0"/>
              <x14:cfIcon iconSet="3Symbols" iconId="0"/>
              <x14:cfIcon iconSet="3Symbols" iconId="2"/>
            </x14:iconSet>
          </x14:cfRule>
          <xm:sqref>Z125 Z163</xm:sqref>
        </x14:conditionalFormatting>
        <x14:conditionalFormatting xmlns:xm="http://schemas.microsoft.com/office/excel/2006/main">
          <x14:cfRule type="iconSet" priority="6" id="{103E7965-6AB5-406C-8E3F-6D3DE877BDEA}">
            <x14:iconSet iconSet="3Symbols" showValue="0" custom="1">
              <x14:cfvo type="percent">
                <xm:f>0</xm:f>
              </x14:cfvo>
              <x14:cfvo type="num">
                <xm:f>0</xm:f>
              </x14:cfvo>
              <x14:cfvo type="num">
                <xm:f>1</xm:f>
              </x14:cfvo>
              <x14:cfIcon iconSet="3Symbols" iconId="0"/>
              <x14:cfIcon iconSet="3Symbols" iconId="0"/>
              <x14:cfIcon iconSet="3Symbols" iconId="2"/>
            </x14:iconSet>
          </x14:cfRule>
          <xm:sqref>Z178</xm:sqref>
        </x14:conditionalFormatting>
        <x14:conditionalFormatting xmlns:xm="http://schemas.microsoft.com/office/excel/2006/main">
          <x14:cfRule type="iconSet" priority="51" id="{96595620-C512-4371-A761-97D9CA9D630F}">
            <x14:iconSet iconSet="3Symbols" showValue="0" custom="1">
              <x14:cfvo type="percent">
                <xm:f>0</xm:f>
              </x14:cfvo>
              <x14:cfvo type="num">
                <xm:f>0</xm:f>
              </x14:cfvo>
              <x14:cfvo type="num">
                <xm:f>1</xm:f>
              </x14:cfvo>
              <x14:cfIcon iconSet="3Symbols" iconId="0"/>
              <x14:cfIcon iconSet="3Symbols" iconId="0"/>
              <x14:cfIcon iconSet="3Symbols" iconId="2"/>
            </x14:iconSet>
          </x14:cfRule>
          <xm:sqref>Z138:AA138</xm:sqref>
        </x14:conditionalFormatting>
        <x14:conditionalFormatting xmlns:xm="http://schemas.microsoft.com/office/excel/2006/main">
          <x14:cfRule type="iconSet" priority="47" id="{63809A6D-4CA8-49CB-B956-5BEAA80AA3A9}">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AA120:AB120</xm:sqref>
        </x14:conditionalFormatting>
        <x14:conditionalFormatting xmlns:xm="http://schemas.microsoft.com/office/excel/2006/main">
          <x14:cfRule type="iconSet" priority="49" id="{6EE3DBEB-8235-4E31-9B54-F94829B81828}">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AA130:AB130</xm:sqref>
        </x14:conditionalFormatting>
        <x14:conditionalFormatting xmlns:xm="http://schemas.microsoft.com/office/excel/2006/main">
          <x14:cfRule type="iconSet" priority="53" id="{E1492FEF-D8E6-4A4B-AEF3-74431851D639}">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AA131:AB132 AA121:AB129 AA134:AB137 AA4:AB56 AA58:AB119 AA139:AB177</xm:sqref>
        </x14:conditionalFormatting>
        <x14:conditionalFormatting xmlns:xm="http://schemas.microsoft.com/office/excel/2006/main">
          <x14:cfRule type="iconSet" priority="45" id="{3F9BBB52-11DE-4C7F-ABC7-92C06B88A596}">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AA133:AB133</xm:sqref>
        </x14:conditionalFormatting>
        <x14:conditionalFormatting xmlns:xm="http://schemas.microsoft.com/office/excel/2006/main">
          <x14:cfRule type="iconSet" priority="5" id="{DF227D59-656C-49C7-BC27-86D74FEACAA6}">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AA178:AB178</xm:sqref>
        </x14:conditionalFormatting>
        <x14:conditionalFormatting xmlns:xm="http://schemas.microsoft.com/office/excel/2006/main">
          <x14:cfRule type="iconSet" priority="95" id="{270C12FC-55A5-4557-BBAC-B946A66E12E8}">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AA181:AB202</xm:sqref>
        </x14:conditionalFormatting>
        <x14:conditionalFormatting xmlns:xm="http://schemas.microsoft.com/office/excel/2006/main">
          <x14:cfRule type="iconSet" priority="4" id="{BC280418-3314-4C67-ADA2-44DA729615CC}">
            <x14:iconSet iconSet="3Symbols" showValue="0" custom="1">
              <x14:cfvo type="percent">
                <xm:f>0</xm:f>
              </x14:cfvo>
              <x14:cfvo type="num">
                <xm:f>0</xm:f>
              </x14:cfvo>
              <x14:cfvo type="num">
                <xm:f>1</xm:f>
              </x14:cfvo>
              <x14:cfIcon iconSet="3Symbols" iconId="0"/>
              <x14:cfIcon iconSet="3Symbols" iconId="0"/>
              <x14:cfIcon iconSet="3Symbols" iconId="2"/>
            </x14:iconSet>
          </x14:cfRule>
          <xm:sqref>AA203:AB203</xm:sqref>
        </x14:conditionalFormatting>
        <x14:conditionalFormatting xmlns:xm="http://schemas.microsoft.com/office/excel/2006/main">
          <x14:cfRule type="iconSet" priority="52" id="{62D385A1-2E7C-4EB1-984E-324166954EC7}">
            <x14:iconSet iconSet="3Symbols" showValue="0" custom="1">
              <x14:cfvo type="percent">
                <xm:f>0</xm:f>
              </x14:cfvo>
              <x14:cfvo type="num">
                <xm:f>0</xm:f>
              </x14:cfvo>
              <x14:cfvo type="num">
                <xm:f>1</xm:f>
              </x14:cfvo>
              <x14:cfIcon iconSet="3Symbols" iconId="0"/>
              <x14:cfIcon iconSet="3Symbols" iconId="0"/>
              <x14:cfIcon iconSet="3Symbols" iconId="2"/>
            </x14:iconSet>
          </x14:cfRule>
          <xm:sqref>AB138 V138:Y138</xm:sqref>
        </x14:conditionalFormatting>
        <x14:conditionalFormatting xmlns:xm="http://schemas.microsoft.com/office/excel/2006/main">
          <x14:cfRule type="iconSet" priority="2" id="{95A20B2A-E098-4CFB-874C-E6FE523C808E}">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U179:Z179</xm:sqref>
        </x14:conditionalFormatting>
        <x14:conditionalFormatting xmlns:xm="http://schemas.microsoft.com/office/excel/2006/main">
          <x14:cfRule type="iconSet" priority="1" id="{45541911-74B2-4B83-9057-C5C75B03C32B}">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AA179:AB179</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577A52-4508-4EF4-A7B6-4C7E7FD95E30}">
  <dimension ref="A1:AC1001"/>
  <sheetViews>
    <sheetView tabSelected="1" topLeftCell="P177" workbookViewId="0">
      <selection activeCell="R189" sqref="R189"/>
    </sheetView>
  </sheetViews>
  <sheetFormatPr baseColWidth="10" defaultColWidth="14.453125" defaultRowHeight="14.5"/>
  <cols>
    <col min="1" max="1" width="2.26953125" customWidth="1"/>
    <col min="2" max="2" width="3.81640625" bestFit="1" customWidth="1"/>
    <col min="3" max="3" width="10.26953125" customWidth="1"/>
    <col min="4" max="4" width="14.7265625" customWidth="1"/>
    <col min="5" max="5" width="10.26953125" customWidth="1"/>
    <col min="6" max="6" width="24.7265625" customWidth="1"/>
    <col min="7" max="7" width="10.26953125" customWidth="1"/>
    <col min="8" max="8" width="35.26953125" customWidth="1"/>
    <col min="9" max="9" width="29" customWidth="1"/>
    <col min="10" max="10" width="29.7265625" customWidth="1"/>
    <col min="11" max="11" width="37.54296875" hidden="1" customWidth="1"/>
    <col min="12" max="12" width="34.26953125" hidden="1" customWidth="1"/>
    <col min="13" max="13" width="6.7265625" customWidth="1"/>
    <col min="14" max="14" width="14.26953125" customWidth="1"/>
    <col min="15" max="15" width="16" customWidth="1"/>
    <col min="16" max="16" width="48" customWidth="1"/>
    <col min="17" max="17" width="54.26953125" customWidth="1"/>
    <col min="18" max="18" width="153.36328125" customWidth="1"/>
    <col min="19" max="19" width="15.54296875" customWidth="1"/>
    <col min="20" max="20" width="20.7265625" customWidth="1"/>
    <col min="21" max="21" width="15.26953125" customWidth="1"/>
    <col min="22" max="22" width="17.26953125" customWidth="1"/>
    <col min="23" max="23" width="12.26953125" customWidth="1"/>
    <col min="25" max="25" width="12.54296875" customWidth="1"/>
    <col min="26" max="26" width="13.7265625" customWidth="1"/>
    <col min="27" max="28" width="12.7265625" customWidth="1"/>
    <col min="29" max="29" width="20" customWidth="1"/>
  </cols>
  <sheetData>
    <row r="1" spans="1:29" ht="14.25" customHeight="1">
      <c r="A1" s="120"/>
      <c r="B1" s="120"/>
      <c r="C1" s="120"/>
      <c r="D1" s="121"/>
      <c r="E1" s="121"/>
      <c r="F1" s="120"/>
      <c r="G1" s="120"/>
      <c r="H1" s="121"/>
      <c r="I1" s="121"/>
      <c r="J1" s="121"/>
      <c r="K1" s="120"/>
      <c r="L1" s="120"/>
      <c r="M1" s="122"/>
      <c r="N1" s="121"/>
      <c r="O1" s="121"/>
      <c r="P1" s="121"/>
      <c r="Q1" s="121"/>
      <c r="R1" s="120"/>
      <c r="S1" s="120"/>
      <c r="T1" s="120"/>
      <c r="U1" s="120"/>
      <c r="V1" s="120"/>
      <c r="W1" s="120"/>
      <c r="X1" s="120"/>
      <c r="Y1" s="120"/>
      <c r="Z1" s="120"/>
      <c r="AA1" s="120"/>
      <c r="AB1" s="120"/>
      <c r="AC1" s="120"/>
    </row>
    <row r="2" spans="1:29" ht="39.75" customHeight="1">
      <c r="A2" s="120"/>
      <c r="B2" s="120"/>
      <c r="C2" s="123" t="s">
        <v>2706</v>
      </c>
      <c r="D2" s="124"/>
      <c r="E2" s="124"/>
      <c r="F2" s="124"/>
      <c r="G2" s="124"/>
      <c r="H2" s="124"/>
      <c r="I2" s="124"/>
      <c r="J2" s="124"/>
      <c r="K2" s="125"/>
      <c r="L2" s="126" t="s">
        <v>1</v>
      </c>
      <c r="M2" s="121"/>
      <c r="N2" s="121"/>
      <c r="O2" s="121"/>
      <c r="P2" s="127" t="s">
        <v>2707</v>
      </c>
      <c r="Q2" s="128"/>
      <c r="R2" s="129" t="s">
        <v>2708</v>
      </c>
      <c r="S2" s="128"/>
      <c r="T2" s="121"/>
      <c r="U2" s="130" t="s">
        <v>2709</v>
      </c>
      <c r="V2" s="131"/>
      <c r="W2" s="131"/>
      <c r="X2" s="131"/>
      <c r="Y2" s="131"/>
      <c r="Z2" s="128"/>
      <c r="AA2" s="132" t="s">
        <v>2710</v>
      </c>
      <c r="AB2" s="128"/>
      <c r="AC2" s="120"/>
    </row>
    <row r="3" spans="1:29" ht="39.75" customHeight="1">
      <c r="A3" s="121"/>
      <c r="B3" s="121"/>
      <c r="C3" s="133" t="s">
        <v>2711</v>
      </c>
      <c r="D3" s="133" t="s">
        <v>1387</v>
      </c>
      <c r="E3" s="133" t="s">
        <v>2712</v>
      </c>
      <c r="F3" s="133" t="s">
        <v>1389</v>
      </c>
      <c r="G3" s="133" t="s">
        <v>2713</v>
      </c>
      <c r="H3" s="133" t="s">
        <v>1391</v>
      </c>
      <c r="I3" s="133" t="s">
        <v>2714</v>
      </c>
      <c r="J3" s="133" t="s">
        <v>2715</v>
      </c>
      <c r="K3" s="134" t="s">
        <v>14</v>
      </c>
      <c r="L3" s="126"/>
      <c r="M3" s="135" t="s">
        <v>2716</v>
      </c>
      <c r="N3" s="136" t="s">
        <v>2717</v>
      </c>
      <c r="O3" s="136" t="s">
        <v>2718</v>
      </c>
      <c r="P3" s="137" t="s">
        <v>2719</v>
      </c>
      <c r="Q3" s="137" t="s">
        <v>2720</v>
      </c>
      <c r="R3" s="138" t="s">
        <v>2721</v>
      </c>
      <c r="S3" s="138" t="s">
        <v>2722</v>
      </c>
      <c r="T3" s="139" t="s">
        <v>2723</v>
      </c>
      <c r="U3" s="140" t="s">
        <v>2724</v>
      </c>
      <c r="V3" s="141" t="s">
        <v>2725</v>
      </c>
      <c r="W3" s="142" t="s">
        <v>2726</v>
      </c>
      <c r="X3" s="143" t="s">
        <v>2727</v>
      </c>
      <c r="Y3" s="144" t="s">
        <v>2728</v>
      </c>
      <c r="Z3" s="145" t="s">
        <v>2729</v>
      </c>
      <c r="AA3" s="146" t="s">
        <v>1402</v>
      </c>
      <c r="AB3" s="147" t="s">
        <v>30</v>
      </c>
      <c r="AC3" s="121" t="s">
        <v>31</v>
      </c>
    </row>
    <row r="4" spans="1:29" ht="39.75" customHeight="1">
      <c r="A4" s="148"/>
      <c r="B4" s="148">
        <v>1</v>
      </c>
      <c r="C4" s="149">
        <f>VLOOKUP(D4,'[5]Codes &amp; Descr. SFICS25'!B:C,2,FALSE)</f>
        <v>21</v>
      </c>
      <c r="D4" s="150" t="s">
        <v>2730</v>
      </c>
      <c r="E4" s="150">
        <f>+VLOOKUP(F4,'[5]Codes &amp; Descr. SFICS25'!D:E,2,FALSE)</f>
        <v>2101</v>
      </c>
      <c r="F4" s="150" t="s">
        <v>2731</v>
      </c>
      <c r="G4" s="150">
        <f>VLOOKUP(H4,'[5]Codes &amp; Descr. SFICS25'!F:H,2,FALSE)</f>
        <v>210101</v>
      </c>
      <c r="H4" s="150" t="s">
        <v>2732</v>
      </c>
      <c r="I4" s="150" t="s">
        <v>2733</v>
      </c>
      <c r="J4" s="150" t="s">
        <v>2734</v>
      </c>
      <c r="K4" s="149" t="s">
        <v>2735</v>
      </c>
      <c r="L4" s="151" t="s">
        <v>37</v>
      </c>
      <c r="M4" s="152" t="s">
        <v>1402</v>
      </c>
      <c r="N4" s="152" t="s">
        <v>2736</v>
      </c>
      <c r="O4" s="152" t="s">
        <v>2737</v>
      </c>
      <c r="P4" s="31" t="s">
        <v>2738</v>
      </c>
      <c r="Q4" s="31" t="s">
        <v>2739</v>
      </c>
      <c r="R4" s="152" t="s">
        <v>2738</v>
      </c>
      <c r="S4" s="152" t="s">
        <v>2738</v>
      </c>
      <c r="T4" s="153" t="s">
        <v>2740</v>
      </c>
      <c r="U4" s="154" t="s">
        <v>2741</v>
      </c>
      <c r="V4" s="154" t="s">
        <v>2741</v>
      </c>
      <c r="W4" s="34">
        <v>0</v>
      </c>
      <c r="X4" s="34">
        <v>0</v>
      </c>
      <c r="Y4" s="34">
        <v>0</v>
      </c>
      <c r="Z4" s="34">
        <v>0</v>
      </c>
      <c r="AA4" s="34">
        <f>IF(P4="Not applicable",0,1)</f>
        <v>1</v>
      </c>
      <c r="AB4" s="34">
        <v>0</v>
      </c>
      <c r="AC4" s="120"/>
    </row>
    <row r="5" spans="1:29" ht="39.75" customHeight="1">
      <c r="A5" s="148"/>
      <c r="B5" s="148">
        <v>2</v>
      </c>
      <c r="C5" s="149">
        <f>VLOOKUP(D5,'[5]Codes &amp; Descr. SFICS25'!B:C,2,FALSE)</f>
        <v>21</v>
      </c>
      <c r="D5" s="150" t="s">
        <v>2730</v>
      </c>
      <c r="E5" s="150">
        <f>+VLOOKUP(F5,'[5]Codes &amp; Descr. SFICS25'!D:E,2,FALSE)</f>
        <v>2101</v>
      </c>
      <c r="F5" s="150" t="s">
        <v>2731</v>
      </c>
      <c r="G5" s="150">
        <f>VLOOKUP(H5,'[5]Codes &amp; Descr. SFICS25'!F:H,2,FALSE)</f>
        <v>210102</v>
      </c>
      <c r="H5" s="150" t="s">
        <v>2742</v>
      </c>
      <c r="I5" s="150" t="s">
        <v>2743</v>
      </c>
      <c r="J5" s="150" t="s">
        <v>2744</v>
      </c>
      <c r="K5" s="149" t="s">
        <v>2745</v>
      </c>
      <c r="L5" s="151" t="s">
        <v>47</v>
      </c>
      <c r="M5" s="152" t="s">
        <v>1402</v>
      </c>
      <c r="N5" s="152" t="s">
        <v>2746</v>
      </c>
      <c r="O5" s="152" t="s">
        <v>2747</v>
      </c>
      <c r="P5" s="31" t="s">
        <v>2738</v>
      </c>
      <c r="Q5" s="31" t="s">
        <v>2748</v>
      </c>
      <c r="R5" s="152" t="s">
        <v>2738</v>
      </c>
      <c r="S5" s="152" t="s">
        <v>2738</v>
      </c>
      <c r="T5" s="153" t="s">
        <v>2740</v>
      </c>
      <c r="U5" s="154" t="s">
        <v>2741</v>
      </c>
      <c r="V5" s="154" t="s">
        <v>2741</v>
      </c>
      <c r="W5" s="34">
        <v>0</v>
      </c>
      <c r="X5" s="34">
        <v>0</v>
      </c>
      <c r="Y5" s="34">
        <v>0</v>
      </c>
      <c r="Z5" s="34">
        <v>0</v>
      </c>
      <c r="AA5" s="34">
        <f t="shared" ref="AA5:AA68" si="0">IF(P5="Not applicable",0,1)</f>
        <v>1</v>
      </c>
      <c r="AB5" s="34">
        <v>0</v>
      </c>
      <c r="AC5" s="120"/>
    </row>
    <row r="6" spans="1:29" ht="39.75" customHeight="1">
      <c r="A6" s="148"/>
      <c r="B6" s="148">
        <v>3</v>
      </c>
      <c r="C6" s="149">
        <f>VLOOKUP(D6,'[5]Codes &amp; Descr. SFICS25'!B:C,2,FALSE)</f>
        <v>21</v>
      </c>
      <c r="D6" s="150" t="s">
        <v>2730</v>
      </c>
      <c r="E6" s="150">
        <f>+VLOOKUP(F6,'[5]Codes &amp; Descr. SFICS25'!D:E,2,FALSE)</f>
        <v>2101</v>
      </c>
      <c r="F6" s="150" t="s">
        <v>2731</v>
      </c>
      <c r="G6" s="150">
        <f>VLOOKUP(H6,'[5]Codes &amp; Descr. SFICS25'!F:H,2,FALSE)</f>
        <v>210103</v>
      </c>
      <c r="H6" s="150" t="s">
        <v>2749</v>
      </c>
      <c r="I6" s="150" t="s">
        <v>2750</v>
      </c>
      <c r="J6" s="150" t="s">
        <v>2751</v>
      </c>
      <c r="K6" s="155" t="s">
        <v>2752</v>
      </c>
      <c r="L6" s="151" t="s">
        <v>54</v>
      </c>
      <c r="M6" s="152" t="s">
        <v>1402</v>
      </c>
      <c r="N6" s="152" t="s">
        <v>2753</v>
      </c>
      <c r="O6" s="152" t="s">
        <v>2754</v>
      </c>
      <c r="P6" s="31" t="s">
        <v>2738</v>
      </c>
      <c r="Q6" s="31" t="s">
        <v>2755</v>
      </c>
      <c r="R6" s="152" t="s">
        <v>2738</v>
      </c>
      <c r="S6" s="152" t="s">
        <v>2738</v>
      </c>
      <c r="T6" s="153" t="s">
        <v>2740</v>
      </c>
      <c r="U6" s="154" t="s">
        <v>2741</v>
      </c>
      <c r="V6" s="154" t="s">
        <v>2741</v>
      </c>
      <c r="W6" s="34">
        <v>0</v>
      </c>
      <c r="X6" s="34">
        <v>0</v>
      </c>
      <c r="Y6" s="34">
        <v>0</v>
      </c>
      <c r="Z6" s="34">
        <v>0</v>
      </c>
      <c r="AA6" s="34">
        <f t="shared" si="0"/>
        <v>1</v>
      </c>
      <c r="AB6" s="34">
        <v>0</v>
      </c>
      <c r="AC6" s="120"/>
    </row>
    <row r="7" spans="1:29" ht="39.75" customHeight="1">
      <c r="A7" s="148"/>
      <c r="B7" s="148">
        <v>4</v>
      </c>
      <c r="C7" s="149">
        <f>VLOOKUP(D7,'[5]Codes &amp; Descr. SFICS25'!B:C,2,FALSE)</f>
        <v>21</v>
      </c>
      <c r="D7" s="150" t="s">
        <v>2730</v>
      </c>
      <c r="E7" s="150">
        <f>+VLOOKUP(F7,'[5]Codes &amp; Descr. SFICS25'!D:E,2,FALSE)</f>
        <v>2101</v>
      </c>
      <c r="F7" s="150" t="s">
        <v>2731</v>
      </c>
      <c r="G7" s="150">
        <f>VLOOKUP(H7,'[5]Codes &amp; Descr. SFICS25'!F:H,2,FALSE)</f>
        <v>210104</v>
      </c>
      <c r="H7" s="150" t="s">
        <v>2756</v>
      </c>
      <c r="I7" s="150" t="s">
        <v>2757</v>
      </c>
      <c r="J7" s="150" t="s">
        <v>2758</v>
      </c>
      <c r="K7" s="155" t="s">
        <v>2759</v>
      </c>
      <c r="L7" s="151" t="s">
        <v>61</v>
      </c>
      <c r="M7" s="152" t="s">
        <v>1402</v>
      </c>
      <c r="N7" s="152" t="s">
        <v>2760</v>
      </c>
      <c r="O7" s="152" t="s">
        <v>2761</v>
      </c>
      <c r="P7" s="31" t="s">
        <v>2738</v>
      </c>
      <c r="Q7" s="31" t="s">
        <v>2762</v>
      </c>
      <c r="R7" s="152" t="s">
        <v>2738</v>
      </c>
      <c r="S7" s="152" t="s">
        <v>2738</v>
      </c>
      <c r="T7" s="153" t="s">
        <v>2740</v>
      </c>
      <c r="U7" s="154" t="s">
        <v>2741</v>
      </c>
      <c r="V7" s="154" t="s">
        <v>2741</v>
      </c>
      <c r="W7" s="34">
        <v>0</v>
      </c>
      <c r="X7" s="34">
        <v>0</v>
      </c>
      <c r="Y7" s="34">
        <v>0</v>
      </c>
      <c r="Z7" s="34">
        <v>0</v>
      </c>
      <c r="AA7" s="34">
        <f t="shared" si="0"/>
        <v>1</v>
      </c>
      <c r="AB7" s="34">
        <v>0</v>
      </c>
      <c r="AC7" s="120"/>
    </row>
    <row r="8" spans="1:29" ht="90.5">
      <c r="A8" s="156"/>
      <c r="B8" s="148">
        <v>5</v>
      </c>
      <c r="C8" s="149">
        <f>VLOOKUP(D8,'[5]Codes &amp; Descr. SFICS25'!B:C,2,FALSE)</f>
        <v>21</v>
      </c>
      <c r="D8" s="150" t="s">
        <v>2730</v>
      </c>
      <c r="E8" s="150">
        <f>+VLOOKUP(F8,'[5]Codes &amp; Descr. SFICS25'!D:E,2,FALSE)</f>
        <v>2101</v>
      </c>
      <c r="F8" s="150" t="s">
        <v>2731</v>
      </c>
      <c r="G8" s="150">
        <f>VLOOKUP(H8,'[5]Codes &amp; Descr. SFICS25'!F:H,2,FALSE)</f>
        <v>210105</v>
      </c>
      <c r="H8" s="150" t="s">
        <v>2763</v>
      </c>
      <c r="I8" s="150" t="s">
        <v>2764</v>
      </c>
      <c r="J8" s="150" t="s">
        <v>2765</v>
      </c>
      <c r="K8" s="149" t="s">
        <v>2766</v>
      </c>
      <c r="L8" s="151" t="s">
        <v>68</v>
      </c>
      <c r="M8" s="152" t="s">
        <v>1402</v>
      </c>
      <c r="N8" s="152" t="s">
        <v>2767</v>
      </c>
      <c r="O8" s="152" t="s">
        <v>2768</v>
      </c>
      <c r="P8" s="193" t="s">
        <v>2769</v>
      </c>
      <c r="Q8" s="193" t="s">
        <v>4033</v>
      </c>
      <c r="R8" s="152" t="s">
        <v>2738</v>
      </c>
      <c r="S8" s="152" t="s">
        <v>2738</v>
      </c>
      <c r="T8" s="153" t="s">
        <v>2740</v>
      </c>
      <c r="U8" s="154" t="s">
        <v>2741</v>
      </c>
      <c r="V8" s="154" t="s">
        <v>2741</v>
      </c>
      <c r="W8" s="34">
        <v>0</v>
      </c>
      <c r="X8" s="34">
        <v>0</v>
      </c>
      <c r="Y8" s="34">
        <v>0</v>
      </c>
      <c r="Z8" s="34">
        <v>0</v>
      </c>
      <c r="AA8" s="34">
        <f t="shared" si="0"/>
        <v>1</v>
      </c>
      <c r="AB8" s="34">
        <v>0</v>
      </c>
      <c r="AC8" s="120"/>
    </row>
    <row r="9" spans="1:29" ht="39.75" customHeight="1">
      <c r="A9" s="148"/>
      <c r="B9" s="148">
        <v>6</v>
      </c>
      <c r="C9" s="149">
        <f>VLOOKUP(D9,'[5]Codes &amp; Descr. SFICS25'!B:C,2,FALSE)</f>
        <v>21</v>
      </c>
      <c r="D9" s="150" t="s">
        <v>2730</v>
      </c>
      <c r="E9" s="150">
        <f>+VLOOKUP(F9,'[5]Codes &amp; Descr. SFICS25'!D:E,2,FALSE)</f>
        <v>2101</v>
      </c>
      <c r="F9" s="150" t="s">
        <v>2731</v>
      </c>
      <c r="G9" s="150">
        <f>VLOOKUP(H9,'[5]Codes &amp; Descr. SFICS25'!F:H,2,FALSE)</f>
        <v>210106</v>
      </c>
      <c r="H9" s="150" t="s">
        <v>2770</v>
      </c>
      <c r="I9" s="150" t="s">
        <v>2771</v>
      </c>
      <c r="J9" s="150" t="s">
        <v>2772</v>
      </c>
      <c r="K9" s="149" t="s">
        <v>2773</v>
      </c>
      <c r="L9" s="151" t="s">
        <v>76</v>
      </c>
      <c r="M9" s="152" t="s">
        <v>1402</v>
      </c>
      <c r="N9" s="152" t="s">
        <v>2774</v>
      </c>
      <c r="O9" s="152" t="s">
        <v>2775</v>
      </c>
      <c r="P9" s="31" t="s">
        <v>2776</v>
      </c>
      <c r="Q9" s="31" t="s">
        <v>2777</v>
      </c>
      <c r="R9" s="152" t="s">
        <v>2738</v>
      </c>
      <c r="S9" s="152" t="s">
        <v>2738</v>
      </c>
      <c r="T9" s="153" t="s">
        <v>2740</v>
      </c>
      <c r="U9" s="154" t="s">
        <v>2741</v>
      </c>
      <c r="V9" s="154" t="s">
        <v>2741</v>
      </c>
      <c r="W9" s="34">
        <v>0</v>
      </c>
      <c r="X9" s="34">
        <v>0</v>
      </c>
      <c r="Y9" s="34">
        <v>0</v>
      </c>
      <c r="Z9" s="34">
        <v>0</v>
      </c>
      <c r="AA9" s="34">
        <f t="shared" si="0"/>
        <v>1</v>
      </c>
      <c r="AB9" s="34">
        <v>0</v>
      </c>
      <c r="AC9" s="120"/>
    </row>
    <row r="10" spans="1:29" ht="39.75" customHeight="1">
      <c r="A10" s="148"/>
      <c r="B10" s="148">
        <v>7</v>
      </c>
      <c r="C10" s="149">
        <f>VLOOKUP(D10,'[5]Codes &amp; Descr. SFICS25'!B:C,2,FALSE)</f>
        <v>21</v>
      </c>
      <c r="D10" s="150" t="s">
        <v>2730</v>
      </c>
      <c r="E10" s="150">
        <f>+VLOOKUP(F10,'[5]Codes &amp; Descr. SFICS25'!D:E,2,FALSE)</f>
        <v>2101</v>
      </c>
      <c r="F10" s="150" t="s">
        <v>2731</v>
      </c>
      <c r="G10" s="150">
        <f>VLOOKUP(H10,'[5]Codes &amp; Descr. SFICS25'!F:H,2,FALSE)</f>
        <v>210107</v>
      </c>
      <c r="H10" s="150" t="s">
        <v>2778</v>
      </c>
      <c r="I10" s="150" t="s">
        <v>2779</v>
      </c>
      <c r="J10" s="150" t="s">
        <v>2780</v>
      </c>
      <c r="K10" s="157" t="s">
        <v>2781</v>
      </c>
      <c r="L10" s="151" t="s">
        <v>84</v>
      </c>
      <c r="M10" s="152" t="s">
        <v>1402</v>
      </c>
      <c r="N10" s="152" t="s">
        <v>2782</v>
      </c>
      <c r="O10" s="152" t="s">
        <v>2783</v>
      </c>
      <c r="P10" s="31" t="s">
        <v>2738</v>
      </c>
      <c r="Q10" s="31" t="s">
        <v>2784</v>
      </c>
      <c r="R10" s="152" t="s">
        <v>2738</v>
      </c>
      <c r="S10" s="152" t="s">
        <v>2738</v>
      </c>
      <c r="T10" s="153" t="s">
        <v>2740</v>
      </c>
      <c r="U10" s="154" t="s">
        <v>2741</v>
      </c>
      <c r="V10" s="154" t="s">
        <v>2741</v>
      </c>
      <c r="W10" s="34">
        <v>0</v>
      </c>
      <c r="X10" s="34">
        <v>0</v>
      </c>
      <c r="Y10" s="34">
        <v>0</v>
      </c>
      <c r="Z10" s="34">
        <v>0</v>
      </c>
      <c r="AA10" s="34">
        <f t="shared" si="0"/>
        <v>1</v>
      </c>
      <c r="AB10" s="34">
        <v>0</v>
      </c>
      <c r="AC10" s="120"/>
    </row>
    <row r="11" spans="1:29" ht="39.75" customHeight="1">
      <c r="A11" s="148"/>
      <c r="B11" s="148">
        <v>8</v>
      </c>
      <c r="C11" s="149">
        <f>VLOOKUP(D11,'[5]Codes &amp; Descr. SFICS25'!B:C,2,FALSE)</f>
        <v>21</v>
      </c>
      <c r="D11" s="150" t="s">
        <v>2730</v>
      </c>
      <c r="E11" s="150">
        <f>+VLOOKUP(F11,'[5]Codes &amp; Descr. SFICS25'!D:E,2,FALSE)</f>
        <v>2101</v>
      </c>
      <c r="F11" s="150" t="s">
        <v>2731</v>
      </c>
      <c r="G11" s="150">
        <f>VLOOKUP(H11,'[5]Codes &amp; Descr. SFICS25'!F:H,2,FALSE)</f>
        <v>210108</v>
      </c>
      <c r="H11" s="150" t="s">
        <v>2785</v>
      </c>
      <c r="I11" s="150" t="s">
        <v>2786</v>
      </c>
      <c r="J11" s="150" t="s">
        <v>2787</v>
      </c>
      <c r="K11" s="158" t="s">
        <v>2788</v>
      </c>
      <c r="L11" s="151" t="s">
        <v>92</v>
      </c>
      <c r="M11" s="152" t="s">
        <v>1402</v>
      </c>
      <c r="N11" s="152" t="s">
        <v>2789</v>
      </c>
      <c r="O11" s="152" t="s">
        <v>2790</v>
      </c>
      <c r="P11" s="31" t="s">
        <v>2791</v>
      </c>
      <c r="Q11" s="31" t="s">
        <v>2792</v>
      </c>
      <c r="R11" s="152" t="s">
        <v>2738</v>
      </c>
      <c r="S11" s="152" t="s">
        <v>2738</v>
      </c>
      <c r="T11" s="153" t="s">
        <v>2740</v>
      </c>
      <c r="U11" s="154" t="s">
        <v>2741</v>
      </c>
      <c r="V11" s="154" t="s">
        <v>2741</v>
      </c>
      <c r="W11" s="34">
        <v>0</v>
      </c>
      <c r="X11" s="34">
        <v>0</v>
      </c>
      <c r="Y11" s="34">
        <v>0</v>
      </c>
      <c r="Z11" s="34">
        <v>0</v>
      </c>
      <c r="AA11" s="34">
        <f t="shared" si="0"/>
        <v>1</v>
      </c>
      <c r="AB11" s="34">
        <v>0</v>
      </c>
      <c r="AC11" s="120"/>
    </row>
    <row r="12" spans="1:29" ht="39.75" customHeight="1">
      <c r="A12" s="148"/>
      <c r="B12" s="148">
        <v>9</v>
      </c>
      <c r="C12" s="149">
        <f>VLOOKUP(D12,'[5]Codes &amp; Descr. SFICS25'!B:C,2,FALSE)</f>
        <v>21</v>
      </c>
      <c r="D12" s="150" t="s">
        <v>2730</v>
      </c>
      <c r="E12" s="150">
        <f>+VLOOKUP(F12,'[5]Codes &amp; Descr. SFICS25'!D:E,2,FALSE)</f>
        <v>2101</v>
      </c>
      <c r="F12" s="150" t="s">
        <v>2731</v>
      </c>
      <c r="G12" s="150">
        <f>VLOOKUP(H12,'[5]Codes &amp; Descr. SFICS25'!F:H,2,FALSE)</f>
        <v>210109</v>
      </c>
      <c r="H12" s="150" t="s">
        <v>2793</v>
      </c>
      <c r="I12" s="150" t="s">
        <v>2794</v>
      </c>
      <c r="J12" s="150" t="s">
        <v>2795</v>
      </c>
      <c r="K12" s="158" t="s">
        <v>2796</v>
      </c>
      <c r="L12" s="151" t="s">
        <v>100</v>
      </c>
      <c r="M12" s="152" t="s">
        <v>1402</v>
      </c>
      <c r="N12" s="152" t="s">
        <v>2797</v>
      </c>
      <c r="O12" s="152" t="s">
        <v>2798</v>
      </c>
      <c r="P12" s="31" t="s">
        <v>2738</v>
      </c>
      <c r="Q12" s="31" t="s">
        <v>2799</v>
      </c>
      <c r="R12" s="152" t="s">
        <v>2738</v>
      </c>
      <c r="S12" s="152" t="s">
        <v>2738</v>
      </c>
      <c r="T12" s="153" t="s">
        <v>2740</v>
      </c>
      <c r="U12" s="154" t="s">
        <v>2741</v>
      </c>
      <c r="V12" s="154" t="s">
        <v>2741</v>
      </c>
      <c r="W12" s="34">
        <v>0</v>
      </c>
      <c r="X12" s="34">
        <v>0</v>
      </c>
      <c r="Y12" s="34">
        <v>0</v>
      </c>
      <c r="Z12" s="34">
        <v>0</v>
      </c>
      <c r="AA12" s="34">
        <f t="shared" si="0"/>
        <v>1</v>
      </c>
      <c r="AB12" s="34">
        <v>0</v>
      </c>
      <c r="AC12" s="120"/>
    </row>
    <row r="13" spans="1:29" ht="39.75" customHeight="1">
      <c r="A13" s="148"/>
      <c r="B13" s="148">
        <v>10</v>
      </c>
      <c r="C13" s="149">
        <f>VLOOKUP(D13,'[5]Codes &amp; Descr. SFICS25'!B:C,2,FALSE)</f>
        <v>21</v>
      </c>
      <c r="D13" s="150" t="s">
        <v>2730</v>
      </c>
      <c r="E13" s="150">
        <f>+VLOOKUP(F13,'[5]Codes &amp; Descr. SFICS25'!D:E,2,FALSE)</f>
        <v>2101</v>
      </c>
      <c r="F13" s="150" t="s">
        <v>2731</v>
      </c>
      <c r="G13" s="150">
        <f>VLOOKUP(H13,'[5]Codes &amp; Descr. SFICS25'!F:H,2,FALSE)</f>
        <v>210110</v>
      </c>
      <c r="H13" s="150" t="s">
        <v>2800</v>
      </c>
      <c r="I13" s="150" t="s">
        <v>2801</v>
      </c>
      <c r="J13" s="150" t="s">
        <v>2802</v>
      </c>
      <c r="K13" s="149" t="s">
        <v>2803</v>
      </c>
      <c r="L13" s="151" t="s">
        <v>107</v>
      </c>
      <c r="M13" s="152" t="s">
        <v>1402</v>
      </c>
      <c r="N13" s="152" t="s">
        <v>2804</v>
      </c>
      <c r="O13" s="152" t="s">
        <v>2805</v>
      </c>
      <c r="P13" s="31" t="s">
        <v>2806</v>
      </c>
      <c r="Q13" s="31" t="s">
        <v>2807</v>
      </c>
      <c r="R13" s="152" t="s">
        <v>2738</v>
      </c>
      <c r="S13" s="152" t="s">
        <v>2738</v>
      </c>
      <c r="T13" s="153" t="s">
        <v>2740</v>
      </c>
      <c r="U13" s="154" t="s">
        <v>2741</v>
      </c>
      <c r="V13" s="154" t="s">
        <v>2741</v>
      </c>
      <c r="W13" s="34">
        <v>0</v>
      </c>
      <c r="X13" s="34">
        <v>0</v>
      </c>
      <c r="Y13" s="34">
        <v>0</v>
      </c>
      <c r="Z13" s="34">
        <v>0</v>
      </c>
      <c r="AA13" s="34">
        <f t="shared" si="0"/>
        <v>1</v>
      </c>
      <c r="AB13" s="34">
        <v>0</v>
      </c>
      <c r="AC13" s="120"/>
    </row>
    <row r="14" spans="1:29" ht="39.75" customHeight="1">
      <c r="A14" s="148"/>
      <c r="B14" s="148">
        <v>11</v>
      </c>
      <c r="C14" s="149">
        <f>VLOOKUP(D14,'[5]Codes &amp; Descr. SFICS25'!B:C,2,FALSE)</f>
        <v>21</v>
      </c>
      <c r="D14" s="150" t="s">
        <v>2730</v>
      </c>
      <c r="E14" s="150">
        <f>+VLOOKUP(F14,'[5]Codes &amp; Descr. SFICS25'!D:E,2,FALSE)</f>
        <v>2102</v>
      </c>
      <c r="F14" s="150" t="s">
        <v>2808</v>
      </c>
      <c r="G14" s="150">
        <f>VLOOKUP(H14,'[5]Codes &amp; Descr. SFICS25'!F:H,2,FALSE)</f>
        <v>210201</v>
      </c>
      <c r="H14" s="150" t="s">
        <v>2809</v>
      </c>
      <c r="I14" s="150" t="s">
        <v>2810</v>
      </c>
      <c r="J14" s="150" t="s">
        <v>2811</v>
      </c>
      <c r="K14" s="149" t="s">
        <v>2812</v>
      </c>
      <c r="L14" s="151" t="s">
        <v>117</v>
      </c>
      <c r="M14" s="152" t="s">
        <v>1402</v>
      </c>
      <c r="N14" s="152" t="s">
        <v>2813</v>
      </c>
      <c r="O14" s="152" t="s">
        <v>2814</v>
      </c>
      <c r="P14" s="31" t="s">
        <v>2815</v>
      </c>
      <c r="Q14" s="31" t="s">
        <v>2816</v>
      </c>
      <c r="R14" s="152" t="s">
        <v>2738</v>
      </c>
      <c r="S14" s="152" t="s">
        <v>2738</v>
      </c>
      <c r="T14" s="153" t="s">
        <v>2740</v>
      </c>
      <c r="U14" s="154" t="s">
        <v>2741</v>
      </c>
      <c r="V14" s="154" t="s">
        <v>2741</v>
      </c>
      <c r="W14" s="34">
        <v>0</v>
      </c>
      <c r="X14" s="34">
        <v>0</v>
      </c>
      <c r="Y14" s="34">
        <v>0</v>
      </c>
      <c r="Z14" s="34">
        <v>0</v>
      </c>
      <c r="AA14" s="34">
        <f t="shared" si="0"/>
        <v>1</v>
      </c>
      <c r="AB14" s="34">
        <v>0</v>
      </c>
      <c r="AC14" s="120"/>
    </row>
    <row r="15" spans="1:29" ht="73.5" customHeight="1">
      <c r="A15" s="156"/>
      <c r="B15" s="148">
        <v>12</v>
      </c>
      <c r="C15" s="149">
        <f>VLOOKUP(D15,'[5]Codes &amp; Descr. SFICS25'!B:C,2,FALSE)</f>
        <v>21</v>
      </c>
      <c r="D15" s="150" t="s">
        <v>2730</v>
      </c>
      <c r="E15" s="150">
        <f>+VLOOKUP(F15,'[5]Codes &amp; Descr. SFICS25'!D:E,2,FALSE)</f>
        <v>2102</v>
      </c>
      <c r="F15" s="150" t="s">
        <v>2808</v>
      </c>
      <c r="G15" s="150">
        <f>VLOOKUP(H15,'[5]Codes &amp; Descr. SFICS25'!F:H,2,FALSE)</f>
        <v>210202</v>
      </c>
      <c r="H15" s="150" t="s">
        <v>2817</v>
      </c>
      <c r="I15" s="150" t="s">
        <v>2818</v>
      </c>
      <c r="J15" s="150" t="s">
        <v>2819</v>
      </c>
      <c r="K15" s="155" t="s">
        <v>2820</v>
      </c>
      <c r="L15" s="151" t="s">
        <v>125</v>
      </c>
      <c r="M15" s="152" t="s">
        <v>1402</v>
      </c>
      <c r="N15" s="152" t="s">
        <v>2821</v>
      </c>
      <c r="O15" s="152" t="s">
        <v>2822</v>
      </c>
      <c r="P15" s="194" t="s">
        <v>2823</v>
      </c>
      <c r="Q15" s="31" t="s">
        <v>2824</v>
      </c>
      <c r="R15" s="152" t="s">
        <v>2738</v>
      </c>
      <c r="S15" s="152" t="s">
        <v>2738</v>
      </c>
      <c r="T15" s="153" t="s">
        <v>2740</v>
      </c>
      <c r="U15" s="154" t="s">
        <v>2741</v>
      </c>
      <c r="V15" s="154" t="s">
        <v>2741</v>
      </c>
      <c r="W15" s="34">
        <v>0</v>
      </c>
      <c r="X15" s="34">
        <v>0</v>
      </c>
      <c r="Y15" s="34">
        <v>0</v>
      </c>
      <c r="Z15" s="34">
        <v>0</v>
      </c>
      <c r="AA15" s="34">
        <f t="shared" si="0"/>
        <v>1</v>
      </c>
      <c r="AB15" s="34">
        <v>0</v>
      </c>
      <c r="AC15" s="120"/>
    </row>
    <row r="16" spans="1:29" ht="39.75" customHeight="1">
      <c r="A16" s="148"/>
      <c r="B16" s="148">
        <v>13</v>
      </c>
      <c r="C16" s="149">
        <f>VLOOKUP(D16,'[5]Codes &amp; Descr. SFICS25'!B:C,2,FALSE)</f>
        <v>21</v>
      </c>
      <c r="D16" s="150" t="s">
        <v>2730</v>
      </c>
      <c r="E16" s="150">
        <f>+VLOOKUP(F16,'[5]Codes &amp; Descr. SFICS25'!D:E,2,FALSE)</f>
        <v>2102</v>
      </c>
      <c r="F16" s="150" t="s">
        <v>2808</v>
      </c>
      <c r="G16" s="150">
        <f>VLOOKUP(H16,'[5]Codes &amp; Descr. SFICS25'!F:H,2,FALSE)</f>
        <v>210203</v>
      </c>
      <c r="H16" s="150" t="s">
        <v>2825</v>
      </c>
      <c r="I16" s="150" t="s">
        <v>2826</v>
      </c>
      <c r="J16" s="150" t="s">
        <v>2827</v>
      </c>
      <c r="K16" s="158" t="s">
        <v>2828</v>
      </c>
      <c r="L16" s="151" t="s">
        <v>133</v>
      </c>
      <c r="M16" s="152" t="s">
        <v>1402</v>
      </c>
      <c r="N16" s="152" t="s">
        <v>2829</v>
      </c>
      <c r="O16" s="152" t="s">
        <v>2830</v>
      </c>
      <c r="P16" s="31" t="s">
        <v>2831</v>
      </c>
      <c r="Q16" s="31" t="s">
        <v>2832</v>
      </c>
      <c r="R16" s="152" t="s">
        <v>2738</v>
      </c>
      <c r="S16" s="152" t="s">
        <v>2738</v>
      </c>
      <c r="T16" s="153" t="s">
        <v>2740</v>
      </c>
      <c r="U16" s="154" t="s">
        <v>2741</v>
      </c>
      <c r="V16" s="154" t="s">
        <v>2741</v>
      </c>
      <c r="W16" s="34">
        <v>0</v>
      </c>
      <c r="X16" s="34">
        <v>0</v>
      </c>
      <c r="Y16" s="34">
        <v>0</v>
      </c>
      <c r="Z16" s="34">
        <v>0</v>
      </c>
      <c r="AA16" s="34">
        <f t="shared" si="0"/>
        <v>1</v>
      </c>
      <c r="AB16" s="34">
        <v>0</v>
      </c>
      <c r="AC16" s="120"/>
    </row>
    <row r="17" spans="1:29" ht="39.75" customHeight="1">
      <c r="A17" s="148"/>
      <c r="B17" s="148">
        <v>14</v>
      </c>
      <c r="C17" s="149">
        <f>VLOOKUP(D17,'[5]Codes &amp; Descr. SFICS25'!B:C,2,FALSE)</f>
        <v>21</v>
      </c>
      <c r="D17" s="150" t="s">
        <v>2730</v>
      </c>
      <c r="E17" s="150">
        <f>+VLOOKUP(F17,'[5]Codes &amp; Descr. SFICS25'!D:E,2,FALSE)</f>
        <v>2102</v>
      </c>
      <c r="F17" s="150" t="s">
        <v>2808</v>
      </c>
      <c r="G17" s="150">
        <f>VLOOKUP(H17,'[5]Codes &amp; Descr. SFICS25'!F:H,2,FALSE)</f>
        <v>210204</v>
      </c>
      <c r="H17" s="150" t="s">
        <v>2833</v>
      </c>
      <c r="I17" s="150" t="s">
        <v>2834</v>
      </c>
      <c r="J17" s="150" t="s">
        <v>2835</v>
      </c>
      <c r="K17" s="158" t="s">
        <v>2836</v>
      </c>
      <c r="L17" s="151" t="s">
        <v>142</v>
      </c>
      <c r="M17" s="152" t="s">
        <v>1402</v>
      </c>
      <c r="N17" s="152" t="s">
        <v>2837</v>
      </c>
      <c r="O17" s="152" t="s">
        <v>2838</v>
      </c>
      <c r="P17" s="31" t="s">
        <v>2839</v>
      </c>
      <c r="Q17" s="31" t="s">
        <v>2840</v>
      </c>
      <c r="R17" s="152" t="s">
        <v>2738</v>
      </c>
      <c r="S17" s="152" t="s">
        <v>2738</v>
      </c>
      <c r="T17" s="153" t="s">
        <v>2740</v>
      </c>
      <c r="U17" s="154" t="s">
        <v>2741</v>
      </c>
      <c r="V17" s="154" t="s">
        <v>2741</v>
      </c>
      <c r="W17" s="34">
        <v>0</v>
      </c>
      <c r="X17" s="34">
        <v>0</v>
      </c>
      <c r="Y17" s="34">
        <v>0</v>
      </c>
      <c r="Z17" s="34">
        <v>0</v>
      </c>
      <c r="AA17" s="34">
        <f t="shared" si="0"/>
        <v>1</v>
      </c>
      <c r="AB17" s="34">
        <v>0</v>
      </c>
      <c r="AC17" s="120"/>
    </row>
    <row r="18" spans="1:29" ht="39.75" customHeight="1">
      <c r="A18" s="156"/>
      <c r="B18" s="148">
        <v>15</v>
      </c>
      <c r="C18" s="149">
        <f>VLOOKUP(D18,'[5]Codes &amp; Descr. SFICS25'!B:C,2,FALSE)</f>
        <v>21</v>
      </c>
      <c r="D18" s="150" t="s">
        <v>2730</v>
      </c>
      <c r="E18" s="150">
        <f>+VLOOKUP(F18,'[5]Codes &amp; Descr. SFICS25'!D:E,2,FALSE)</f>
        <v>2102</v>
      </c>
      <c r="F18" s="150" t="s">
        <v>2808</v>
      </c>
      <c r="G18" s="150">
        <f>VLOOKUP(H18,'[5]Codes &amp; Descr. SFICS25'!F:H,2,FALSE)</f>
        <v>210205</v>
      </c>
      <c r="H18" s="150" t="s">
        <v>2841</v>
      </c>
      <c r="I18" s="150" t="s">
        <v>2842</v>
      </c>
      <c r="J18" s="150" t="s">
        <v>2843</v>
      </c>
      <c r="K18" s="158" t="s">
        <v>2844</v>
      </c>
      <c r="L18" s="151" t="s">
        <v>150</v>
      </c>
      <c r="M18" s="152" t="s">
        <v>1402</v>
      </c>
      <c r="N18" s="152" t="s">
        <v>2845</v>
      </c>
      <c r="O18" s="152" t="s">
        <v>2846</v>
      </c>
      <c r="P18" s="193" t="s">
        <v>2847</v>
      </c>
      <c r="Q18" s="31" t="s">
        <v>2848</v>
      </c>
      <c r="R18" s="152" t="s">
        <v>2738</v>
      </c>
      <c r="S18" s="152" t="s">
        <v>2738</v>
      </c>
      <c r="T18" s="153" t="s">
        <v>2740</v>
      </c>
      <c r="U18" s="154" t="s">
        <v>2741</v>
      </c>
      <c r="V18" s="154" t="s">
        <v>2741</v>
      </c>
      <c r="W18" s="34">
        <v>0</v>
      </c>
      <c r="X18" s="34">
        <v>0</v>
      </c>
      <c r="Y18" s="34">
        <v>0</v>
      </c>
      <c r="Z18" s="34">
        <v>0</v>
      </c>
      <c r="AA18" s="34">
        <f t="shared" si="0"/>
        <v>1</v>
      </c>
      <c r="AB18" s="34">
        <v>0</v>
      </c>
      <c r="AC18" s="120"/>
    </row>
    <row r="19" spans="1:29" ht="39.75" customHeight="1">
      <c r="A19" s="148"/>
      <c r="B19" s="148">
        <v>16</v>
      </c>
      <c r="C19" s="149">
        <f>VLOOKUP(D19,'[5]Codes &amp; Descr. SFICS25'!B:C,2,FALSE)</f>
        <v>21</v>
      </c>
      <c r="D19" s="150" t="s">
        <v>2730</v>
      </c>
      <c r="E19" s="150">
        <f>+VLOOKUP(F19,'[5]Codes &amp; Descr. SFICS25'!D:E,2,FALSE)</f>
        <v>2102</v>
      </c>
      <c r="F19" s="150" t="s">
        <v>2808</v>
      </c>
      <c r="G19" s="150">
        <f>VLOOKUP(H19,'[5]Codes &amp; Descr. SFICS25'!F:H,2,FALSE)</f>
        <v>210206</v>
      </c>
      <c r="H19" s="150" t="s">
        <v>2849</v>
      </c>
      <c r="I19" s="150" t="s">
        <v>2850</v>
      </c>
      <c r="J19" s="150" t="s">
        <v>2851</v>
      </c>
      <c r="K19" s="149" t="s">
        <v>2852</v>
      </c>
      <c r="L19" s="151" t="s">
        <v>158</v>
      </c>
      <c r="M19" s="152" t="s">
        <v>1402</v>
      </c>
      <c r="N19" s="152" t="s">
        <v>2853</v>
      </c>
      <c r="O19" s="152" t="s">
        <v>2854</v>
      </c>
      <c r="P19" s="31" t="s">
        <v>2855</v>
      </c>
      <c r="Q19" s="31" t="s">
        <v>2856</v>
      </c>
      <c r="R19" s="152" t="s">
        <v>2738</v>
      </c>
      <c r="S19" s="152" t="s">
        <v>2738</v>
      </c>
      <c r="T19" s="153" t="s">
        <v>2740</v>
      </c>
      <c r="U19" s="154" t="s">
        <v>2741</v>
      </c>
      <c r="V19" s="154" t="s">
        <v>2741</v>
      </c>
      <c r="W19" s="34">
        <v>0</v>
      </c>
      <c r="X19" s="34">
        <v>0</v>
      </c>
      <c r="Y19" s="34">
        <v>0</v>
      </c>
      <c r="Z19" s="34">
        <v>0</v>
      </c>
      <c r="AA19" s="34">
        <f t="shared" si="0"/>
        <v>1</v>
      </c>
      <c r="AB19" s="34">
        <v>0</v>
      </c>
      <c r="AC19" s="120"/>
    </row>
    <row r="20" spans="1:29" ht="39.75" customHeight="1">
      <c r="A20" s="156"/>
      <c r="B20" s="148">
        <v>17</v>
      </c>
      <c r="C20" s="149">
        <f>VLOOKUP(D20,'[5]Codes &amp; Descr. SFICS25'!B:C,2,FALSE)</f>
        <v>21</v>
      </c>
      <c r="D20" s="150" t="s">
        <v>2730</v>
      </c>
      <c r="E20" s="150">
        <f>+VLOOKUP(F20,'[5]Codes &amp; Descr. SFICS25'!D:E,2,FALSE)</f>
        <v>2102</v>
      </c>
      <c r="F20" s="150" t="s">
        <v>2808</v>
      </c>
      <c r="G20" s="150">
        <f>VLOOKUP(H20,'[5]Codes &amp; Descr. SFICS25'!F:H,2,FALSE)</f>
        <v>210207</v>
      </c>
      <c r="H20" s="150" t="s">
        <v>2857</v>
      </c>
      <c r="I20" s="150" t="s">
        <v>2858</v>
      </c>
      <c r="J20" s="150" t="s">
        <v>2859</v>
      </c>
      <c r="K20" s="155" t="s">
        <v>2860</v>
      </c>
      <c r="L20" s="151" t="s">
        <v>166</v>
      </c>
      <c r="M20" s="152" t="s">
        <v>1402</v>
      </c>
      <c r="N20" s="152" t="s">
        <v>2861</v>
      </c>
      <c r="O20" s="152" t="s">
        <v>2862</v>
      </c>
      <c r="P20" s="193" t="s">
        <v>2847</v>
      </c>
      <c r="Q20" s="31" t="s">
        <v>2863</v>
      </c>
      <c r="R20" s="152" t="s">
        <v>2738</v>
      </c>
      <c r="S20" s="152" t="s">
        <v>2738</v>
      </c>
      <c r="T20" s="153" t="s">
        <v>2740</v>
      </c>
      <c r="U20" s="154" t="s">
        <v>2741</v>
      </c>
      <c r="V20" s="154" t="s">
        <v>2741</v>
      </c>
      <c r="W20" s="34">
        <v>0</v>
      </c>
      <c r="X20" s="34">
        <v>0</v>
      </c>
      <c r="Y20" s="34">
        <v>0</v>
      </c>
      <c r="Z20" s="34">
        <v>0</v>
      </c>
      <c r="AA20" s="34">
        <f t="shared" si="0"/>
        <v>1</v>
      </c>
      <c r="AB20" s="34">
        <v>0</v>
      </c>
      <c r="AC20" s="120"/>
    </row>
    <row r="21" spans="1:29" ht="39.75" customHeight="1">
      <c r="A21" s="148"/>
      <c r="B21" s="148">
        <v>18</v>
      </c>
      <c r="C21" s="149">
        <f>VLOOKUP(D21,'[5]Codes &amp; Descr. SFICS25'!B:C,2,FALSE)</f>
        <v>21</v>
      </c>
      <c r="D21" s="150" t="s">
        <v>2730</v>
      </c>
      <c r="E21" s="150">
        <f>+VLOOKUP(F21,'[5]Codes &amp; Descr. SFICS25'!D:E,2,FALSE)</f>
        <v>2102</v>
      </c>
      <c r="F21" s="150" t="s">
        <v>2808</v>
      </c>
      <c r="G21" s="150">
        <f>VLOOKUP(H21,'[5]Codes &amp; Descr. SFICS25'!F:H,2,FALSE)</f>
        <v>210208</v>
      </c>
      <c r="H21" s="150" t="s">
        <v>2864</v>
      </c>
      <c r="I21" s="150" t="s">
        <v>2865</v>
      </c>
      <c r="J21" s="150" t="s">
        <v>2866</v>
      </c>
      <c r="K21" s="155" t="s">
        <v>2867</v>
      </c>
      <c r="L21" s="151" t="s">
        <v>174</v>
      </c>
      <c r="M21" s="152" t="s">
        <v>1402</v>
      </c>
      <c r="N21" s="152" t="s">
        <v>2868</v>
      </c>
      <c r="O21" s="152" t="s">
        <v>2869</v>
      </c>
      <c r="P21" s="31" t="s">
        <v>2870</v>
      </c>
      <c r="Q21" s="31" t="s">
        <v>2871</v>
      </c>
      <c r="R21" s="152" t="s">
        <v>2738</v>
      </c>
      <c r="S21" s="152" t="s">
        <v>2738</v>
      </c>
      <c r="T21" s="153" t="s">
        <v>2740</v>
      </c>
      <c r="U21" s="154" t="s">
        <v>2741</v>
      </c>
      <c r="V21" s="154" t="s">
        <v>2741</v>
      </c>
      <c r="W21" s="34">
        <v>0</v>
      </c>
      <c r="X21" s="34">
        <v>0</v>
      </c>
      <c r="Y21" s="34">
        <v>0</v>
      </c>
      <c r="Z21" s="34">
        <v>0</v>
      </c>
      <c r="AA21" s="34">
        <f t="shared" si="0"/>
        <v>1</v>
      </c>
      <c r="AB21" s="34">
        <v>0</v>
      </c>
      <c r="AC21" s="120"/>
    </row>
    <row r="22" spans="1:29" ht="39.75" customHeight="1">
      <c r="A22" s="148"/>
      <c r="B22" s="148">
        <v>19</v>
      </c>
      <c r="C22" s="149">
        <f>VLOOKUP(D22,'[5]Codes &amp; Descr. SFICS25'!B:C,2,FALSE)</f>
        <v>21</v>
      </c>
      <c r="D22" s="150" t="s">
        <v>2730</v>
      </c>
      <c r="E22" s="150">
        <f>+VLOOKUP(F22,'[5]Codes &amp; Descr. SFICS25'!D:E,2,FALSE)</f>
        <v>2104</v>
      </c>
      <c r="F22" s="150" t="s">
        <v>2872</v>
      </c>
      <c r="G22" s="150">
        <f>VLOOKUP(H22,'[5]Codes &amp; Descr. SFICS25'!F:H,2,FALSE)</f>
        <v>210419</v>
      </c>
      <c r="H22" s="150" t="s">
        <v>2873</v>
      </c>
      <c r="I22" s="150" t="s">
        <v>2874</v>
      </c>
      <c r="J22" s="150" t="s">
        <v>2875</v>
      </c>
      <c r="K22" s="155" t="s">
        <v>2876</v>
      </c>
      <c r="L22" s="151" t="s">
        <v>180</v>
      </c>
      <c r="M22" s="152" t="s">
        <v>1402</v>
      </c>
      <c r="N22" s="152" t="s">
        <v>2877</v>
      </c>
      <c r="O22" s="152" t="s">
        <v>2878</v>
      </c>
      <c r="P22" s="31" t="s">
        <v>2738</v>
      </c>
      <c r="Q22" s="31" t="s">
        <v>2879</v>
      </c>
      <c r="R22" s="152" t="s">
        <v>2738</v>
      </c>
      <c r="S22" s="152" t="s">
        <v>2738</v>
      </c>
      <c r="T22" s="153" t="s">
        <v>2740</v>
      </c>
      <c r="U22" s="154" t="s">
        <v>2880</v>
      </c>
      <c r="V22" s="154" t="s">
        <v>2741</v>
      </c>
      <c r="W22" s="34">
        <v>0</v>
      </c>
      <c r="X22" s="34">
        <v>0</v>
      </c>
      <c r="Y22" s="34">
        <v>0</v>
      </c>
      <c r="Z22" s="34">
        <v>0</v>
      </c>
      <c r="AA22" s="34">
        <f t="shared" si="0"/>
        <v>1</v>
      </c>
      <c r="AB22" s="34">
        <v>0</v>
      </c>
      <c r="AC22" s="120"/>
    </row>
    <row r="23" spans="1:29" ht="39.75" customHeight="1">
      <c r="A23" s="148"/>
      <c r="B23" s="148">
        <v>20</v>
      </c>
      <c r="C23" s="149">
        <f>VLOOKUP(D23,'[5]Codes &amp; Descr. SFICS25'!B:C,2,FALSE)</f>
        <v>21</v>
      </c>
      <c r="D23" s="150" t="s">
        <v>2730</v>
      </c>
      <c r="E23" s="150">
        <f>+VLOOKUP(F23,'[5]Codes &amp; Descr. SFICS25'!D:E,2,FALSE)</f>
        <v>2104</v>
      </c>
      <c r="F23" s="150" t="s">
        <v>2872</v>
      </c>
      <c r="G23" s="150">
        <f>VLOOKUP(H23,'[5]Codes &amp; Descr. SFICS25'!F:H,2,FALSE)</f>
        <v>210420</v>
      </c>
      <c r="H23" s="150" t="s">
        <v>2881</v>
      </c>
      <c r="I23" s="150" t="s">
        <v>2882</v>
      </c>
      <c r="J23" s="150" t="s">
        <v>2883</v>
      </c>
      <c r="K23" s="149" t="s">
        <v>2884</v>
      </c>
      <c r="L23" s="151" t="s">
        <v>190</v>
      </c>
      <c r="M23" s="152" t="s">
        <v>1402</v>
      </c>
      <c r="N23" s="152" t="s">
        <v>2885</v>
      </c>
      <c r="O23" s="152" t="s">
        <v>2886</v>
      </c>
      <c r="P23" s="31" t="s">
        <v>2738</v>
      </c>
      <c r="Q23" s="31" t="s">
        <v>2887</v>
      </c>
      <c r="R23" s="152" t="s">
        <v>2738</v>
      </c>
      <c r="S23" s="152" t="s">
        <v>2738</v>
      </c>
      <c r="T23" s="153" t="s">
        <v>2740</v>
      </c>
      <c r="U23" s="154" t="s">
        <v>2741</v>
      </c>
      <c r="V23" s="154" t="s">
        <v>2741</v>
      </c>
      <c r="W23" s="34">
        <v>0</v>
      </c>
      <c r="X23" s="34">
        <v>0</v>
      </c>
      <c r="Y23" s="34">
        <v>0</v>
      </c>
      <c r="Z23" s="34">
        <v>0</v>
      </c>
      <c r="AA23" s="34">
        <f t="shared" si="0"/>
        <v>1</v>
      </c>
      <c r="AB23" s="34">
        <v>0</v>
      </c>
      <c r="AC23" s="120"/>
    </row>
    <row r="24" spans="1:29" ht="39.75" customHeight="1">
      <c r="A24" s="148"/>
      <c r="B24" s="148">
        <v>21</v>
      </c>
      <c r="C24" s="149">
        <f>VLOOKUP(D24,'[5]Codes &amp; Descr. SFICS25'!B:C,2,FALSE)</f>
        <v>21</v>
      </c>
      <c r="D24" s="150" t="s">
        <v>2730</v>
      </c>
      <c r="E24" s="150">
        <f>+VLOOKUP(F24,'[5]Codes &amp; Descr. SFICS25'!D:E,2,FALSE)</f>
        <v>2104</v>
      </c>
      <c r="F24" s="150" t="s">
        <v>2872</v>
      </c>
      <c r="G24" s="150">
        <f>VLOOKUP(H24,'[5]Codes &amp; Descr. SFICS25'!F:H,2,FALSE)</f>
        <v>210421</v>
      </c>
      <c r="H24" s="150" t="s">
        <v>2888</v>
      </c>
      <c r="I24" s="150" t="s">
        <v>2889</v>
      </c>
      <c r="J24" s="150" t="s">
        <v>2890</v>
      </c>
      <c r="K24" s="155" t="s">
        <v>2891</v>
      </c>
      <c r="L24" s="151" t="s">
        <v>194</v>
      </c>
      <c r="M24" s="152" t="s">
        <v>1402</v>
      </c>
      <c r="N24" s="152" t="s">
        <v>2892</v>
      </c>
      <c r="O24" s="152" t="s">
        <v>2893</v>
      </c>
      <c r="P24" s="31" t="s">
        <v>2738</v>
      </c>
      <c r="Q24" s="31" t="s">
        <v>2894</v>
      </c>
      <c r="R24" s="152" t="s">
        <v>2738</v>
      </c>
      <c r="S24" s="152" t="s">
        <v>2738</v>
      </c>
      <c r="T24" s="153" t="s">
        <v>2740</v>
      </c>
      <c r="U24" s="154" t="s">
        <v>2741</v>
      </c>
      <c r="V24" s="154" t="s">
        <v>2741</v>
      </c>
      <c r="W24" s="34">
        <v>0</v>
      </c>
      <c r="X24" s="34">
        <v>0</v>
      </c>
      <c r="Y24" s="34">
        <v>0</v>
      </c>
      <c r="Z24" s="34">
        <v>0</v>
      </c>
      <c r="AA24" s="34">
        <f t="shared" si="0"/>
        <v>1</v>
      </c>
      <c r="AB24" s="34">
        <v>0</v>
      </c>
      <c r="AC24" s="120"/>
    </row>
    <row r="25" spans="1:29" ht="39.75" customHeight="1">
      <c r="A25" s="148"/>
      <c r="B25" s="148">
        <v>22</v>
      </c>
      <c r="C25" s="149">
        <f>VLOOKUP(D25,'[5]Codes &amp; Descr. SFICS25'!B:C,2,FALSE)</f>
        <v>21</v>
      </c>
      <c r="D25" s="150" t="s">
        <v>2730</v>
      </c>
      <c r="E25" s="150">
        <f>+VLOOKUP(F25,'[5]Codes &amp; Descr. SFICS25'!D:E,2,FALSE)</f>
        <v>2106</v>
      </c>
      <c r="F25" s="150" t="s">
        <v>2895</v>
      </c>
      <c r="G25" s="150">
        <f>VLOOKUP(H25,'[5]Codes &amp; Descr. SFICS25'!F:H,2,FALSE)</f>
        <v>210601</v>
      </c>
      <c r="H25" s="150" t="s">
        <v>2896</v>
      </c>
      <c r="I25" s="150" t="s">
        <v>2897</v>
      </c>
      <c r="J25" s="150" t="s">
        <v>2897</v>
      </c>
      <c r="K25" s="155" t="s">
        <v>2896</v>
      </c>
      <c r="L25" s="151" t="s">
        <v>203</v>
      </c>
      <c r="M25" s="152" t="s">
        <v>1402</v>
      </c>
      <c r="N25" s="152" t="s">
        <v>2898</v>
      </c>
      <c r="O25" s="152" t="s">
        <v>2899</v>
      </c>
      <c r="P25" s="31" t="s">
        <v>2738</v>
      </c>
      <c r="Q25" s="40" t="s">
        <v>2900</v>
      </c>
      <c r="R25" s="152" t="s">
        <v>2738</v>
      </c>
      <c r="S25" s="152" t="s">
        <v>2738</v>
      </c>
      <c r="T25" s="153" t="s">
        <v>2740</v>
      </c>
      <c r="U25" s="154" t="s">
        <v>2880</v>
      </c>
      <c r="V25" s="154" t="s">
        <v>2741</v>
      </c>
      <c r="W25" s="34">
        <v>0</v>
      </c>
      <c r="X25" s="34">
        <v>0</v>
      </c>
      <c r="Y25" s="34">
        <v>0</v>
      </c>
      <c r="Z25" s="34">
        <v>0</v>
      </c>
      <c r="AA25" s="34">
        <f t="shared" si="0"/>
        <v>1</v>
      </c>
      <c r="AB25" s="34">
        <v>0</v>
      </c>
      <c r="AC25" s="120"/>
    </row>
    <row r="26" spans="1:29" ht="39.75" customHeight="1">
      <c r="A26" s="148"/>
      <c r="B26" s="148">
        <v>23</v>
      </c>
      <c r="C26" s="149">
        <f>VLOOKUP(D26,'[5]Codes &amp; Descr. SFICS25'!B:C,2,FALSE)</f>
        <v>21</v>
      </c>
      <c r="D26" s="150" t="s">
        <v>2730</v>
      </c>
      <c r="E26" s="150">
        <f>+VLOOKUP(F26,'[5]Codes &amp; Descr. SFICS25'!D:E,2,FALSE)</f>
        <v>2106</v>
      </c>
      <c r="F26" s="150" t="s">
        <v>2895</v>
      </c>
      <c r="G26" s="150">
        <f>VLOOKUP(H26,'[5]Codes &amp; Descr. SFICS25'!F:H,2,FALSE)</f>
        <v>210602</v>
      </c>
      <c r="H26" s="150" t="s">
        <v>2901</v>
      </c>
      <c r="I26" s="150" t="s">
        <v>2902</v>
      </c>
      <c r="J26" s="150" t="s">
        <v>2903</v>
      </c>
      <c r="K26" s="155" t="s">
        <v>2901</v>
      </c>
      <c r="L26" s="151" t="s">
        <v>210</v>
      </c>
      <c r="M26" s="152" t="s">
        <v>1402</v>
      </c>
      <c r="N26" s="152" t="s">
        <v>2904</v>
      </c>
      <c r="O26" s="152" t="s">
        <v>2905</v>
      </c>
      <c r="P26" s="31" t="s">
        <v>2738</v>
      </c>
      <c r="Q26" s="40" t="s">
        <v>2906</v>
      </c>
      <c r="R26" s="152" t="s">
        <v>2738</v>
      </c>
      <c r="S26" s="152" t="s">
        <v>2738</v>
      </c>
      <c r="T26" s="153" t="s">
        <v>2740</v>
      </c>
      <c r="U26" s="154" t="s">
        <v>2880</v>
      </c>
      <c r="V26" s="154" t="s">
        <v>2741</v>
      </c>
      <c r="W26" s="34">
        <v>0</v>
      </c>
      <c r="X26" s="34">
        <v>0</v>
      </c>
      <c r="Y26" s="34">
        <v>0</v>
      </c>
      <c r="Z26" s="34">
        <v>0</v>
      </c>
      <c r="AA26" s="34">
        <f t="shared" si="0"/>
        <v>1</v>
      </c>
      <c r="AB26" s="34">
        <v>0</v>
      </c>
      <c r="AC26" s="120"/>
    </row>
    <row r="27" spans="1:29" ht="39.75" customHeight="1">
      <c r="A27" s="148"/>
      <c r="B27" s="148">
        <v>24</v>
      </c>
      <c r="C27" s="149">
        <f>VLOOKUP(D27,'[5]Codes &amp; Descr. SFICS25'!B:C,2,FALSE)</f>
        <v>21</v>
      </c>
      <c r="D27" s="150" t="s">
        <v>2730</v>
      </c>
      <c r="E27" s="150">
        <f>+VLOOKUP(F27,'[5]Codes &amp; Descr. SFICS25'!D:E,2,FALSE)</f>
        <v>2106</v>
      </c>
      <c r="F27" s="150" t="s">
        <v>2895</v>
      </c>
      <c r="G27" s="150">
        <f>VLOOKUP(H27,'[5]Codes &amp; Descr. SFICS25'!F:H,2,FALSE)</f>
        <v>210603</v>
      </c>
      <c r="H27" s="150" t="s">
        <v>2907</v>
      </c>
      <c r="I27" s="150" t="s">
        <v>2908</v>
      </c>
      <c r="J27" s="150" t="s">
        <v>2909</v>
      </c>
      <c r="K27" s="155" t="s">
        <v>2910</v>
      </c>
      <c r="L27" s="151" t="s">
        <v>217</v>
      </c>
      <c r="M27" s="152" t="s">
        <v>1402</v>
      </c>
      <c r="N27" s="152" t="s">
        <v>2911</v>
      </c>
      <c r="O27" s="152" t="s">
        <v>2912</v>
      </c>
      <c r="P27" s="31" t="s">
        <v>2913</v>
      </c>
      <c r="Q27" s="40" t="s">
        <v>2914</v>
      </c>
      <c r="R27" s="152" t="s">
        <v>2738</v>
      </c>
      <c r="S27" s="152" t="s">
        <v>2738</v>
      </c>
      <c r="T27" s="153" t="s">
        <v>2740</v>
      </c>
      <c r="U27" s="154" t="s">
        <v>2880</v>
      </c>
      <c r="V27" s="154" t="s">
        <v>2741</v>
      </c>
      <c r="W27" s="34">
        <v>0</v>
      </c>
      <c r="X27" s="34">
        <v>0</v>
      </c>
      <c r="Y27" s="34">
        <v>0</v>
      </c>
      <c r="Z27" s="34">
        <v>0</v>
      </c>
      <c r="AA27" s="34">
        <f t="shared" si="0"/>
        <v>1</v>
      </c>
      <c r="AB27" s="34">
        <v>0</v>
      </c>
      <c r="AC27" s="159"/>
    </row>
    <row r="28" spans="1:29" ht="39.75" customHeight="1">
      <c r="A28" s="148"/>
      <c r="B28" s="148">
        <v>25</v>
      </c>
      <c r="C28" s="149">
        <f>VLOOKUP(D28,'[5]Codes &amp; Descr. SFICS25'!B:C,2,FALSE)</f>
        <v>21</v>
      </c>
      <c r="D28" s="150" t="s">
        <v>2730</v>
      </c>
      <c r="E28" s="150">
        <f>+VLOOKUP(F28,'[5]Codes &amp; Descr. SFICS25'!D:E,2,FALSE)</f>
        <v>2105</v>
      </c>
      <c r="F28" s="150" t="s">
        <v>2915</v>
      </c>
      <c r="G28" s="150">
        <f>VLOOKUP(H28,'[5]Codes &amp; Descr. SFICS25'!F:H,2,FALSE)</f>
        <v>210501</v>
      </c>
      <c r="H28" s="150" t="s">
        <v>2915</v>
      </c>
      <c r="I28" s="150" t="s">
        <v>2916</v>
      </c>
      <c r="J28" s="150" t="s">
        <v>2917</v>
      </c>
      <c r="K28" s="155" t="s">
        <v>2918</v>
      </c>
      <c r="L28" s="151" t="s">
        <v>225</v>
      </c>
      <c r="M28" s="152" t="s">
        <v>1402</v>
      </c>
      <c r="N28" s="152" t="s">
        <v>2738</v>
      </c>
      <c r="O28" s="152" t="s">
        <v>2738</v>
      </c>
      <c r="P28" s="31" t="s">
        <v>2919</v>
      </c>
      <c r="Q28" s="31" t="s">
        <v>2920</v>
      </c>
      <c r="R28" s="152" t="s">
        <v>2738</v>
      </c>
      <c r="S28" s="152" t="s">
        <v>2738</v>
      </c>
      <c r="T28" s="153" t="s">
        <v>2740</v>
      </c>
      <c r="U28" s="154" t="s">
        <v>2741</v>
      </c>
      <c r="V28" s="154" t="s">
        <v>2741</v>
      </c>
      <c r="W28" s="34">
        <v>0</v>
      </c>
      <c r="X28" s="34">
        <v>0</v>
      </c>
      <c r="Y28" s="34">
        <v>0</v>
      </c>
      <c r="Z28" s="34">
        <v>0</v>
      </c>
      <c r="AA28" s="34">
        <f t="shared" si="0"/>
        <v>1</v>
      </c>
      <c r="AB28" s="34">
        <v>0</v>
      </c>
      <c r="AC28" s="120"/>
    </row>
    <row r="29" spans="1:29" ht="39.75" customHeight="1">
      <c r="A29" s="148"/>
      <c r="B29" s="148">
        <v>26</v>
      </c>
      <c r="C29" s="149">
        <f>VLOOKUP(D29,'[5]Codes &amp; Descr. SFICS25'!B:C,2,FALSE)</f>
        <v>21</v>
      </c>
      <c r="D29" s="150" t="s">
        <v>2730</v>
      </c>
      <c r="E29" s="150">
        <f>+VLOOKUP(F29,'[5]Codes &amp; Descr. SFICS25'!D:E,2,FALSE)</f>
        <v>2103</v>
      </c>
      <c r="F29" s="150" t="s">
        <v>2921</v>
      </c>
      <c r="G29" s="150">
        <f>VLOOKUP(H29,'[5]Codes &amp; Descr. SFICS25'!F:H,2,FALSE)</f>
        <v>210301</v>
      </c>
      <c r="H29" s="150" t="s">
        <v>2922</v>
      </c>
      <c r="I29" s="150" t="s">
        <v>2923</v>
      </c>
      <c r="J29" s="150" t="s">
        <v>2924</v>
      </c>
      <c r="K29" s="158" t="s">
        <v>2925</v>
      </c>
      <c r="L29" s="151" t="s">
        <v>232</v>
      </c>
      <c r="M29" s="152" t="s">
        <v>1402</v>
      </c>
      <c r="N29" s="152" t="s">
        <v>2926</v>
      </c>
      <c r="O29" s="152" t="s">
        <v>2927</v>
      </c>
      <c r="P29" s="31" t="s">
        <v>2928</v>
      </c>
      <c r="Q29" s="31" t="s">
        <v>2929</v>
      </c>
      <c r="R29" s="152" t="s">
        <v>2738</v>
      </c>
      <c r="S29" s="152" t="s">
        <v>2738</v>
      </c>
      <c r="T29" s="153" t="s">
        <v>2740</v>
      </c>
      <c r="U29" s="154" t="s">
        <v>2930</v>
      </c>
      <c r="V29" s="154" t="s">
        <v>2741</v>
      </c>
      <c r="W29" s="34">
        <v>0</v>
      </c>
      <c r="X29" s="34">
        <v>0</v>
      </c>
      <c r="Y29" s="34">
        <v>0</v>
      </c>
      <c r="Z29" s="34">
        <v>0</v>
      </c>
      <c r="AA29" s="34">
        <f t="shared" si="0"/>
        <v>1</v>
      </c>
      <c r="AB29" s="34">
        <v>0</v>
      </c>
      <c r="AC29" s="159"/>
    </row>
    <row r="30" spans="1:29" ht="39.75" customHeight="1">
      <c r="A30" s="148"/>
      <c r="B30" s="148">
        <v>27</v>
      </c>
      <c r="C30" s="149">
        <f>VLOOKUP(D30,'[5]Codes &amp; Descr. SFICS25'!B:C,2,FALSE)</f>
        <v>21</v>
      </c>
      <c r="D30" s="150" t="s">
        <v>2730</v>
      </c>
      <c r="E30" s="150">
        <f>+VLOOKUP(F30,'[5]Codes &amp; Descr. SFICS25'!D:E,2,FALSE)</f>
        <v>2103</v>
      </c>
      <c r="F30" s="150" t="s">
        <v>2921</v>
      </c>
      <c r="G30" s="150">
        <f>VLOOKUP(H30,'[5]Codes &amp; Descr. SFICS25'!F:H,2,FALSE)</f>
        <v>210302</v>
      </c>
      <c r="H30" s="150" t="s">
        <v>2931</v>
      </c>
      <c r="I30" s="150" t="s">
        <v>2932</v>
      </c>
      <c r="J30" s="150" t="s">
        <v>2933</v>
      </c>
      <c r="K30" s="149" t="s">
        <v>2934</v>
      </c>
      <c r="L30" s="151" t="s">
        <v>242</v>
      </c>
      <c r="M30" s="152" t="s">
        <v>1402</v>
      </c>
      <c r="N30" s="152" t="s">
        <v>2935</v>
      </c>
      <c r="O30" s="152" t="s">
        <v>2936</v>
      </c>
      <c r="P30" s="31" t="s">
        <v>2928</v>
      </c>
      <c r="Q30" s="31" t="s">
        <v>2937</v>
      </c>
      <c r="R30" s="152" t="s">
        <v>2738</v>
      </c>
      <c r="S30" s="152" t="s">
        <v>2738</v>
      </c>
      <c r="T30" s="153" t="s">
        <v>2740</v>
      </c>
      <c r="U30" s="154" t="s">
        <v>2930</v>
      </c>
      <c r="V30" s="154" t="s">
        <v>2741</v>
      </c>
      <c r="W30" s="34">
        <v>0</v>
      </c>
      <c r="X30" s="34">
        <v>0</v>
      </c>
      <c r="Y30" s="34">
        <v>0</v>
      </c>
      <c r="Z30" s="34">
        <v>0</v>
      </c>
      <c r="AA30" s="34">
        <f t="shared" si="0"/>
        <v>1</v>
      </c>
      <c r="AB30" s="34">
        <v>0</v>
      </c>
      <c r="AC30" s="159"/>
    </row>
    <row r="31" spans="1:29" ht="39.75" customHeight="1">
      <c r="A31" s="148"/>
      <c r="B31" s="148">
        <v>28</v>
      </c>
      <c r="C31" s="149">
        <f>VLOOKUP(D31,'[5]Codes &amp; Descr. SFICS25'!B:C,2,FALSE)</f>
        <v>21</v>
      </c>
      <c r="D31" s="150" t="s">
        <v>2730</v>
      </c>
      <c r="E31" s="150">
        <f>+VLOOKUP(F31,'[5]Codes &amp; Descr. SFICS25'!D:E,2,FALSE)</f>
        <v>2103</v>
      </c>
      <c r="F31" s="150" t="s">
        <v>2921</v>
      </c>
      <c r="G31" s="150">
        <f>VLOOKUP(H31,'[5]Codes &amp; Descr. SFICS25'!F:H,2,FALSE)</f>
        <v>210303</v>
      </c>
      <c r="H31" s="150" t="s">
        <v>2938</v>
      </c>
      <c r="I31" s="150" t="s">
        <v>2939</v>
      </c>
      <c r="J31" s="150" t="s">
        <v>2940</v>
      </c>
      <c r="K31" s="149" t="s">
        <v>2941</v>
      </c>
      <c r="L31" s="151" t="s">
        <v>250</v>
      </c>
      <c r="M31" s="152" t="s">
        <v>1402</v>
      </c>
      <c r="N31" s="152" t="s">
        <v>2942</v>
      </c>
      <c r="O31" s="152" t="s">
        <v>2943</v>
      </c>
      <c r="P31" s="31" t="s">
        <v>2928</v>
      </c>
      <c r="Q31" s="31" t="s">
        <v>2944</v>
      </c>
      <c r="R31" s="152" t="s">
        <v>2738</v>
      </c>
      <c r="S31" s="152" t="s">
        <v>2738</v>
      </c>
      <c r="T31" s="153" t="s">
        <v>2740</v>
      </c>
      <c r="U31" s="154" t="s">
        <v>2930</v>
      </c>
      <c r="V31" s="154" t="s">
        <v>2930</v>
      </c>
      <c r="W31" s="34">
        <v>0</v>
      </c>
      <c r="X31" s="34">
        <v>0</v>
      </c>
      <c r="Y31" s="34">
        <v>0</v>
      </c>
      <c r="Z31" s="34">
        <v>0</v>
      </c>
      <c r="AA31" s="34">
        <f t="shared" si="0"/>
        <v>1</v>
      </c>
      <c r="AB31" s="34">
        <v>0</v>
      </c>
      <c r="AC31" s="159"/>
    </row>
    <row r="32" spans="1:29" ht="39.75" customHeight="1">
      <c r="A32" s="148"/>
      <c r="B32" s="148">
        <v>29</v>
      </c>
      <c r="C32" s="149">
        <f>VLOOKUP(D32,'[5]Codes &amp; Descr. SFICS25'!B:C,2,FALSE)</f>
        <v>21</v>
      </c>
      <c r="D32" s="150" t="s">
        <v>2730</v>
      </c>
      <c r="E32" s="150">
        <f>+VLOOKUP(F32,'[5]Codes &amp; Descr. SFICS25'!D:E,2,FALSE)</f>
        <v>2103</v>
      </c>
      <c r="F32" s="150" t="s">
        <v>2921</v>
      </c>
      <c r="G32" s="150">
        <f>VLOOKUP(H32,'[5]Codes &amp; Descr. SFICS25'!F:H,2,FALSE)</f>
        <v>210304</v>
      </c>
      <c r="H32" s="150" t="s">
        <v>2945</v>
      </c>
      <c r="I32" s="150" t="s">
        <v>2946</v>
      </c>
      <c r="J32" s="150" t="s">
        <v>2947</v>
      </c>
      <c r="K32" s="149" t="s">
        <v>2948</v>
      </c>
      <c r="L32" s="151" t="s">
        <v>257</v>
      </c>
      <c r="M32" s="152" t="s">
        <v>1402</v>
      </c>
      <c r="N32" s="152" t="s">
        <v>2949</v>
      </c>
      <c r="O32" s="152" t="s">
        <v>2950</v>
      </c>
      <c r="P32" s="31" t="s">
        <v>2951</v>
      </c>
      <c r="Q32" s="31" t="s">
        <v>2952</v>
      </c>
      <c r="R32" s="152" t="s">
        <v>2738</v>
      </c>
      <c r="S32" s="152" t="s">
        <v>2738</v>
      </c>
      <c r="T32" s="153" t="s">
        <v>2740</v>
      </c>
      <c r="U32" s="154" t="s">
        <v>2930</v>
      </c>
      <c r="V32" s="154" t="s">
        <v>2741</v>
      </c>
      <c r="W32" s="34">
        <v>0</v>
      </c>
      <c r="X32" s="34">
        <v>0</v>
      </c>
      <c r="Y32" s="34">
        <v>0</v>
      </c>
      <c r="Z32" s="34">
        <v>0</v>
      </c>
      <c r="AA32" s="34">
        <f t="shared" si="0"/>
        <v>1</v>
      </c>
      <c r="AB32" s="34">
        <v>0</v>
      </c>
      <c r="AC32" s="120"/>
    </row>
    <row r="33" spans="1:29" ht="39.75" customHeight="1">
      <c r="A33" s="148"/>
      <c r="B33" s="148">
        <v>30</v>
      </c>
      <c r="C33" s="149">
        <f>VLOOKUP(D33,'[5]Codes &amp; Descr. SFICS25'!B:C,2,FALSE)</f>
        <v>21</v>
      </c>
      <c r="D33" s="150" t="s">
        <v>2730</v>
      </c>
      <c r="E33" s="150">
        <f>+VLOOKUP(F33,'[5]Codes &amp; Descr. SFICS25'!D:E,2,FALSE)</f>
        <v>2103</v>
      </c>
      <c r="F33" s="150" t="s">
        <v>2921</v>
      </c>
      <c r="G33" s="150">
        <f>VLOOKUP(H33,'[5]Codes &amp; Descr. SFICS25'!F:H,2,FALSE)</f>
        <v>210305</v>
      </c>
      <c r="H33" s="150" t="s">
        <v>2953</v>
      </c>
      <c r="I33" s="150" t="s">
        <v>2954</v>
      </c>
      <c r="J33" s="150" t="s">
        <v>2955</v>
      </c>
      <c r="K33" s="149" t="s">
        <v>2956</v>
      </c>
      <c r="L33" s="151" t="s">
        <v>265</v>
      </c>
      <c r="M33" s="152" t="s">
        <v>1402</v>
      </c>
      <c r="N33" s="152" t="s">
        <v>2957</v>
      </c>
      <c r="O33" s="152" t="s">
        <v>2958</v>
      </c>
      <c r="P33" s="31" t="s">
        <v>2951</v>
      </c>
      <c r="Q33" s="31" t="s">
        <v>2959</v>
      </c>
      <c r="R33" s="152" t="s">
        <v>2738</v>
      </c>
      <c r="S33" s="152" t="s">
        <v>2738</v>
      </c>
      <c r="T33" s="153" t="s">
        <v>2740</v>
      </c>
      <c r="U33" s="154" t="s">
        <v>2930</v>
      </c>
      <c r="V33" s="154" t="s">
        <v>2741</v>
      </c>
      <c r="W33" s="34">
        <v>0</v>
      </c>
      <c r="X33" s="34">
        <v>0</v>
      </c>
      <c r="Y33" s="34">
        <v>0</v>
      </c>
      <c r="Z33" s="34">
        <v>0</v>
      </c>
      <c r="AA33" s="34">
        <f t="shared" si="0"/>
        <v>1</v>
      </c>
      <c r="AB33" s="34">
        <v>0</v>
      </c>
      <c r="AC33" s="120"/>
    </row>
    <row r="34" spans="1:29" ht="39.75" customHeight="1">
      <c r="A34" s="148"/>
      <c r="B34" s="148">
        <v>31</v>
      </c>
      <c r="C34" s="149">
        <f>VLOOKUP(D34,'[5]Codes &amp; Descr. SFICS25'!B:C,2,FALSE)</f>
        <v>21</v>
      </c>
      <c r="D34" s="150" t="s">
        <v>2730</v>
      </c>
      <c r="E34" s="150">
        <f>+VLOOKUP(F34,'[5]Codes &amp; Descr. SFICS25'!D:E,2,FALSE)</f>
        <v>2103</v>
      </c>
      <c r="F34" s="150" t="s">
        <v>2921</v>
      </c>
      <c r="G34" s="150">
        <f>VLOOKUP(H34,'[5]Codes &amp; Descr. SFICS25'!F:H,2,FALSE)</f>
        <v>210306</v>
      </c>
      <c r="H34" s="150" t="s">
        <v>2960</v>
      </c>
      <c r="I34" s="150" t="s">
        <v>2961</v>
      </c>
      <c r="J34" s="150" t="s">
        <v>2962</v>
      </c>
      <c r="K34" s="158" t="s">
        <v>2963</v>
      </c>
      <c r="L34" s="151" t="s">
        <v>274</v>
      </c>
      <c r="M34" s="152" t="s">
        <v>1402</v>
      </c>
      <c r="N34" s="152" t="s">
        <v>2964</v>
      </c>
      <c r="O34" s="152" t="s">
        <v>2965</v>
      </c>
      <c r="P34" s="31" t="s">
        <v>2951</v>
      </c>
      <c r="Q34" s="31" t="s">
        <v>2966</v>
      </c>
      <c r="R34" s="152" t="s">
        <v>2738</v>
      </c>
      <c r="S34" s="152" t="s">
        <v>2738</v>
      </c>
      <c r="T34" s="153" t="s">
        <v>2740</v>
      </c>
      <c r="U34" s="154" t="s">
        <v>2930</v>
      </c>
      <c r="V34" s="154" t="s">
        <v>2741</v>
      </c>
      <c r="W34" s="34">
        <v>0</v>
      </c>
      <c r="X34" s="34">
        <v>0</v>
      </c>
      <c r="Y34" s="34">
        <v>0</v>
      </c>
      <c r="Z34" s="34">
        <v>0</v>
      </c>
      <c r="AA34" s="34">
        <f t="shared" si="0"/>
        <v>1</v>
      </c>
      <c r="AB34" s="34">
        <v>0</v>
      </c>
      <c r="AC34" s="120"/>
    </row>
    <row r="35" spans="1:29" ht="39.75" customHeight="1">
      <c r="A35" s="156"/>
      <c r="B35" s="148">
        <v>32</v>
      </c>
      <c r="C35" s="149">
        <f>VLOOKUP(D35,'[5]Codes &amp; Descr. SFICS25'!B:C,2,FALSE)</f>
        <v>21</v>
      </c>
      <c r="D35" s="150" t="s">
        <v>2730</v>
      </c>
      <c r="E35" s="150">
        <f>+VLOOKUP(F35,'[5]Codes &amp; Descr. SFICS25'!D:E,2,FALSE)</f>
        <v>2107</v>
      </c>
      <c r="F35" s="150" t="s">
        <v>2967</v>
      </c>
      <c r="G35" s="150">
        <f>VLOOKUP(H35,'[5]Codes &amp; Descr. SFICS25'!F:H,2,FALSE)</f>
        <v>210701</v>
      </c>
      <c r="H35" s="150" t="s">
        <v>2968</v>
      </c>
      <c r="I35" s="150" t="s">
        <v>2969</v>
      </c>
      <c r="J35" s="150" t="s">
        <v>2969</v>
      </c>
      <c r="K35" s="155" t="s">
        <v>2968</v>
      </c>
      <c r="L35" s="151" t="s">
        <v>281</v>
      </c>
      <c r="M35" s="152" t="s">
        <v>1402</v>
      </c>
      <c r="N35" s="152" t="s">
        <v>2970</v>
      </c>
      <c r="O35" s="152" t="s">
        <v>2971</v>
      </c>
      <c r="P35" s="194" t="s">
        <v>2972</v>
      </c>
      <c r="Q35" s="31" t="s">
        <v>2738</v>
      </c>
      <c r="R35" s="152" t="s">
        <v>2738</v>
      </c>
      <c r="S35" s="152" t="s">
        <v>2738</v>
      </c>
      <c r="T35" s="153" t="s">
        <v>2740</v>
      </c>
      <c r="U35" s="34">
        <v>0</v>
      </c>
      <c r="V35" s="34">
        <v>0</v>
      </c>
      <c r="W35" s="34">
        <v>0</v>
      </c>
      <c r="X35" s="34">
        <v>0</v>
      </c>
      <c r="Y35" s="34">
        <v>0</v>
      </c>
      <c r="Z35" s="34">
        <v>0</v>
      </c>
      <c r="AA35" s="34">
        <f t="shared" si="0"/>
        <v>1</v>
      </c>
      <c r="AB35" s="34">
        <v>0</v>
      </c>
      <c r="AC35" s="120"/>
    </row>
    <row r="36" spans="1:29" ht="39.75" customHeight="1">
      <c r="A36" s="148"/>
      <c r="B36" s="148">
        <v>33</v>
      </c>
      <c r="C36" s="149">
        <f>VLOOKUP(D36,'[5]Codes &amp; Descr. SFICS25'!B:C,2,FALSE)</f>
        <v>22</v>
      </c>
      <c r="D36" s="150" t="s">
        <v>1641</v>
      </c>
      <c r="E36" s="150">
        <f>+VLOOKUP(F36,'[5]Codes &amp; Descr. SFICS25'!D:E,2,FALSE)</f>
        <v>2201</v>
      </c>
      <c r="F36" s="150" t="s">
        <v>1642</v>
      </c>
      <c r="G36" s="150">
        <f>VLOOKUP(H36,'[5]Codes &amp; Descr. SFICS25'!F:H,2,FALSE)</f>
        <v>220101</v>
      </c>
      <c r="H36" s="150" t="s">
        <v>2973</v>
      </c>
      <c r="I36" s="150" t="s">
        <v>2974</v>
      </c>
      <c r="J36" s="150" t="s">
        <v>2974</v>
      </c>
      <c r="K36" s="155" t="s">
        <v>2973</v>
      </c>
      <c r="L36" s="160" t="s">
        <v>287</v>
      </c>
      <c r="M36" s="152" t="s">
        <v>1402</v>
      </c>
      <c r="N36" s="152" t="s">
        <v>2975</v>
      </c>
      <c r="O36" s="152" t="s">
        <v>2976</v>
      </c>
      <c r="P36" s="31" t="s">
        <v>2977</v>
      </c>
      <c r="Q36" s="31" t="s">
        <v>2978</v>
      </c>
      <c r="R36" s="152" t="s">
        <v>2738</v>
      </c>
      <c r="S36" s="152" t="s">
        <v>2738</v>
      </c>
      <c r="T36" s="153" t="s">
        <v>2979</v>
      </c>
      <c r="U36" s="154" t="s">
        <v>2930</v>
      </c>
      <c r="V36" s="154" t="s">
        <v>2741</v>
      </c>
      <c r="W36" s="34">
        <v>0</v>
      </c>
      <c r="X36" s="34">
        <v>0</v>
      </c>
      <c r="Y36" s="34">
        <v>0</v>
      </c>
      <c r="Z36" s="34">
        <v>0</v>
      </c>
      <c r="AA36" s="34">
        <f t="shared" si="0"/>
        <v>1</v>
      </c>
      <c r="AB36" s="34">
        <v>0</v>
      </c>
      <c r="AC36" s="120"/>
    </row>
    <row r="37" spans="1:29" ht="39.75" customHeight="1">
      <c r="A37" s="148"/>
      <c r="B37" s="148">
        <v>34</v>
      </c>
      <c r="C37" s="149">
        <f>VLOOKUP(D37,'[5]Codes &amp; Descr. SFICS25'!B:C,2,FALSE)</f>
        <v>22</v>
      </c>
      <c r="D37" s="150" t="s">
        <v>1641</v>
      </c>
      <c r="E37" s="150">
        <f>+VLOOKUP(F37,'[5]Codes &amp; Descr. SFICS25'!D:E,2,FALSE)</f>
        <v>2201</v>
      </c>
      <c r="F37" s="150" t="s">
        <v>1642</v>
      </c>
      <c r="G37" s="150">
        <f>VLOOKUP(H37,'[5]Codes &amp; Descr. SFICS25'!F:H,2,FALSE)</f>
        <v>220102</v>
      </c>
      <c r="H37" s="150" t="s">
        <v>2980</v>
      </c>
      <c r="I37" s="150" t="s">
        <v>2981</v>
      </c>
      <c r="J37" s="150" t="s">
        <v>2981</v>
      </c>
      <c r="K37" s="155" t="s">
        <v>2980</v>
      </c>
      <c r="L37" s="160" t="s">
        <v>294</v>
      </c>
      <c r="M37" s="152" t="s">
        <v>1402</v>
      </c>
      <c r="N37" s="152" t="s">
        <v>2982</v>
      </c>
      <c r="O37" s="152" t="s">
        <v>2983</v>
      </c>
      <c r="P37" s="31" t="s">
        <v>2984</v>
      </c>
      <c r="Q37" s="31" t="s">
        <v>2985</v>
      </c>
      <c r="R37" s="152" t="s">
        <v>2738</v>
      </c>
      <c r="S37" s="152" t="s">
        <v>2738</v>
      </c>
      <c r="T37" s="153" t="s">
        <v>2979</v>
      </c>
      <c r="U37" s="154" t="s">
        <v>2930</v>
      </c>
      <c r="V37" s="154" t="s">
        <v>2741</v>
      </c>
      <c r="W37" s="34">
        <v>0</v>
      </c>
      <c r="X37" s="34">
        <v>0</v>
      </c>
      <c r="Y37" s="34">
        <v>0</v>
      </c>
      <c r="Z37" s="34">
        <v>0</v>
      </c>
      <c r="AA37" s="34">
        <f t="shared" si="0"/>
        <v>1</v>
      </c>
      <c r="AB37" s="34">
        <v>0</v>
      </c>
      <c r="AC37" s="120"/>
    </row>
    <row r="38" spans="1:29" ht="39.75" customHeight="1">
      <c r="A38" s="148"/>
      <c r="B38" s="148">
        <v>35</v>
      </c>
      <c r="C38" s="149">
        <f>VLOOKUP(D38,'[5]Codes &amp; Descr. SFICS25'!B:C,2,FALSE)</f>
        <v>22</v>
      </c>
      <c r="D38" s="150" t="s">
        <v>1641</v>
      </c>
      <c r="E38" s="150">
        <f>+VLOOKUP(F38,'[5]Codes &amp; Descr. SFICS25'!D:E,2,FALSE)</f>
        <v>2201</v>
      </c>
      <c r="F38" s="150" t="s">
        <v>1642</v>
      </c>
      <c r="G38" s="150">
        <f>VLOOKUP(H38,'[5]Codes &amp; Descr. SFICS25'!F:H,2,FALSE)</f>
        <v>220103</v>
      </c>
      <c r="H38" s="150" t="s">
        <v>2986</v>
      </c>
      <c r="I38" s="150" t="s">
        <v>2987</v>
      </c>
      <c r="J38" s="150" t="s">
        <v>2987</v>
      </c>
      <c r="K38" s="149" t="s">
        <v>2986</v>
      </c>
      <c r="L38" s="160" t="s">
        <v>300</v>
      </c>
      <c r="M38" s="152" t="s">
        <v>1402</v>
      </c>
      <c r="N38" s="152" t="s">
        <v>2988</v>
      </c>
      <c r="O38" s="152" t="s">
        <v>2989</v>
      </c>
      <c r="P38" s="31" t="s">
        <v>2990</v>
      </c>
      <c r="Q38" s="31" t="s">
        <v>2991</v>
      </c>
      <c r="R38" s="152" t="s">
        <v>2738</v>
      </c>
      <c r="S38" s="152" t="s">
        <v>2738</v>
      </c>
      <c r="T38" s="153" t="s">
        <v>2979</v>
      </c>
      <c r="U38" s="154" t="s">
        <v>2930</v>
      </c>
      <c r="V38" s="154" t="s">
        <v>2741</v>
      </c>
      <c r="W38" s="34">
        <v>0</v>
      </c>
      <c r="X38" s="34">
        <v>0</v>
      </c>
      <c r="Y38" s="34">
        <v>0</v>
      </c>
      <c r="Z38" s="34">
        <v>0</v>
      </c>
      <c r="AA38" s="34">
        <f t="shared" si="0"/>
        <v>1</v>
      </c>
      <c r="AB38" s="34">
        <v>0</v>
      </c>
      <c r="AC38" s="120"/>
    </row>
    <row r="39" spans="1:29" ht="39.75" customHeight="1">
      <c r="A39" s="148"/>
      <c r="B39" s="148">
        <v>36</v>
      </c>
      <c r="C39" s="149">
        <f>VLOOKUP(D39,'[5]Codes &amp; Descr. SFICS25'!B:C,2,FALSE)</f>
        <v>22</v>
      </c>
      <c r="D39" s="150" t="s">
        <v>1641</v>
      </c>
      <c r="E39" s="150">
        <f>+VLOOKUP(F39,'[5]Codes &amp; Descr. SFICS25'!D:E,2,FALSE)</f>
        <v>2201</v>
      </c>
      <c r="F39" s="150" t="s">
        <v>1642</v>
      </c>
      <c r="G39" s="150">
        <f>VLOOKUP(H39,'[5]Codes &amp; Descr. SFICS25'!F:H,2,FALSE)</f>
        <v>220104</v>
      </c>
      <c r="H39" s="150" t="s">
        <v>2992</v>
      </c>
      <c r="I39" s="150" t="s">
        <v>2993</v>
      </c>
      <c r="J39" s="150" t="s">
        <v>2994</v>
      </c>
      <c r="K39" s="149" t="s">
        <v>2995</v>
      </c>
      <c r="L39" s="160" t="s">
        <v>309</v>
      </c>
      <c r="M39" s="152" t="s">
        <v>1402</v>
      </c>
      <c r="N39" s="152" t="s">
        <v>2996</v>
      </c>
      <c r="O39" s="152" t="s">
        <v>2997</v>
      </c>
      <c r="P39" s="31" t="s">
        <v>2998</v>
      </c>
      <c r="Q39" s="31" t="s">
        <v>2999</v>
      </c>
      <c r="R39" s="152" t="s">
        <v>2738</v>
      </c>
      <c r="S39" s="152" t="s">
        <v>2738</v>
      </c>
      <c r="T39" s="153" t="s">
        <v>2979</v>
      </c>
      <c r="U39" s="154" t="s">
        <v>2741</v>
      </c>
      <c r="V39" s="154" t="s">
        <v>2741</v>
      </c>
      <c r="W39" s="34">
        <v>0</v>
      </c>
      <c r="X39" s="34">
        <v>0</v>
      </c>
      <c r="Y39" s="34">
        <v>0</v>
      </c>
      <c r="Z39" s="34">
        <v>0</v>
      </c>
      <c r="AA39" s="34">
        <f t="shared" si="0"/>
        <v>1</v>
      </c>
      <c r="AB39" s="34">
        <v>0</v>
      </c>
      <c r="AC39" s="120"/>
    </row>
    <row r="40" spans="1:29" ht="39.75" customHeight="1">
      <c r="A40" s="148"/>
      <c r="B40" s="148">
        <v>37</v>
      </c>
      <c r="C40" s="149">
        <f>VLOOKUP(D40,'[5]Codes &amp; Descr. SFICS25'!B:C,2,FALSE)</f>
        <v>22</v>
      </c>
      <c r="D40" s="150" t="s">
        <v>1641</v>
      </c>
      <c r="E40" s="150">
        <f>+VLOOKUP(F40,'[5]Codes &amp; Descr. SFICS25'!D:E,2,FALSE)</f>
        <v>2201</v>
      </c>
      <c r="F40" s="150" t="s">
        <v>1642</v>
      </c>
      <c r="G40" s="150">
        <f>VLOOKUP(H40,'[5]Codes &amp; Descr. SFICS25'!F:H,2,FALSE)</f>
        <v>220105</v>
      </c>
      <c r="H40" s="150" t="s">
        <v>3000</v>
      </c>
      <c r="I40" s="150" t="s">
        <v>3001</v>
      </c>
      <c r="J40" s="150" t="s">
        <v>3002</v>
      </c>
      <c r="K40" s="149" t="s">
        <v>3003</v>
      </c>
      <c r="L40" s="160" t="s">
        <v>317</v>
      </c>
      <c r="M40" s="152" t="s">
        <v>1402</v>
      </c>
      <c r="N40" s="152" t="s">
        <v>3004</v>
      </c>
      <c r="O40" s="152" t="s">
        <v>3005</v>
      </c>
      <c r="P40" s="31" t="s">
        <v>3006</v>
      </c>
      <c r="Q40" s="31" t="s">
        <v>3007</v>
      </c>
      <c r="R40" s="152" t="s">
        <v>2738</v>
      </c>
      <c r="S40" s="152" t="s">
        <v>2738</v>
      </c>
      <c r="T40" s="153" t="s">
        <v>2979</v>
      </c>
      <c r="U40" s="154" t="s">
        <v>2930</v>
      </c>
      <c r="V40" s="154" t="s">
        <v>2741</v>
      </c>
      <c r="W40" s="34">
        <v>0</v>
      </c>
      <c r="X40" s="34">
        <v>0</v>
      </c>
      <c r="Y40" s="34">
        <v>0</v>
      </c>
      <c r="Z40" s="34">
        <v>0</v>
      </c>
      <c r="AA40" s="34">
        <f t="shared" si="0"/>
        <v>1</v>
      </c>
      <c r="AB40" s="34">
        <v>0</v>
      </c>
      <c r="AC40" s="120"/>
    </row>
    <row r="41" spans="1:29" ht="39.75" customHeight="1">
      <c r="A41" s="148"/>
      <c r="B41" s="148">
        <v>38</v>
      </c>
      <c r="C41" s="149">
        <f>VLOOKUP(D41,'[5]Codes &amp; Descr. SFICS25'!B:C,2,FALSE)</f>
        <v>22</v>
      </c>
      <c r="D41" s="150" t="s">
        <v>1641</v>
      </c>
      <c r="E41" s="150">
        <f>+VLOOKUP(F41,'[5]Codes &amp; Descr. SFICS25'!D:E,2,FALSE)</f>
        <v>2201</v>
      </c>
      <c r="F41" s="150" t="s">
        <v>1642</v>
      </c>
      <c r="G41" s="150">
        <f>VLOOKUP(H41,'[5]Codes &amp; Descr. SFICS25'!F:H,2,FALSE)</f>
        <v>220106</v>
      </c>
      <c r="H41" s="150" t="s">
        <v>3008</v>
      </c>
      <c r="I41" s="150" t="s">
        <v>3009</v>
      </c>
      <c r="J41" s="150" t="s">
        <v>3010</v>
      </c>
      <c r="K41" s="155" t="s">
        <v>3011</v>
      </c>
      <c r="L41" s="160" t="s">
        <v>325</v>
      </c>
      <c r="M41" s="152" t="s">
        <v>1402</v>
      </c>
      <c r="N41" s="152" t="s">
        <v>3012</v>
      </c>
      <c r="O41" s="152" t="s">
        <v>3013</v>
      </c>
      <c r="P41" s="31" t="s">
        <v>3014</v>
      </c>
      <c r="Q41" s="31" t="s">
        <v>3015</v>
      </c>
      <c r="R41" s="152" t="s">
        <v>2738</v>
      </c>
      <c r="S41" s="152" t="s">
        <v>2738</v>
      </c>
      <c r="T41" s="153" t="s">
        <v>2979</v>
      </c>
      <c r="U41" s="154" t="s">
        <v>2930</v>
      </c>
      <c r="V41" s="154" t="s">
        <v>2741</v>
      </c>
      <c r="W41" s="34">
        <v>0</v>
      </c>
      <c r="X41" s="34">
        <v>0</v>
      </c>
      <c r="Y41" s="34">
        <v>0</v>
      </c>
      <c r="Z41" s="34">
        <v>0</v>
      </c>
      <c r="AA41" s="34">
        <f t="shared" si="0"/>
        <v>1</v>
      </c>
      <c r="AB41" s="34">
        <v>0</v>
      </c>
      <c r="AC41" s="159"/>
    </row>
    <row r="42" spans="1:29" ht="39.75" customHeight="1">
      <c r="A42" s="148"/>
      <c r="B42" s="148">
        <v>39</v>
      </c>
      <c r="C42" s="149">
        <f>VLOOKUP(D42,'[5]Codes &amp; Descr. SFICS25'!B:C,2,FALSE)</f>
        <v>22</v>
      </c>
      <c r="D42" s="150" t="s">
        <v>1641</v>
      </c>
      <c r="E42" s="150">
        <f>+VLOOKUP(F42,'[5]Codes &amp; Descr. SFICS25'!D:E,2,FALSE)</f>
        <v>2202</v>
      </c>
      <c r="F42" s="150" t="s">
        <v>3016</v>
      </c>
      <c r="G42" s="150">
        <f>VLOOKUP(H42,'[5]Codes &amp; Descr. SFICS25'!F:H,2,FALSE)</f>
        <v>220201</v>
      </c>
      <c r="H42" s="150" t="s">
        <v>3017</v>
      </c>
      <c r="I42" s="150" t="s">
        <v>3018</v>
      </c>
      <c r="J42" s="150" t="s">
        <v>3019</v>
      </c>
      <c r="K42" s="157" t="s">
        <v>3020</v>
      </c>
      <c r="L42" s="160" t="s">
        <v>334</v>
      </c>
      <c r="M42" s="152" t="s">
        <v>1402</v>
      </c>
      <c r="N42" s="152" t="s">
        <v>3021</v>
      </c>
      <c r="O42" s="152" t="s">
        <v>3022</v>
      </c>
      <c r="P42" s="31" t="s">
        <v>3023</v>
      </c>
      <c r="Q42" s="31" t="s">
        <v>3024</v>
      </c>
      <c r="R42" s="152" t="s">
        <v>2738</v>
      </c>
      <c r="S42" s="152" t="s">
        <v>2738</v>
      </c>
      <c r="T42" s="153" t="s">
        <v>2979</v>
      </c>
      <c r="U42" s="154" t="s">
        <v>2930</v>
      </c>
      <c r="V42" s="154" t="s">
        <v>2741</v>
      </c>
      <c r="W42" s="34">
        <v>0</v>
      </c>
      <c r="X42" s="34">
        <v>0</v>
      </c>
      <c r="Y42" s="34">
        <v>0</v>
      </c>
      <c r="Z42" s="34">
        <v>0</v>
      </c>
      <c r="AA42" s="34">
        <f t="shared" si="0"/>
        <v>1</v>
      </c>
      <c r="AB42" s="34">
        <v>0</v>
      </c>
      <c r="AC42" s="159"/>
    </row>
    <row r="43" spans="1:29" ht="39.75" customHeight="1">
      <c r="A43" s="148"/>
      <c r="B43" s="148">
        <v>40</v>
      </c>
      <c r="C43" s="149">
        <f>VLOOKUP(D43,'[5]Codes &amp; Descr. SFICS25'!B:C,2,FALSE)</f>
        <v>22</v>
      </c>
      <c r="D43" s="150" t="s">
        <v>1641</v>
      </c>
      <c r="E43" s="150">
        <f>+VLOOKUP(F43,'[5]Codes &amp; Descr. SFICS25'!D:E,2,FALSE)</f>
        <v>2202</v>
      </c>
      <c r="F43" s="150" t="s">
        <v>3016</v>
      </c>
      <c r="G43" s="150">
        <f>VLOOKUP(H43,'[5]Codes &amp; Descr. SFICS25'!F:H,2,FALSE)</f>
        <v>220202</v>
      </c>
      <c r="H43" s="150" t="s">
        <v>3025</v>
      </c>
      <c r="I43" s="150" t="s">
        <v>3026</v>
      </c>
      <c r="J43" s="150" t="s">
        <v>3027</v>
      </c>
      <c r="K43" s="161" t="s">
        <v>3028</v>
      </c>
      <c r="L43" s="160" t="s">
        <v>343</v>
      </c>
      <c r="M43" s="152" t="s">
        <v>1402</v>
      </c>
      <c r="N43" s="152" t="s">
        <v>3029</v>
      </c>
      <c r="O43" s="152" t="s">
        <v>3030</v>
      </c>
      <c r="P43" s="31" t="s">
        <v>3031</v>
      </c>
      <c r="Q43" s="31" t="s">
        <v>3032</v>
      </c>
      <c r="R43" s="152" t="s">
        <v>2738</v>
      </c>
      <c r="S43" s="152" t="s">
        <v>2738</v>
      </c>
      <c r="T43" s="153" t="s">
        <v>2979</v>
      </c>
      <c r="U43" s="154" t="s">
        <v>2930</v>
      </c>
      <c r="V43" s="154" t="s">
        <v>2741</v>
      </c>
      <c r="W43" s="34">
        <v>0</v>
      </c>
      <c r="X43" s="34">
        <v>0</v>
      </c>
      <c r="Y43" s="34">
        <v>0</v>
      </c>
      <c r="Z43" s="34">
        <v>0</v>
      </c>
      <c r="AA43" s="34">
        <f t="shared" si="0"/>
        <v>1</v>
      </c>
      <c r="AB43" s="34">
        <v>0</v>
      </c>
      <c r="AC43" s="159"/>
    </row>
    <row r="44" spans="1:29" ht="39.75" customHeight="1">
      <c r="A44" s="148"/>
      <c r="B44" s="148">
        <v>41</v>
      </c>
      <c r="C44" s="149">
        <f>VLOOKUP(D44,'[5]Codes &amp; Descr. SFICS25'!B:C,2,FALSE)</f>
        <v>22</v>
      </c>
      <c r="D44" s="150" t="s">
        <v>1641</v>
      </c>
      <c r="E44" s="150">
        <f>+VLOOKUP(F44,'[5]Codes &amp; Descr. SFICS25'!D:E,2,FALSE)</f>
        <v>2202</v>
      </c>
      <c r="F44" s="150" t="s">
        <v>3016</v>
      </c>
      <c r="G44" s="150">
        <f>VLOOKUP(H44,'[5]Codes &amp; Descr. SFICS25'!F:H,2,FALSE)</f>
        <v>220203</v>
      </c>
      <c r="H44" s="150" t="s">
        <v>3033</v>
      </c>
      <c r="I44" s="150" t="s">
        <v>3034</v>
      </c>
      <c r="J44" s="150" t="s">
        <v>3035</v>
      </c>
      <c r="K44" s="158" t="s">
        <v>3036</v>
      </c>
      <c r="L44" s="160" t="s">
        <v>351</v>
      </c>
      <c r="M44" s="152" t="s">
        <v>1402</v>
      </c>
      <c r="N44" s="152" t="s">
        <v>3037</v>
      </c>
      <c r="O44" s="152" t="s">
        <v>3038</v>
      </c>
      <c r="P44" s="31" t="s">
        <v>2738</v>
      </c>
      <c r="Q44" s="31" t="s">
        <v>3039</v>
      </c>
      <c r="R44" s="152" t="s">
        <v>2738</v>
      </c>
      <c r="S44" s="152" t="s">
        <v>2738</v>
      </c>
      <c r="T44" s="153" t="s">
        <v>2979</v>
      </c>
      <c r="U44" s="154" t="s">
        <v>2930</v>
      </c>
      <c r="V44" s="154" t="s">
        <v>2741</v>
      </c>
      <c r="W44" s="34">
        <v>0</v>
      </c>
      <c r="X44" s="34">
        <v>0</v>
      </c>
      <c r="Y44" s="34">
        <v>0</v>
      </c>
      <c r="Z44" s="34">
        <v>0</v>
      </c>
      <c r="AA44" s="34">
        <f t="shared" si="0"/>
        <v>1</v>
      </c>
      <c r="AB44" s="34">
        <v>0</v>
      </c>
      <c r="AC44" s="120"/>
    </row>
    <row r="45" spans="1:29" ht="39.75" customHeight="1">
      <c r="A45" s="148"/>
      <c r="B45" s="148">
        <v>42</v>
      </c>
      <c r="C45" s="149">
        <f>VLOOKUP(D45,'[5]Codes &amp; Descr. SFICS25'!B:C,2,FALSE)</f>
        <v>22</v>
      </c>
      <c r="D45" s="150" t="s">
        <v>1641</v>
      </c>
      <c r="E45" s="150">
        <f>+VLOOKUP(F45,'[5]Codes &amp; Descr. SFICS25'!D:E,2,FALSE)</f>
        <v>2202</v>
      </c>
      <c r="F45" s="150" t="s">
        <v>3016</v>
      </c>
      <c r="G45" s="150">
        <f>VLOOKUP(H45,'[5]Codes &amp; Descr. SFICS25'!F:H,2,FALSE)</f>
        <v>220204</v>
      </c>
      <c r="H45" s="150" t="s">
        <v>3040</v>
      </c>
      <c r="I45" s="150" t="s">
        <v>3041</v>
      </c>
      <c r="J45" s="150" t="s">
        <v>3042</v>
      </c>
      <c r="K45" s="158" t="s">
        <v>3043</v>
      </c>
      <c r="L45" s="160" t="s">
        <v>358</v>
      </c>
      <c r="M45" s="152" t="s">
        <v>1402</v>
      </c>
      <c r="N45" s="152" t="s">
        <v>3044</v>
      </c>
      <c r="O45" s="152" t="s">
        <v>3045</v>
      </c>
      <c r="P45" s="31" t="s">
        <v>3046</v>
      </c>
      <c r="Q45" s="31" t="s">
        <v>3047</v>
      </c>
      <c r="R45" s="152" t="s">
        <v>2738</v>
      </c>
      <c r="S45" s="152" t="s">
        <v>2738</v>
      </c>
      <c r="T45" s="153" t="s">
        <v>2979</v>
      </c>
      <c r="U45" s="154" t="s">
        <v>2930</v>
      </c>
      <c r="V45" s="154" t="s">
        <v>2741</v>
      </c>
      <c r="W45" s="34">
        <v>0</v>
      </c>
      <c r="X45" s="34">
        <v>0</v>
      </c>
      <c r="Y45" s="34">
        <v>0</v>
      </c>
      <c r="Z45" s="34">
        <v>0</v>
      </c>
      <c r="AA45" s="34">
        <f t="shared" si="0"/>
        <v>1</v>
      </c>
      <c r="AB45" s="34">
        <v>0</v>
      </c>
      <c r="AC45" s="159"/>
    </row>
    <row r="46" spans="1:29" ht="39.75" customHeight="1">
      <c r="A46" s="148"/>
      <c r="B46" s="148">
        <v>43</v>
      </c>
      <c r="C46" s="149">
        <f>VLOOKUP(D46,'[5]Codes &amp; Descr. SFICS25'!B:C,2,FALSE)</f>
        <v>22</v>
      </c>
      <c r="D46" s="150" t="s">
        <v>1641</v>
      </c>
      <c r="E46" s="150">
        <f>+VLOOKUP(F46,'[5]Codes &amp; Descr. SFICS25'!D:E,2,FALSE)</f>
        <v>2202</v>
      </c>
      <c r="F46" s="150" t="s">
        <v>3016</v>
      </c>
      <c r="G46" s="150">
        <f>VLOOKUP(H46,'[5]Codes &amp; Descr. SFICS25'!F:H,2,FALSE)</f>
        <v>220205</v>
      </c>
      <c r="H46" s="150" t="s">
        <v>3048</v>
      </c>
      <c r="I46" s="150" t="s">
        <v>3049</v>
      </c>
      <c r="J46" s="150" t="s">
        <v>3050</v>
      </c>
      <c r="K46" s="158" t="s">
        <v>3051</v>
      </c>
      <c r="L46" s="160" t="s">
        <v>366</v>
      </c>
      <c r="M46" s="152" t="s">
        <v>1402</v>
      </c>
      <c r="N46" s="152" t="s">
        <v>3052</v>
      </c>
      <c r="O46" s="152" t="s">
        <v>3053</v>
      </c>
      <c r="P46" s="31" t="s">
        <v>2738</v>
      </c>
      <c r="Q46" s="31" t="s">
        <v>3054</v>
      </c>
      <c r="R46" s="152" t="s">
        <v>2738</v>
      </c>
      <c r="S46" s="152" t="s">
        <v>2738</v>
      </c>
      <c r="T46" s="153" t="s">
        <v>2979</v>
      </c>
      <c r="U46" s="154" t="s">
        <v>2930</v>
      </c>
      <c r="V46" s="154" t="s">
        <v>2741</v>
      </c>
      <c r="W46" s="34">
        <v>0</v>
      </c>
      <c r="X46" s="34">
        <v>0</v>
      </c>
      <c r="Y46" s="34">
        <v>0</v>
      </c>
      <c r="Z46" s="34">
        <v>0</v>
      </c>
      <c r="AA46" s="34">
        <f t="shared" si="0"/>
        <v>1</v>
      </c>
      <c r="AB46" s="34">
        <v>0</v>
      </c>
      <c r="AC46" s="159"/>
    </row>
    <row r="47" spans="1:29" ht="39.75" customHeight="1">
      <c r="A47" s="148"/>
      <c r="B47" s="148">
        <v>44</v>
      </c>
      <c r="C47" s="149">
        <f>VLOOKUP(D47,'[5]Codes &amp; Descr. SFICS25'!B:C,2,FALSE)</f>
        <v>22</v>
      </c>
      <c r="D47" s="150" t="s">
        <v>1641</v>
      </c>
      <c r="E47" s="150">
        <f>+VLOOKUP(F47,'[5]Codes &amp; Descr. SFICS25'!D:E,2,FALSE)</f>
        <v>2202</v>
      </c>
      <c r="F47" s="150" t="s">
        <v>3016</v>
      </c>
      <c r="G47" s="150">
        <f>VLOOKUP(H47,'[5]Codes &amp; Descr. SFICS25'!F:H,2,FALSE)</f>
        <v>220206</v>
      </c>
      <c r="H47" s="150" t="s">
        <v>3055</v>
      </c>
      <c r="I47" s="150" t="s">
        <v>3056</v>
      </c>
      <c r="J47" s="150" t="s">
        <v>3057</v>
      </c>
      <c r="K47" s="158" t="s">
        <v>3058</v>
      </c>
      <c r="L47" s="160" t="s">
        <v>373</v>
      </c>
      <c r="M47" s="152" t="s">
        <v>1402</v>
      </c>
      <c r="N47" s="152" t="s">
        <v>3059</v>
      </c>
      <c r="O47" s="152" t="s">
        <v>3060</v>
      </c>
      <c r="P47" s="31" t="s">
        <v>2738</v>
      </c>
      <c r="Q47" s="31" t="s">
        <v>3061</v>
      </c>
      <c r="R47" s="152" t="s">
        <v>2738</v>
      </c>
      <c r="S47" s="152" t="s">
        <v>2738</v>
      </c>
      <c r="T47" s="153" t="s">
        <v>2979</v>
      </c>
      <c r="U47" s="154" t="s">
        <v>2930</v>
      </c>
      <c r="V47" s="154" t="s">
        <v>2741</v>
      </c>
      <c r="W47" s="34">
        <v>0</v>
      </c>
      <c r="X47" s="34">
        <v>0</v>
      </c>
      <c r="Y47" s="34">
        <v>0</v>
      </c>
      <c r="Z47" s="34">
        <v>0</v>
      </c>
      <c r="AA47" s="34">
        <f t="shared" si="0"/>
        <v>1</v>
      </c>
      <c r="AB47" s="34">
        <v>0</v>
      </c>
      <c r="AC47" s="120"/>
    </row>
    <row r="48" spans="1:29" ht="39.75" customHeight="1">
      <c r="A48" s="148"/>
      <c r="B48" s="148">
        <v>45</v>
      </c>
      <c r="C48" s="149">
        <f>VLOOKUP(D48,'[5]Codes &amp; Descr. SFICS25'!B:C,2,FALSE)</f>
        <v>22</v>
      </c>
      <c r="D48" s="150" t="s">
        <v>1641</v>
      </c>
      <c r="E48" s="150">
        <f>+VLOOKUP(F48,'[5]Codes &amp; Descr. SFICS25'!D:E,2,FALSE)</f>
        <v>2203</v>
      </c>
      <c r="F48" s="150" t="s">
        <v>3062</v>
      </c>
      <c r="G48" s="150">
        <f>VLOOKUP(H48,'[5]Codes &amp; Descr. SFICS25'!F:H,2,FALSE)</f>
        <v>220301</v>
      </c>
      <c r="H48" s="150" t="s">
        <v>3063</v>
      </c>
      <c r="I48" s="150" t="s">
        <v>3064</v>
      </c>
      <c r="J48" s="150" t="s">
        <v>3064</v>
      </c>
      <c r="K48" s="155" t="s">
        <v>3063</v>
      </c>
      <c r="L48" s="160" t="s">
        <v>378</v>
      </c>
      <c r="M48" s="152" t="s">
        <v>1402</v>
      </c>
      <c r="N48" s="152" t="s">
        <v>3065</v>
      </c>
      <c r="O48" s="152" t="s">
        <v>3066</v>
      </c>
      <c r="P48" s="31" t="s">
        <v>2738</v>
      </c>
      <c r="Q48" s="31" t="s">
        <v>3067</v>
      </c>
      <c r="R48" s="152" t="s">
        <v>2738</v>
      </c>
      <c r="S48" s="152" t="s">
        <v>2738</v>
      </c>
      <c r="T48" s="153" t="s">
        <v>2979</v>
      </c>
      <c r="U48" s="154" t="s">
        <v>2930</v>
      </c>
      <c r="V48" s="34">
        <v>0</v>
      </c>
      <c r="W48" s="34">
        <v>0</v>
      </c>
      <c r="X48" s="34">
        <v>0</v>
      </c>
      <c r="Y48" s="34">
        <v>0</v>
      </c>
      <c r="Z48" s="34">
        <v>0</v>
      </c>
      <c r="AA48" s="34">
        <f t="shared" si="0"/>
        <v>1</v>
      </c>
      <c r="AB48" s="34">
        <v>0</v>
      </c>
      <c r="AC48" s="159" t="s">
        <v>383</v>
      </c>
    </row>
    <row r="49" spans="1:29" ht="39.75" customHeight="1">
      <c r="A49" s="148"/>
      <c r="B49" s="148">
        <v>46</v>
      </c>
      <c r="C49" s="149">
        <f>VLOOKUP(D49,'[5]Codes &amp; Descr. SFICS25'!B:C,2,FALSE)</f>
        <v>22</v>
      </c>
      <c r="D49" s="150" t="s">
        <v>1641</v>
      </c>
      <c r="E49" s="150">
        <f>+VLOOKUP(F49,'[5]Codes &amp; Descr. SFICS25'!D:E,2,FALSE)</f>
        <v>2203</v>
      </c>
      <c r="F49" s="150" t="s">
        <v>3062</v>
      </c>
      <c r="G49" s="150">
        <f>VLOOKUP(H49,'[5]Codes &amp; Descr. SFICS25'!F:H,2,FALSE)</f>
        <v>220302</v>
      </c>
      <c r="H49" s="150" t="s">
        <v>3068</v>
      </c>
      <c r="I49" s="150" t="s">
        <v>3069</v>
      </c>
      <c r="J49" s="150" t="s">
        <v>3070</v>
      </c>
      <c r="K49" s="155" t="s">
        <v>3068</v>
      </c>
      <c r="L49" s="160" t="s">
        <v>384</v>
      </c>
      <c r="M49" s="152" t="s">
        <v>1402</v>
      </c>
      <c r="N49" s="152" t="s">
        <v>3071</v>
      </c>
      <c r="O49" s="152" t="s">
        <v>3072</v>
      </c>
      <c r="P49" s="31" t="s">
        <v>3073</v>
      </c>
      <c r="Q49" s="31" t="s">
        <v>3074</v>
      </c>
      <c r="R49" s="152" t="s">
        <v>2738</v>
      </c>
      <c r="S49" s="152" t="s">
        <v>2738</v>
      </c>
      <c r="T49" s="153" t="s">
        <v>2979</v>
      </c>
      <c r="U49" s="154" t="s">
        <v>2880</v>
      </c>
      <c r="V49" s="34">
        <v>0</v>
      </c>
      <c r="W49" s="34">
        <v>0</v>
      </c>
      <c r="X49" s="34">
        <v>0</v>
      </c>
      <c r="Y49" s="34">
        <v>0</v>
      </c>
      <c r="Z49" s="34">
        <v>0</v>
      </c>
      <c r="AA49" s="34">
        <f t="shared" si="0"/>
        <v>1</v>
      </c>
      <c r="AB49" s="34">
        <v>0</v>
      </c>
      <c r="AC49" s="159" t="s">
        <v>383</v>
      </c>
    </row>
    <row r="50" spans="1:29" ht="39.75" customHeight="1">
      <c r="A50" s="148"/>
      <c r="B50" s="148">
        <v>47</v>
      </c>
      <c r="C50" s="149">
        <f>VLOOKUP(D50,'[5]Codes &amp; Descr. SFICS25'!B:C,2,FALSE)</f>
        <v>22</v>
      </c>
      <c r="D50" s="150" t="s">
        <v>1641</v>
      </c>
      <c r="E50" s="150">
        <f>+VLOOKUP(F50,'[5]Codes &amp; Descr. SFICS25'!D:E,2,FALSE)</f>
        <v>2203</v>
      </c>
      <c r="F50" s="150" t="s">
        <v>3062</v>
      </c>
      <c r="G50" s="150">
        <f>VLOOKUP(H50,'[5]Codes &amp; Descr. SFICS25'!F:H,2,FALSE)</f>
        <v>220303</v>
      </c>
      <c r="H50" s="150" t="s">
        <v>3075</v>
      </c>
      <c r="I50" s="150" t="s">
        <v>3076</v>
      </c>
      <c r="J50" s="150" t="s">
        <v>3076</v>
      </c>
      <c r="K50" s="155" t="s">
        <v>3075</v>
      </c>
      <c r="L50" s="160" t="s">
        <v>390</v>
      </c>
      <c r="M50" s="152" t="s">
        <v>1402</v>
      </c>
      <c r="N50" s="152" t="s">
        <v>3077</v>
      </c>
      <c r="O50" s="152" t="s">
        <v>3078</v>
      </c>
      <c r="P50" s="31" t="s">
        <v>2738</v>
      </c>
      <c r="Q50" s="31" t="s">
        <v>3079</v>
      </c>
      <c r="R50" s="152" t="s">
        <v>2738</v>
      </c>
      <c r="S50" s="152" t="s">
        <v>2738</v>
      </c>
      <c r="T50" s="153" t="s">
        <v>2979</v>
      </c>
      <c r="U50" s="154" t="s">
        <v>2741</v>
      </c>
      <c r="V50" s="34">
        <v>0</v>
      </c>
      <c r="W50" s="34">
        <v>0</v>
      </c>
      <c r="X50" s="34">
        <v>0</v>
      </c>
      <c r="Y50" s="34">
        <v>0</v>
      </c>
      <c r="Z50" s="34">
        <v>0</v>
      </c>
      <c r="AA50" s="34">
        <f t="shared" si="0"/>
        <v>1</v>
      </c>
      <c r="AB50" s="34">
        <v>0</v>
      </c>
      <c r="AC50" s="120"/>
    </row>
    <row r="51" spans="1:29" ht="39.75" customHeight="1">
      <c r="A51" s="148"/>
      <c r="B51" s="148">
        <v>48</v>
      </c>
      <c r="C51" s="149">
        <f>VLOOKUP(D51,'[5]Codes &amp; Descr. SFICS25'!B:C,2,FALSE)</f>
        <v>22</v>
      </c>
      <c r="D51" s="150" t="s">
        <v>1641</v>
      </c>
      <c r="E51" s="150">
        <f>+VLOOKUP(F51,'[5]Codes &amp; Descr. SFICS25'!D:E,2,FALSE)</f>
        <v>2204</v>
      </c>
      <c r="F51" s="150" t="s">
        <v>3080</v>
      </c>
      <c r="G51" s="150">
        <f>VLOOKUP(H51,'[5]Codes &amp; Descr. SFICS25'!F:H,2,FALSE)</f>
        <v>220401</v>
      </c>
      <c r="H51" s="150" t="s">
        <v>3081</v>
      </c>
      <c r="I51" s="150" t="s">
        <v>3082</v>
      </c>
      <c r="J51" s="150" t="s">
        <v>3083</v>
      </c>
      <c r="K51" s="149" t="s">
        <v>3084</v>
      </c>
      <c r="L51" s="160" t="s">
        <v>399</v>
      </c>
      <c r="M51" s="152" t="s">
        <v>1402</v>
      </c>
      <c r="N51" s="152" t="s">
        <v>3085</v>
      </c>
      <c r="O51" s="152" t="s">
        <v>3086</v>
      </c>
      <c r="P51" s="31" t="s">
        <v>2928</v>
      </c>
      <c r="Q51" s="31" t="s">
        <v>3087</v>
      </c>
      <c r="R51" s="152" t="s">
        <v>2738</v>
      </c>
      <c r="S51" s="152" t="s">
        <v>2738</v>
      </c>
      <c r="T51" s="153" t="s">
        <v>2979</v>
      </c>
      <c r="U51" s="154" t="s">
        <v>2880</v>
      </c>
      <c r="V51" s="154" t="s">
        <v>2741</v>
      </c>
      <c r="W51" s="34">
        <v>0</v>
      </c>
      <c r="X51" s="34">
        <v>0</v>
      </c>
      <c r="Y51" s="34">
        <v>0</v>
      </c>
      <c r="Z51" s="34">
        <v>0</v>
      </c>
      <c r="AA51" s="34">
        <f t="shared" si="0"/>
        <v>1</v>
      </c>
      <c r="AB51" s="34">
        <v>0</v>
      </c>
      <c r="AC51" s="120"/>
    </row>
    <row r="52" spans="1:29" ht="39.75" customHeight="1">
      <c r="A52" s="148"/>
      <c r="B52" s="148">
        <v>49</v>
      </c>
      <c r="C52" s="149">
        <f>VLOOKUP(D52,'[5]Codes &amp; Descr. SFICS25'!B:C,2,FALSE)</f>
        <v>22</v>
      </c>
      <c r="D52" s="150" t="s">
        <v>1641</v>
      </c>
      <c r="E52" s="150">
        <f>+VLOOKUP(F52,'[5]Codes &amp; Descr. SFICS25'!D:E,2,FALSE)</f>
        <v>2204</v>
      </c>
      <c r="F52" s="150" t="s">
        <v>3080</v>
      </c>
      <c r="G52" s="150">
        <f>VLOOKUP(H52,'[5]Codes &amp; Descr. SFICS25'!F:H,2,FALSE)</f>
        <v>220402</v>
      </c>
      <c r="H52" s="150" t="s">
        <v>3088</v>
      </c>
      <c r="I52" s="150" t="s">
        <v>3089</v>
      </c>
      <c r="J52" s="150" t="s">
        <v>3090</v>
      </c>
      <c r="K52" s="149" t="s">
        <v>3091</v>
      </c>
      <c r="L52" s="160" t="s">
        <v>406</v>
      </c>
      <c r="M52" s="152" t="s">
        <v>1402</v>
      </c>
      <c r="N52" s="152" t="s">
        <v>3092</v>
      </c>
      <c r="O52" s="152" t="s">
        <v>3093</v>
      </c>
      <c r="P52" s="31" t="s">
        <v>2738</v>
      </c>
      <c r="Q52" s="31" t="s">
        <v>3094</v>
      </c>
      <c r="R52" s="152" t="s">
        <v>2738</v>
      </c>
      <c r="S52" s="152" t="s">
        <v>2738</v>
      </c>
      <c r="T52" s="153" t="s">
        <v>2979</v>
      </c>
      <c r="U52" s="154" t="s">
        <v>2880</v>
      </c>
      <c r="V52" s="34">
        <v>0</v>
      </c>
      <c r="W52" s="34">
        <v>0</v>
      </c>
      <c r="X52" s="34">
        <v>0</v>
      </c>
      <c r="Y52" s="34">
        <v>0</v>
      </c>
      <c r="Z52" s="34">
        <v>0</v>
      </c>
      <c r="AA52" s="34">
        <f t="shared" si="0"/>
        <v>1</v>
      </c>
      <c r="AB52" s="34">
        <v>0</v>
      </c>
      <c r="AC52" s="159"/>
    </row>
    <row r="53" spans="1:29" ht="39.75" customHeight="1">
      <c r="A53" s="148"/>
      <c r="B53" s="148">
        <v>50</v>
      </c>
      <c r="C53" s="149">
        <f>VLOOKUP(D53,'[5]Codes &amp; Descr. SFICS25'!B:C,2,FALSE)</f>
        <v>22</v>
      </c>
      <c r="D53" s="150" t="s">
        <v>1641</v>
      </c>
      <c r="E53" s="150">
        <f>+VLOOKUP(F53,'[5]Codes &amp; Descr. SFICS25'!D:E,2,FALSE)</f>
        <v>2204</v>
      </c>
      <c r="F53" s="150" t="s">
        <v>3080</v>
      </c>
      <c r="G53" s="150">
        <f>VLOOKUP(H53,'[5]Codes &amp; Descr. SFICS25'!F:H,2,FALSE)</f>
        <v>220403</v>
      </c>
      <c r="H53" s="150" t="s">
        <v>3095</v>
      </c>
      <c r="I53" s="150" t="s">
        <v>3096</v>
      </c>
      <c r="J53" s="150" t="s">
        <v>3097</v>
      </c>
      <c r="K53" s="158" t="s">
        <v>3098</v>
      </c>
      <c r="L53" s="160" t="s">
        <v>412</v>
      </c>
      <c r="M53" s="152" t="s">
        <v>1402</v>
      </c>
      <c r="N53" s="152" t="s">
        <v>3099</v>
      </c>
      <c r="O53" s="152" t="s">
        <v>3100</v>
      </c>
      <c r="P53" s="31" t="s">
        <v>3101</v>
      </c>
      <c r="Q53" s="31" t="s">
        <v>3102</v>
      </c>
      <c r="R53" s="152" t="s">
        <v>2738</v>
      </c>
      <c r="S53" s="152" t="s">
        <v>2738</v>
      </c>
      <c r="T53" s="153" t="s">
        <v>2979</v>
      </c>
      <c r="U53" s="154" t="s">
        <v>2880</v>
      </c>
      <c r="V53" s="154" t="s">
        <v>2741</v>
      </c>
      <c r="W53" s="34">
        <v>0</v>
      </c>
      <c r="X53" s="34">
        <v>0</v>
      </c>
      <c r="Y53" s="34">
        <v>0</v>
      </c>
      <c r="Z53" s="34">
        <v>0</v>
      </c>
      <c r="AA53" s="34">
        <f t="shared" si="0"/>
        <v>1</v>
      </c>
      <c r="AB53" s="34">
        <v>0</v>
      </c>
      <c r="AC53" s="159"/>
    </row>
    <row r="54" spans="1:29" ht="39.75" customHeight="1">
      <c r="A54" s="148"/>
      <c r="B54" s="148">
        <v>51</v>
      </c>
      <c r="C54" s="149">
        <f>VLOOKUP(D54,'[5]Codes &amp; Descr. SFICS25'!B:C,2,FALSE)</f>
        <v>22</v>
      </c>
      <c r="D54" s="150" t="s">
        <v>1641</v>
      </c>
      <c r="E54" s="150">
        <f>+VLOOKUP(F54,'[5]Codes &amp; Descr. SFICS25'!D:E,2,FALSE)</f>
        <v>2204</v>
      </c>
      <c r="F54" s="150" t="s">
        <v>3080</v>
      </c>
      <c r="G54" s="150">
        <f>VLOOKUP(H54,'[5]Codes &amp; Descr. SFICS25'!F:H,2,FALSE)</f>
        <v>220404</v>
      </c>
      <c r="H54" s="150" t="s">
        <v>3103</v>
      </c>
      <c r="I54" s="150" t="s">
        <v>3104</v>
      </c>
      <c r="J54" s="150" t="s">
        <v>3105</v>
      </c>
      <c r="K54" s="157" t="s">
        <v>3106</v>
      </c>
      <c r="L54" s="160" t="s">
        <v>420</v>
      </c>
      <c r="M54" s="152" t="s">
        <v>1402</v>
      </c>
      <c r="N54" s="152" t="s">
        <v>3107</v>
      </c>
      <c r="O54" s="152" t="s">
        <v>3108</v>
      </c>
      <c r="P54" s="31" t="s">
        <v>2738</v>
      </c>
      <c r="Q54" s="31" t="s">
        <v>3109</v>
      </c>
      <c r="R54" s="152" t="s">
        <v>2738</v>
      </c>
      <c r="S54" s="152" t="s">
        <v>2738</v>
      </c>
      <c r="T54" s="153" t="s">
        <v>2979</v>
      </c>
      <c r="U54" s="154" t="s">
        <v>2880</v>
      </c>
      <c r="V54" s="34">
        <v>0</v>
      </c>
      <c r="W54" s="34">
        <v>0</v>
      </c>
      <c r="X54" s="34">
        <v>0</v>
      </c>
      <c r="Y54" s="34">
        <v>0</v>
      </c>
      <c r="Z54" s="34">
        <v>0</v>
      </c>
      <c r="AA54" s="34">
        <f t="shared" si="0"/>
        <v>1</v>
      </c>
      <c r="AB54" s="34">
        <v>0</v>
      </c>
      <c r="AC54" s="120"/>
    </row>
    <row r="55" spans="1:29" ht="39.75" customHeight="1">
      <c r="A55" s="148"/>
      <c r="B55" s="148">
        <v>52</v>
      </c>
      <c r="C55" s="149">
        <f>VLOOKUP(D55,'[5]Codes &amp; Descr. SFICS25'!B:C,2,FALSE)</f>
        <v>22</v>
      </c>
      <c r="D55" s="150" t="s">
        <v>1641</v>
      </c>
      <c r="E55" s="150">
        <f>+VLOOKUP(F55,'[5]Codes &amp; Descr. SFICS25'!D:E,2,FALSE)</f>
        <v>2204</v>
      </c>
      <c r="F55" s="150" t="s">
        <v>3080</v>
      </c>
      <c r="G55" s="150">
        <f>VLOOKUP(H55,'[5]Codes &amp; Descr. SFICS25'!F:H,2,FALSE)</f>
        <v>220405</v>
      </c>
      <c r="H55" s="150" t="s">
        <v>3110</v>
      </c>
      <c r="I55" s="150" t="s">
        <v>3111</v>
      </c>
      <c r="J55" s="150" t="s">
        <v>3112</v>
      </c>
      <c r="K55" s="155" t="s">
        <v>3113</v>
      </c>
      <c r="L55" s="160" t="s">
        <v>427</v>
      </c>
      <c r="M55" s="152" t="s">
        <v>1402</v>
      </c>
      <c r="N55" s="152" t="s">
        <v>3114</v>
      </c>
      <c r="O55" s="152" t="s">
        <v>3115</v>
      </c>
      <c r="P55" s="31" t="s">
        <v>3116</v>
      </c>
      <c r="Q55" s="31" t="s">
        <v>3117</v>
      </c>
      <c r="R55" s="152" t="s">
        <v>2738</v>
      </c>
      <c r="S55" s="152" t="s">
        <v>2738</v>
      </c>
      <c r="T55" s="153" t="s">
        <v>2979</v>
      </c>
      <c r="U55" s="154" t="s">
        <v>2880</v>
      </c>
      <c r="V55" s="154" t="s">
        <v>2741</v>
      </c>
      <c r="W55" s="34">
        <v>0</v>
      </c>
      <c r="X55" s="34">
        <v>0</v>
      </c>
      <c r="Y55" s="34">
        <v>0</v>
      </c>
      <c r="Z55" s="34">
        <v>0</v>
      </c>
      <c r="AA55" s="34">
        <f t="shared" si="0"/>
        <v>1</v>
      </c>
      <c r="AB55" s="34">
        <v>0</v>
      </c>
      <c r="AC55" s="120"/>
    </row>
    <row r="56" spans="1:29" ht="39.75" customHeight="1">
      <c r="A56" s="148"/>
      <c r="B56" s="148">
        <v>53</v>
      </c>
      <c r="C56" s="149">
        <f>VLOOKUP(D56,'[5]Codes &amp; Descr. SFICS25'!B:C,2,FALSE)</f>
        <v>22</v>
      </c>
      <c r="D56" s="150" t="s">
        <v>1641</v>
      </c>
      <c r="E56" s="150">
        <f>+VLOOKUP(F56,'[5]Codes &amp; Descr. SFICS25'!D:E,2,FALSE)</f>
        <v>2205</v>
      </c>
      <c r="F56" s="150" t="s">
        <v>3118</v>
      </c>
      <c r="G56" s="150">
        <f>VLOOKUP(H56,'[5]Codes &amp; Descr. SFICS25'!F:H,2,FALSE)</f>
        <v>220501</v>
      </c>
      <c r="H56" s="150" t="s">
        <v>3119</v>
      </c>
      <c r="I56" s="150" t="s">
        <v>3120</v>
      </c>
      <c r="J56" s="150" t="s">
        <v>3121</v>
      </c>
      <c r="K56" s="155" t="s">
        <v>3118</v>
      </c>
      <c r="L56" s="160" t="s">
        <v>281</v>
      </c>
      <c r="M56" s="152" t="s">
        <v>1402</v>
      </c>
      <c r="N56" s="152" t="s">
        <v>2738</v>
      </c>
      <c r="O56" s="152" t="s">
        <v>2738</v>
      </c>
      <c r="P56" s="31" t="s">
        <v>3122</v>
      </c>
      <c r="Q56" s="31" t="s">
        <v>2738</v>
      </c>
      <c r="R56" s="152" t="s">
        <v>2738</v>
      </c>
      <c r="S56" s="152" t="s">
        <v>2738</v>
      </c>
      <c r="T56" s="153" t="s">
        <v>2979</v>
      </c>
      <c r="U56" s="34">
        <v>0</v>
      </c>
      <c r="V56" s="34">
        <v>0</v>
      </c>
      <c r="W56" s="34">
        <v>0</v>
      </c>
      <c r="X56" s="34">
        <v>0</v>
      </c>
      <c r="Y56" s="34">
        <v>0</v>
      </c>
      <c r="Z56" s="34">
        <v>0</v>
      </c>
      <c r="AA56" s="34">
        <f t="shared" si="0"/>
        <v>1</v>
      </c>
      <c r="AB56" s="34">
        <v>0</v>
      </c>
      <c r="AC56" s="120"/>
    </row>
    <row r="57" spans="1:29" ht="36" customHeight="1">
      <c r="A57" s="156"/>
      <c r="B57" s="148">
        <v>54</v>
      </c>
      <c r="C57" s="149">
        <f>VLOOKUP(D57,'[5]Codes &amp; Descr. SFICS25'!B:C,2,FALSE)</f>
        <v>23</v>
      </c>
      <c r="D57" s="150" t="s">
        <v>3123</v>
      </c>
      <c r="E57" s="150">
        <f>+VLOOKUP(F57,'[5]Codes &amp; Descr. SFICS25'!D:E,2,FALSE)</f>
        <v>2301</v>
      </c>
      <c r="F57" s="150" t="s">
        <v>3124</v>
      </c>
      <c r="G57" s="150">
        <f>VLOOKUP(H57,'[5]Codes &amp; Descr. SFICS25'!F:H,2,FALSE)</f>
        <v>230102</v>
      </c>
      <c r="H57" s="150" t="s">
        <v>3125</v>
      </c>
      <c r="I57" s="150" t="s">
        <v>3126</v>
      </c>
      <c r="J57" s="150" t="s">
        <v>3127</v>
      </c>
      <c r="K57" s="149" t="s">
        <v>3128</v>
      </c>
      <c r="L57" s="151" t="s">
        <v>436</v>
      </c>
      <c r="M57" s="152" t="s">
        <v>1402</v>
      </c>
      <c r="N57" s="152" t="s">
        <v>3129</v>
      </c>
      <c r="O57" s="152" t="s">
        <v>3130</v>
      </c>
      <c r="P57" s="194" t="s">
        <v>3131</v>
      </c>
      <c r="Q57" s="31" t="s">
        <v>3132</v>
      </c>
      <c r="R57" s="152" t="s">
        <v>2738</v>
      </c>
      <c r="S57" s="152" t="s">
        <v>2738</v>
      </c>
      <c r="T57" s="153" t="s">
        <v>3133</v>
      </c>
      <c r="U57" s="154" t="s">
        <v>2741</v>
      </c>
      <c r="V57" s="154" t="s">
        <v>2741</v>
      </c>
      <c r="W57" s="33">
        <v>0</v>
      </c>
      <c r="X57" s="33" t="s">
        <v>2741</v>
      </c>
      <c r="Y57" s="33">
        <v>0</v>
      </c>
      <c r="Z57" s="33">
        <v>0</v>
      </c>
      <c r="AA57" s="33">
        <f t="shared" si="0"/>
        <v>1</v>
      </c>
      <c r="AB57" s="33">
        <v>0</v>
      </c>
      <c r="AC57" s="120" t="s">
        <v>383</v>
      </c>
    </row>
    <row r="58" spans="1:29" ht="40.5" customHeight="1">
      <c r="A58" s="156"/>
      <c r="B58" s="148">
        <v>55</v>
      </c>
      <c r="C58" s="149">
        <f>VLOOKUP(D58,'[5]Codes &amp; Descr. SFICS25'!B:C,2,FALSE)</f>
        <v>23</v>
      </c>
      <c r="D58" s="150" t="s">
        <v>3123</v>
      </c>
      <c r="E58" s="150">
        <f>+VLOOKUP(F58,'[5]Codes &amp; Descr. SFICS25'!D:E,2,FALSE)</f>
        <v>2301</v>
      </c>
      <c r="F58" s="150" t="s">
        <v>3124</v>
      </c>
      <c r="G58" s="150">
        <f>VLOOKUP(H58,'[5]Codes &amp; Descr. SFICS25'!F:H,2,FALSE)</f>
        <v>230103</v>
      </c>
      <c r="H58" s="150" t="s">
        <v>3134</v>
      </c>
      <c r="I58" s="150" t="s">
        <v>3135</v>
      </c>
      <c r="J58" s="150" t="s">
        <v>3136</v>
      </c>
      <c r="K58" s="149" t="s">
        <v>3137</v>
      </c>
      <c r="L58" s="151" t="s">
        <v>436</v>
      </c>
      <c r="M58" s="152" t="s">
        <v>1402</v>
      </c>
      <c r="N58" s="152" t="s">
        <v>3138</v>
      </c>
      <c r="O58" s="152" t="s">
        <v>3139</v>
      </c>
      <c r="P58" s="194" t="s">
        <v>3140</v>
      </c>
      <c r="Q58" s="31" t="s">
        <v>3141</v>
      </c>
      <c r="R58" s="152" t="s">
        <v>2738</v>
      </c>
      <c r="S58" s="152" t="s">
        <v>2738</v>
      </c>
      <c r="T58" s="153" t="s">
        <v>3133</v>
      </c>
      <c r="U58" s="154" t="s">
        <v>2741</v>
      </c>
      <c r="V58" s="154" t="s">
        <v>2741</v>
      </c>
      <c r="W58" s="34">
        <v>0</v>
      </c>
      <c r="X58" s="33" t="s">
        <v>2741</v>
      </c>
      <c r="Y58" s="34">
        <v>0</v>
      </c>
      <c r="Z58" s="34">
        <v>0</v>
      </c>
      <c r="AA58" s="34">
        <f t="shared" si="0"/>
        <v>1</v>
      </c>
      <c r="AB58" s="34">
        <v>0</v>
      </c>
      <c r="AC58" s="120" t="s">
        <v>383</v>
      </c>
    </row>
    <row r="59" spans="1:29" ht="39.75" customHeight="1">
      <c r="A59" s="156"/>
      <c r="B59" s="148">
        <v>56</v>
      </c>
      <c r="C59" s="149">
        <f>VLOOKUP(D59,'[5]Codes &amp; Descr. SFICS25'!B:C,2,FALSE)</f>
        <v>23</v>
      </c>
      <c r="D59" s="150" t="s">
        <v>3123</v>
      </c>
      <c r="E59" s="150">
        <f>+VLOOKUP(F59,'[5]Codes &amp; Descr. SFICS25'!D:E,2,FALSE)</f>
        <v>2301</v>
      </c>
      <c r="F59" s="150" t="s">
        <v>3124</v>
      </c>
      <c r="G59" s="150">
        <f>VLOOKUP(H59,'[5]Codes &amp; Descr. SFICS25'!F:H,2,FALSE)</f>
        <v>230104</v>
      </c>
      <c r="H59" s="150" t="s">
        <v>3142</v>
      </c>
      <c r="I59" s="150" t="s">
        <v>3143</v>
      </c>
      <c r="J59" s="150" t="s">
        <v>3144</v>
      </c>
      <c r="K59" s="149" t="s">
        <v>3145</v>
      </c>
      <c r="L59" s="151" t="s">
        <v>436</v>
      </c>
      <c r="M59" s="152" t="s">
        <v>1402</v>
      </c>
      <c r="N59" s="152" t="s">
        <v>3129</v>
      </c>
      <c r="O59" s="152" t="s">
        <v>3146</v>
      </c>
      <c r="P59" s="194" t="s">
        <v>3147</v>
      </c>
      <c r="Q59" s="31" t="s">
        <v>3148</v>
      </c>
      <c r="R59" s="152" t="s">
        <v>2738</v>
      </c>
      <c r="S59" s="152" t="s">
        <v>2738</v>
      </c>
      <c r="T59" s="153" t="s">
        <v>3133</v>
      </c>
      <c r="U59" s="154" t="s">
        <v>2741</v>
      </c>
      <c r="V59" s="154" t="s">
        <v>2741</v>
      </c>
      <c r="W59" s="34">
        <v>0</v>
      </c>
      <c r="X59" s="33" t="s">
        <v>2741</v>
      </c>
      <c r="Y59" s="34">
        <v>0</v>
      </c>
      <c r="Z59" s="34">
        <v>0</v>
      </c>
      <c r="AA59" s="34">
        <f t="shared" si="0"/>
        <v>1</v>
      </c>
      <c r="AB59" s="34">
        <v>0</v>
      </c>
      <c r="AC59" s="120"/>
    </row>
    <row r="60" spans="1:29" ht="31.5" customHeight="1">
      <c r="A60" s="156"/>
      <c r="B60" s="148">
        <v>57</v>
      </c>
      <c r="C60" s="149">
        <f>VLOOKUP(D60,'[5]Codes &amp; Descr. SFICS25'!B:C,2,FALSE)</f>
        <v>23</v>
      </c>
      <c r="D60" s="150" t="s">
        <v>3123</v>
      </c>
      <c r="E60" s="150">
        <f>+VLOOKUP(F60,'[5]Codes &amp; Descr. SFICS25'!D:E,2,FALSE)</f>
        <v>2301</v>
      </c>
      <c r="F60" s="150" t="s">
        <v>3124</v>
      </c>
      <c r="G60" s="150">
        <f>VLOOKUP(H60,'[5]Codes &amp; Descr. SFICS25'!F:H,2,FALSE)</f>
        <v>230105</v>
      </c>
      <c r="H60" s="150" t="s">
        <v>3149</v>
      </c>
      <c r="I60" s="150" t="s">
        <v>3150</v>
      </c>
      <c r="J60" s="150" t="s">
        <v>3151</v>
      </c>
      <c r="K60" s="149" t="s">
        <v>3152</v>
      </c>
      <c r="L60" s="151" t="s">
        <v>436</v>
      </c>
      <c r="M60" s="152" t="s">
        <v>1402</v>
      </c>
      <c r="N60" s="152" t="s">
        <v>3138</v>
      </c>
      <c r="O60" s="152" t="s">
        <v>3153</v>
      </c>
      <c r="P60" s="194" t="s">
        <v>3147</v>
      </c>
      <c r="Q60" s="31" t="s">
        <v>3154</v>
      </c>
      <c r="R60" s="152" t="s">
        <v>2738</v>
      </c>
      <c r="S60" s="152" t="s">
        <v>2738</v>
      </c>
      <c r="T60" s="153" t="s">
        <v>3133</v>
      </c>
      <c r="U60" s="154" t="s">
        <v>2741</v>
      </c>
      <c r="V60" s="154" t="s">
        <v>2741</v>
      </c>
      <c r="W60" s="34">
        <v>0</v>
      </c>
      <c r="X60" s="33" t="s">
        <v>2741</v>
      </c>
      <c r="Y60" s="34">
        <v>0</v>
      </c>
      <c r="Z60" s="34">
        <v>0</v>
      </c>
      <c r="AA60" s="34">
        <f t="shared" si="0"/>
        <v>1</v>
      </c>
      <c r="AB60" s="34">
        <v>0</v>
      </c>
      <c r="AC60" s="120"/>
    </row>
    <row r="61" spans="1:29" ht="39.75" customHeight="1">
      <c r="A61" s="156"/>
      <c r="B61" s="148">
        <v>58</v>
      </c>
      <c r="C61" s="149">
        <f>VLOOKUP(D61,'[5]Codes &amp; Descr. SFICS25'!B:C,2,FALSE)</f>
        <v>23</v>
      </c>
      <c r="D61" s="150" t="s">
        <v>3123</v>
      </c>
      <c r="E61" s="150">
        <f>+VLOOKUP(F61,'[5]Codes &amp; Descr. SFICS25'!D:E,2,FALSE)</f>
        <v>2301</v>
      </c>
      <c r="F61" s="150" t="s">
        <v>3124</v>
      </c>
      <c r="G61" s="150">
        <f>VLOOKUP(H61,'[5]Codes &amp; Descr. SFICS25'!F:H,2,FALSE)</f>
        <v>230106</v>
      </c>
      <c r="H61" s="150" t="s">
        <v>3155</v>
      </c>
      <c r="I61" s="150" t="s">
        <v>3156</v>
      </c>
      <c r="J61" s="150" t="s">
        <v>3157</v>
      </c>
      <c r="K61" s="149" t="s">
        <v>3158</v>
      </c>
      <c r="L61" s="151" t="s">
        <v>436</v>
      </c>
      <c r="M61" s="152" t="s">
        <v>1402</v>
      </c>
      <c r="N61" s="152" t="s">
        <v>3129</v>
      </c>
      <c r="O61" s="152" t="s">
        <v>3159</v>
      </c>
      <c r="P61" s="194" t="s">
        <v>3160</v>
      </c>
      <c r="Q61" s="31" t="s">
        <v>3161</v>
      </c>
      <c r="R61" s="152" t="s">
        <v>2738</v>
      </c>
      <c r="S61" s="152" t="s">
        <v>2738</v>
      </c>
      <c r="T61" s="153" t="s">
        <v>3133</v>
      </c>
      <c r="U61" s="154" t="s">
        <v>2741</v>
      </c>
      <c r="V61" s="154" t="s">
        <v>2741</v>
      </c>
      <c r="W61" s="34">
        <v>0</v>
      </c>
      <c r="X61" s="33" t="s">
        <v>2741</v>
      </c>
      <c r="Y61" s="34">
        <v>0</v>
      </c>
      <c r="Z61" s="34">
        <v>0</v>
      </c>
      <c r="AA61" s="34">
        <f t="shared" si="0"/>
        <v>1</v>
      </c>
      <c r="AB61" s="34">
        <v>0</v>
      </c>
      <c r="AC61" s="120"/>
    </row>
    <row r="62" spans="1:29" ht="33" customHeight="1">
      <c r="A62" s="156"/>
      <c r="B62" s="148">
        <v>59</v>
      </c>
      <c r="C62" s="149">
        <f>VLOOKUP(D62,'[5]Codes &amp; Descr. SFICS25'!B:C,2,FALSE)</f>
        <v>23</v>
      </c>
      <c r="D62" s="150" t="s">
        <v>3123</v>
      </c>
      <c r="E62" s="150">
        <f>+VLOOKUP(F62,'[5]Codes &amp; Descr. SFICS25'!D:E,2,FALSE)</f>
        <v>2301</v>
      </c>
      <c r="F62" s="150" t="s">
        <v>3124</v>
      </c>
      <c r="G62" s="150">
        <f>VLOOKUP(H62,'[5]Codes &amp; Descr. SFICS25'!F:H,2,FALSE)</f>
        <v>230107</v>
      </c>
      <c r="H62" s="150" t="s">
        <v>3162</v>
      </c>
      <c r="I62" s="150" t="s">
        <v>3163</v>
      </c>
      <c r="J62" s="150" t="s">
        <v>3164</v>
      </c>
      <c r="K62" s="149" t="s">
        <v>3165</v>
      </c>
      <c r="L62" s="151" t="s">
        <v>436</v>
      </c>
      <c r="M62" s="152" t="s">
        <v>1402</v>
      </c>
      <c r="N62" s="152" t="s">
        <v>3138</v>
      </c>
      <c r="O62" s="152" t="s">
        <v>3166</v>
      </c>
      <c r="P62" s="194" t="s">
        <v>3167</v>
      </c>
      <c r="Q62" s="31" t="s">
        <v>3168</v>
      </c>
      <c r="R62" s="152" t="s">
        <v>2738</v>
      </c>
      <c r="S62" s="152" t="s">
        <v>2738</v>
      </c>
      <c r="T62" s="153" t="s">
        <v>3133</v>
      </c>
      <c r="U62" s="154" t="s">
        <v>2741</v>
      </c>
      <c r="V62" s="154" t="s">
        <v>2741</v>
      </c>
      <c r="W62" s="34">
        <v>0</v>
      </c>
      <c r="X62" s="33" t="s">
        <v>2741</v>
      </c>
      <c r="Y62" s="34">
        <v>0</v>
      </c>
      <c r="Z62" s="34">
        <v>0</v>
      </c>
      <c r="AA62" s="34">
        <f t="shared" si="0"/>
        <v>1</v>
      </c>
      <c r="AB62" s="34">
        <v>0</v>
      </c>
      <c r="AC62" s="120"/>
    </row>
    <row r="63" spans="1:29" ht="39.75" customHeight="1">
      <c r="A63" s="156"/>
      <c r="B63" s="148">
        <v>60</v>
      </c>
      <c r="C63" s="149">
        <f>VLOOKUP(D63,'[5]Codes &amp; Descr. SFICS25'!B:C,2,FALSE)</f>
        <v>23</v>
      </c>
      <c r="D63" s="150" t="s">
        <v>3123</v>
      </c>
      <c r="E63" s="150">
        <f>+VLOOKUP(F63,'[5]Codes &amp; Descr. SFICS25'!D:E,2,FALSE)</f>
        <v>2301</v>
      </c>
      <c r="F63" s="150" t="s">
        <v>3124</v>
      </c>
      <c r="G63" s="150">
        <f>VLOOKUP(H63,'[5]Codes &amp; Descr. SFICS25'!F:H,2,FALSE)</f>
        <v>230108</v>
      </c>
      <c r="H63" s="150" t="s">
        <v>3169</v>
      </c>
      <c r="I63" s="150" t="s">
        <v>3170</v>
      </c>
      <c r="J63" s="150" t="s">
        <v>3171</v>
      </c>
      <c r="K63" s="149" t="s">
        <v>3172</v>
      </c>
      <c r="L63" s="151" t="s">
        <v>436</v>
      </c>
      <c r="M63" s="152" t="s">
        <v>1402</v>
      </c>
      <c r="N63" s="152" t="s">
        <v>3173</v>
      </c>
      <c r="O63" s="152" t="s">
        <v>3174</v>
      </c>
      <c r="P63" s="194" t="s">
        <v>3175</v>
      </c>
      <c r="Q63" s="31" t="s">
        <v>3176</v>
      </c>
      <c r="R63" s="152" t="s">
        <v>2738</v>
      </c>
      <c r="S63" s="152" t="s">
        <v>2738</v>
      </c>
      <c r="T63" s="153" t="s">
        <v>3133</v>
      </c>
      <c r="U63" s="154" t="s">
        <v>2741</v>
      </c>
      <c r="V63" s="154" t="s">
        <v>2741</v>
      </c>
      <c r="W63" s="34">
        <v>0</v>
      </c>
      <c r="X63" s="33" t="s">
        <v>2741</v>
      </c>
      <c r="Y63" s="34">
        <v>0</v>
      </c>
      <c r="Z63" s="34">
        <v>0</v>
      </c>
      <c r="AA63" s="34">
        <f t="shared" si="0"/>
        <v>1</v>
      </c>
      <c r="AB63" s="34">
        <v>0</v>
      </c>
      <c r="AC63" s="120"/>
    </row>
    <row r="64" spans="1:29" ht="39.75" customHeight="1">
      <c r="A64" s="156"/>
      <c r="B64" s="148">
        <v>61</v>
      </c>
      <c r="C64" s="149">
        <f>VLOOKUP(D64,'[5]Codes &amp; Descr. SFICS25'!B:C,2,FALSE)</f>
        <v>23</v>
      </c>
      <c r="D64" s="150" t="s">
        <v>3123</v>
      </c>
      <c r="E64" s="150">
        <f>+VLOOKUP(F64,'[5]Codes &amp; Descr. SFICS25'!D:E,2,FALSE)</f>
        <v>2301</v>
      </c>
      <c r="F64" s="150" t="s">
        <v>3124</v>
      </c>
      <c r="G64" s="150">
        <f>VLOOKUP(H64,'[5]Codes &amp; Descr. SFICS25'!F:H,2,FALSE)</f>
        <v>230109</v>
      </c>
      <c r="H64" s="150" t="s">
        <v>3177</v>
      </c>
      <c r="I64" s="150" t="s">
        <v>3178</v>
      </c>
      <c r="J64" s="150" t="s">
        <v>3179</v>
      </c>
      <c r="K64" s="149" t="s">
        <v>3180</v>
      </c>
      <c r="L64" s="151" t="s">
        <v>436</v>
      </c>
      <c r="M64" s="152" t="s">
        <v>1402</v>
      </c>
      <c r="N64" s="152" t="s">
        <v>3173</v>
      </c>
      <c r="O64" s="152" t="s">
        <v>3181</v>
      </c>
      <c r="P64" s="194" t="s">
        <v>3182</v>
      </c>
      <c r="Q64" s="31" t="s">
        <v>3183</v>
      </c>
      <c r="R64" s="152" t="s">
        <v>2738</v>
      </c>
      <c r="S64" s="152" t="s">
        <v>2738</v>
      </c>
      <c r="T64" s="153" t="s">
        <v>3133</v>
      </c>
      <c r="U64" s="154" t="s">
        <v>2741</v>
      </c>
      <c r="V64" s="154" t="s">
        <v>2741</v>
      </c>
      <c r="W64" s="34">
        <v>0</v>
      </c>
      <c r="X64" s="33" t="s">
        <v>2741</v>
      </c>
      <c r="Y64" s="34">
        <v>0</v>
      </c>
      <c r="Z64" s="34">
        <v>0</v>
      </c>
      <c r="AA64" s="34">
        <f t="shared" si="0"/>
        <v>1</v>
      </c>
      <c r="AB64" s="34">
        <v>0</v>
      </c>
      <c r="AC64" s="120" t="s">
        <v>383</v>
      </c>
    </row>
    <row r="65" spans="1:29" ht="41.25" customHeight="1">
      <c r="A65" s="156"/>
      <c r="B65" s="148">
        <v>62</v>
      </c>
      <c r="C65" s="149">
        <f>VLOOKUP(D65,'[5]Codes &amp; Descr. SFICS25'!B:C,2,FALSE)</f>
        <v>23</v>
      </c>
      <c r="D65" s="150" t="s">
        <v>3123</v>
      </c>
      <c r="E65" s="150">
        <f>+VLOOKUP(F65,'[5]Codes &amp; Descr. SFICS25'!D:E,2,FALSE)</f>
        <v>2301</v>
      </c>
      <c r="F65" s="150" t="s">
        <v>3124</v>
      </c>
      <c r="G65" s="150">
        <f>VLOOKUP(H65,'[5]Codes &amp; Descr. SFICS25'!F:H,2,FALSE)</f>
        <v>230110</v>
      </c>
      <c r="H65" s="150" t="s">
        <v>3184</v>
      </c>
      <c r="I65" s="150" t="s">
        <v>3185</v>
      </c>
      <c r="J65" s="150" t="s">
        <v>3186</v>
      </c>
      <c r="K65" s="149" t="s">
        <v>3187</v>
      </c>
      <c r="L65" s="151" t="s">
        <v>436</v>
      </c>
      <c r="M65" s="152" t="s">
        <v>1402</v>
      </c>
      <c r="N65" s="152" t="s">
        <v>3138</v>
      </c>
      <c r="O65" s="152" t="s">
        <v>3188</v>
      </c>
      <c r="P65" s="194" t="s">
        <v>3189</v>
      </c>
      <c r="Q65" s="31" t="s">
        <v>3190</v>
      </c>
      <c r="R65" s="152" t="s">
        <v>2738</v>
      </c>
      <c r="S65" s="152" t="s">
        <v>2738</v>
      </c>
      <c r="T65" s="153" t="s">
        <v>3133</v>
      </c>
      <c r="U65" s="154" t="s">
        <v>2741</v>
      </c>
      <c r="V65" s="154" t="s">
        <v>2741</v>
      </c>
      <c r="W65" s="34">
        <v>0</v>
      </c>
      <c r="X65" s="33" t="s">
        <v>2741</v>
      </c>
      <c r="Y65" s="34">
        <v>0</v>
      </c>
      <c r="Z65" s="34">
        <v>0</v>
      </c>
      <c r="AA65" s="34">
        <f t="shared" si="0"/>
        <v>1</v>
      </c>
      <c r="AB65" s="34">
        <v>0</v>
      </c>
      <c r="AC65" s="120" t="s">
        <v>383</v>
      </c>
    </row>
    <row r="66" spans="1:29" ht="39.75" customHeight="1">
      <c r="A66" s="156"/>
      <c r="B66" s="148">
        <v>63</v>
      </c>
      <c r="C66" s="149">
        <f>VLOOKUP(D66,'[5]Codes &amp; Descr. SFICS25'!B:C,2,FALSE)</f>
        <v>23</v>
      </c>
      <c r="D66" s="150" t="s">
        <v>3123</v>
      </c>
      <c r="E66" s="150">
        <f>+VLOOKUP(F66,'[5]Codes &amp; Descr. SFICS25'!D:E,2,FALSE)</f>
        <v>2302</v>
      </c>
      <c r="F66" s="150" t="s">
        <v>3191</v>
      </c>
      <c r="G66" s="150" t="s">
        <v>1301</v>
      </c>
      <c r="H66" s="150" t="s">
        <v>507</v>
      </c>
      <c r="I66" s="150" t="s">
        <v>507</v>
      </c>
      <c r="J66" s="150" t="s">
        <v>3191</v>
      </c>
      <c r="K66" s="155" t="s">
        <v>3192</v>
      </c>
      <c r="L66" s="151" t="s">
        <v>509</v>
      </c>
      <c r="M66" s="152" t="s">
        <v>1402</v>
      </c>
      <c r="N66" s="152" t="s">
        <v>3193</v>
      </c>
      <c r="O66" s="152" t="s">
        <v>3194</v>
      </c>
      <c r="P66" s="194" t="s">
        <v>3195</v>
      </c>
      <c r="Q66" s="194" t="s">
        <v>3196</v>
      </c>
      <c r="R66" s="152" t="s">
        <v>2738</v>
      </c>
      <c r="S66" s="152" t="s">
        <v>2738</v>
      </c>
      <c r="T66" s="153" t="s">
        <v>3133</v>
      </c>
      <c r="U66" s="154" t="s">
        <v>2741</v>
      </c>
      <c r="V66" s="154" t="s">
        <v>2741</v>
      </c>
      <c r="W66" s="34">
        <v>0</v>
      </c>
      <c r="X66" s="33" t="s">
        <v>2741</v>
      </c>
      <c r="Y66" s="34">
        <v>0</v>
      </c>
      <c r="Z66" s="34">
        <v>0</v>
      </c>
      <c r="AA66" s="34">
        <f t="shared" si="0"/>
        <v>1</v>
      </c>
      <c r="AB66" s="34">
        <v>0</v>
      </c>
      <c r="AC66" s="120"/>
    </row>
    <row r="67" spans="1:29" ht="39.75" customHeight="1">
      <c r="A67" s="156"/>
      <c r="B67" s="148">
        <v>64</v>
      </c>
      <c r="C67" s="149">
        <f>VLOOKUP(D67,'[5]Codes &amp; Descr. SFICS25'!B:C,2,FALSE)</f>
        <v>23</v>
      </c>
      <c r="D67" s="150" t="s">
        <v>3123</v>
      </c>
      <c r="E67" s="150">
        <f>+VLOOKUP(F67,'[5]Codes &amp; Descr. SFICS25'!D:E,2,FALSE)</f>
        <v>2304</v>
      </c>
      <c r="F67" s="150" t="s">
        <v>3197</v>
      </c>
      <c r="G67" s="150">
        <f>VLOOKUP(H67,'[5]Codes &amp; Descr. SFICS25'!F:H,2,FALSE)</f>
        <v>230401</v>
      </c>
      <c r="H67" s="150" t="s">
        <v>3198</v>
      </c>
      <c r="I67" s="150" t="s">
        <v>3199</v>
      </c>
      <c r="J67" s="150" t="s">
        <v>3200</v>
      </c>
      <c r="K67" s="149" t="s">
        <v>3201</v>
      </c>
      <c r="L67" s="151" t="s">
        <v>519</v>
      </c>
      <c r="M67" s="152" t="s">
        <v>1402</v>
      </c>
      <c r="N67" s="152" t="s">
        <v>3202</v>
      </c>
      <c r="O67" s="152" t="s">
        <v>3203</v>
      </c>
      <c r="P67" s="194" t="s">
        <v>3204</v>
      </c>
      <c r="Q67" s="31" t="s">
        <v>3205</v>
      </c>
      <c r="R67" s="152" t="s">
        <v>2738</v>
      </c>
      <c r="S67" s="152" t="s">
        <v>2738</v>
      </c>
      <c r="T67" s="153" t="s">
        <v>3133</v>
      </c>
      <c r="U67" s="154" t="s">
        <v>2741</v>
      </c>
      <c r="V67" s="154" t="s">
        <v>2741</v>
      </c>
      <c r="W67" s="34">
        <v>0</v>
      </c>
      <c r="X67" s="34">
        <v>0</v>
      </c>
      <c r="Y67" s="34">
        <v>0</v>
      </c>
      <c r="Z67" s="34">
        <v>0</v>
      </c>
      <c r="AA67" s="34">
        <f t="shared" si="0"/>
        <v>1</v>
      </c>
      <c r="AB67" s="34">
        <v>0</v>
      </c>
      <c r="AC67" s="120" t="s">
        <v>383</v>
      </c>
    </row>
    <row r="68" spans="1:29" ht="39.75" customHeight="1">
      <c r="A68" s="156"/>
      <c r="B68" s="148">
        <v>65</v>
      </c>
      <c r="C68" s="149">
        <f>VLOOKUP(D68,'[5]Codes &amp; Descr. SFICS25'!B:C,2,FALSE)</f>
        <v>23</v>
      </c>
      <c r="D68" s="150" t="s">
        <v>3123</v>
      </c>
      <c r="E68" s="150">
        <f>+VLOOKUP(F68,'[5]Codes &amp; Descr. SFICS25'!D:E,2,FALSE)</f>
        <v>2304</v>
      </c>
      <c r="F68" s="150" t="s">
        <v>3197</v>
      </c>
      <c r="G68" s="150">
        <f>VLOOKUP(H68,'[5]Codes &amp; Descr. SFICS25'!F:H,2,FALSE)</f>
        <v>230402</v>
      </c>
      <c r="H68" s="150" t="s">
        <v>3206</v>
      </c>
      <c r="I68" s="150" t="s">
        <v>3207</v>
      </c>
      <c r="J68" s="150" t="s">
        <v>3208</v>
      </c>
      <c r="K68" s="149" t="s">
        <v>3209</v>
      </c>
      <c r="L68" s="151" t="s">
        <v>519</v>
      </c>
      <c r="M68" s="152" t="s">
        <v>1402</v>
      </c>
      <c r="N68" s="152" t="s">
        <v>3210</v>
      </c>
      <c r="O68" s="152" t="s">
        <v>3211</v>
      </c>
      <c r="P68" s="194" t="s">
        <v>3212</v>
      </c>
      <c r="Q68" s="31" t="s">
        <v>3213</v>
      </c>
      <c r="R68" s="152" t="s">
        <v>2738</v>
      </c>
      <c r="S68" s="152" t="s">
        <v>2738</v>
      </c>
      <c r="T68" s="153" t="s">
        <v>3133</v>
      </c>
      <c r="U68" s="154" t="s">
        <v>2741</v>
      </c>
      <c r="V68" s="154" t="s">
        <v>2741</v>
      </c>
      <c r="W68" s="34">
        <v>0</v>
      </c>
      <c r="X68" s="34">
        <v>0</v>
      </c>
      <c r="Y68" s="34">
        <v>0</v>
      </c>
      <c r="Z68" s="34">
        <v>0</v>
      </c>
      <c r="AA68" s="34">
        <f t="shared" si="0"/>
        <v>1</v>
      </c>
      <c r="AB68" s="34">
        <v>0</v>
      </c>
      <c r="AC68" s="120" t="s">
        <v>383</v>
      </c>
    </row>
    <row r="69" spans="1:29" ht="39.75" customHeight="1">
      <c r="A69" s="156"/>
      <c r="B69" s="148">
        <v>66</v>
      </c>
      <c r="C69" s="149">
        <f>VLOOKUP(D69,'[5]Codes &amp; Descr. SFICS25'!B:C,2,FALSE)</f>
        <v>23</v>
      </c>
      <c r="D69" s="150" t="s">
        <v>3123</v>
      </c>
      <c r="E69" s="150">
        <f>+VLOOKUP(F69,'[5]Codes &amp; Descr. SFICS25'!D:E,2,FALSE)</f>
        <v>2304</v>
      </c>
      <c r="F69" s="150" t="s">
        <v>3197</v>
      </c>
      <c r="G69" s="150">
        <f>VLOOKUP(H69,'[5]Codes &amp; Descr. SFICS25'!F:H,2,FALSE)</f>
        <v>230403</v>
      </c>
      <c r="H69" s="150" t="s">
        <v>3214</v>
      </c>
      <c r="I69" s="150" t="s">
        <v>3215</v>
      </c>
      <c r="J69" s="150" t="s">
        <v>3216</v>
      </c>
      <c r="K69" s="149" t="s">
        <v>3217</v>
      </c>
      <c r="L69" s="151" t="s">
        <v>519</v>
      </c>
      <c r="M69" s="152" t="s">
        <v>1402</v>
      </c>
      <c r="N69" s="152" t="s">
        <v>3202</v>
      </c>
      <c r="O69" s="152" t="s">
        <v>3218</v>
      </c>
      <c r="P69" s="194" t="s">
        <v>3219</v>
      </c>
      <c r="Q69" s="31" t="s">
        <v>3220</v>
      </c>
      <c r="R69" s="152" t="s">
        <v>2738</v>
      </c>
      <c r="S69" s="152" t="s">
        <v>2738</v>
      </c>
      <c r="T69" s="153" t="s">
        <v>3133</v>
      </c>
      <c r="U69" s="154" t="s">
        <v>2741</v>
      </c>
      <c r="V69" s="154" t="s">
        <v>2741</v>
      </c>
      <c r="W69" s="34">
        <v>0</v>
      </c>
      <c r="X69" s="34">
        <v>0</v>
      </c>
      <c r="Y69" s="34">
        <v>0</v>
      </c>
      <c r="Z69" s="34">
        <v>0</v>
      </c>
      <c r="AA69" s="34">
        <f t="shared" ref="AA69:AA133" si="1">IF(P69="Not applicable",0,1)</f>
        <v>1</v>
      </c>
      <c r="AB69" s="34">
        <v>0</v>
      </c>
      <c r="AC69" s="120" t="s">
        <v>383</v>
      </c>
    </row>
    <row r="70" spans="1:29" ht="39.75" customHeight="1">
      <c r="A70" s="156"/>
      <c r="B70" s="148">
        <v>67</v>
      </c>
      <c r="C70" s="149">
        <f>VLOOKUP(D70,'[5]Codes &amp; Descr. SFICS25'!B:C,2,FALSE)</f>
        <v>23</v>
      </c>
      <c r="D70" s="150" t="s">
        <v>3123</v>
      </c>
      <c r="E70" s="150">
        <f>+VLOOKUP(F70,'[5]Codes &amp; Descr. SFICS25'!D:E,2,FALSE)</f>
        <v>2304</v>
      </c>
      <c r="F70" s="150" t="s">
        <v>3197</v>
      </c>
      <c r="G70" s="150">
        <f>VLOOKUP(H70,'[5]Codes &amp; Descr. SFICS25'!F:H,2,FALSE)</f>
        <v>230404</v>
      </c>
      <c r="H70" s="150" t="s">
        <v>3221</v>
      </c>
      <c r="I70" s="150" t="s">
        <v>3222</v>
      </c>
      <c r="J70" s="150" t="s">
        <v>3223</v>
      </c>
      <c r="K70" s="149" t="s">
        <v>3224</v>
      </c>
      <c r="L70" s="151" t="s">
        <v>519</v>
      </c>
      <c r="M70" s="152" t="s">
        <v>1402</v>
      </c>
      <c r="N70" s="152" t="s">
        <v>3210</v>
      </c>
      <c r="O70" s="152" t="s">
        <v>3225</v>
      </c>
      <c r="P70" s="194" t="s">
        <v>3226</v>
      </c>
      <c r="Q70" s="31" t="s">
        <v>3227</v>
      </c>
      <c r="R70" s="152" t="s">
        <v>2738</v>
      </c>
      <c r="S70" s="152" t="s">
        <v>2738</v>
      </c>
      <c r="T70" s="153" t="s">
        <v>3133</v>
      </c>
      <c r="U70" s="154" t="s">
        <v>2741</v>
      </c>
      <c r="V70" s="154" t="s">
        <v>2741</v>
      </c>
      <c r="W70" s="34">
        <v>0</v>
      </c>
      <c r="X70" s="34">
        <v>0</v>
      </c>
      <c r="Y70" s="34">
        <v>0</v>
      </c>
      <c r="Z70" s="34">
        <v>0</v>
      </c>
      <c r="AA70" s="34">
        <f t="shared" si="1"/>
        <v>1</v>
      </c>
      <c r="AB70" s="34">
        <v>0</v>
      </c>
      <c r="AC70" s="120" t="s">
        <v>383</v>
      </c>
    </row>
    <row r="71" spans="1:29" ht="39.75" customHeight="1">
      <c r="A71" s="156"/>
      <c r="B71" s="148">
        <v>68</v>
      </c>
      <c r="C71" s="149">
        <f>VLOOKUP(D71,'[5]Codes &amp; Descr. SFICS25'!B:C,2,FALSE)</f>
        <v>23</v>
      </c>
      <c r="D71" s="150" t="s">
        <v>3123</v>
      </c>
      <c r="E71" s="150">
        <f>+VLOOKUP(F71,'[5]Codes &amp; Descr. SFICS25'!D:E,2,FALSE)</f>
        <v>2304</v>
      </c>
      <c r="F71" s="150" t="s">
        <v>3197</v>
      </c>
      <c r="G71" s="150">
        <f>VLOOKUP(H71,'[5]Codes &amp; Descr. SFICS25'!F:H,2,FALSE)</f>
        <v>230405</v>
      </c>
      <c r="H71" s="150" t="s">
        <v>3228</v>
      </c>
      <c r="I71" s="150" t="s">
        <v>3229</v>
      </c>
      <c r="J71" s="150" t="s">
        <v>3230</v>
      </c>
      <c r="K71" s="149" t="s">
        <v>3231</v>
      </c>
      <c r="L71" s="151" t="s">
        <v>519</v>
      </c>
      <c r="M71" s="152" t="s">
        <v>1402</v>
      </c>
      <c r="N71" s="152" t="s">
        <v>3202</v>
      </c>
      <c r="O71" s="152" t="s">
        <v>3232</v>
      </c>
      <c r="P71" s="194" t="s">
        <v>3233</v>
      </c>
      <c r="Q71" s="31" t="s">
        <v>3234</v>
      </c>
      <c r="R71" s="152" t="s">
        <v>2738</v>
      </c>
      <c r="S71" s="152" t="s">
        <v>2738</v>
      </c>
      <c r="T71" s="153" t="s">
        <v>3133</v>
      </c>
      <c r="U71" s="154" t="s">
        <v>2741</v>
      </c>
      <c r="V71" s="154" t="s">
        <v>2741</v>
      </c>
      <c r="W71" s="34">
        <v>0</v>
      </c>
      <c r="X71" s="34">
        <v>0</v>
      </c>
      <c r="Y71" s="34">
        <v>0</v>
      </c>
      <c r="Z71" s="34">
        <v>0</v>
      </c>
      <c r="AA71" s="34">
        <f t="shared" si="1"/>
        <v>1</v>
      </c>
      <c r="AB71" s="34">
        <v>0</v>
      </c>
      <c r="AC71" s="120" t="s">
        <v>383</v>
      </c>
    </row>
    <row r="72" spans="1:29" ht="39.75" customHeight="1">
      <c r="A72" s="156"/>
      <c r="B72" s="148">
        <v>69</v>
      </c>
      <c r="C72" s="149">
        <f>VLOOKUP(D72,'[5]Codes &amp; Descr. SFICS25'!B:C,2,FALSE)</f>
        <v>23</v>
      </c>
      <c r="D72" s="150" t="s">
        <v>3123</v>
      </c>
      <c r="E72" s="150">
        <f>+VLOOKUP(F72,'[5]Codes &amp; Descr. SFICS25'!D:E,2,FALSE)</f>
        <v>2304</v>
      </c>
      <c r="F72" s="150" t="s">
        <v>3197</v>
      </c>
      <c r="G72" s="150">
        <f>VLOOKUP(H72,'[5]Codes &amp; Descr. SFICS25'!F:H,2,FALSE)</f>
        <v>230406</v>
      </c>
      <c r="H72" s="150" t="s">
        <v>3235</v>
      </c>
      <c r="I72" s="150" t="s">
        <v>3236</v>
      </c>
      <c r="J72" s="150" t="s">
        <v>3237</v>
      </c>
      <c r="K72" s="149" t="s">
        <v>3238</v>
      </c>
      <c r="L72" s="151" t="s">
        <v>519</v>
      </c>
      <c r="M72" s="152" t="s">
        <v>1402</v>
      </c>
      <c r="N72" s="152" t="s">
        <v>3239</v>
      </c>
      <c r="O72" s="152" t="s">
        <v>3240</v>
      </c>
      <c r="P72" s="194" t="s">
        <v>3241</v>
      </c>
      <c r="Q72" s="31" t="s">
        <v>3242</v>
      </c>
      <c r="R72" s="152" t="s">
        <v>2738</v>
      </c>
      <c r="S72" s="152" t="s">
        <v>2738</v>
      </c>
      <c r="T72" s="153" t="s">
        <v>3133</v>
      </c>
      <c r="U72" s="154" t="s">
        <v>2741</v>
      </c>
      <c r="V72" s="154" t="s">
        <v>2741</v>
      </c>
      <c r="W72" s="34">
        <v>0</v>
      </c>
      <c r="X72" s="34">
        <v>0</v>
      </c>
      <c r="Y72" s="34">
        <v>0</v>
      </c>
      <c r="Z72" s="34">
        <v>0</v>
      </c>
      <c r="AA72" s="34">
        <f t="shared" si="1"/>
        <v>1</v>
      </c>
      <c r="AB72" s="34">
        <v>0</v>
      </c>
      <c r="AC72" s="120" t="s">
        <v>383</v>
      </c>
    </row>
    <row r="73" spans="1:29" ht="39.75" customHeight="1">
      <c r="A73" s="156"/>
      <c r="B73" s="148">
        <v>70</v>
      </c>
      <c r="C73" s="149">
        <f>VLOOKUP(D73,'[5]Codes &amp; Descr. SFICS25'!B:C,2,FALSE)</f>
        <v>23</v>
      </c>
      <c r="D73" s="150" t="s">
        <v>3123</v>
      </c>
      <c r="E73" s="150">
        <f>+VLOOKUP(F73,'[5]Codes &amp; Descr. SFICS25'!D:E,2,FALSE)</f>
        <v>2304</v>
      </c>
      <c r="F73" s="150" t="s">
        <v>3197</v>
      </c>
      <c r="G73" s="150">
        <f>VLOOKUP(H73,'[5]Codes &amp; Descr. SFICS25'!F:H,2,FALSE)</f>
        <v>230407</v>
      </c>
      <c r="H73" s="150" t="s">
        <v>3243</v>
      </c>
      <c r="I73" s="150" t="s">
        <v>3244</v>
      </c>
      <c r="J73" s="150" t="s">
        <v>3245</v>
      </c>
      <c r="K73" s="149" t="s">
        <v>3246</v>
      </c>
      <c r="L73" s="151" t="s">
        <v>519</v>
      </c>
      <c r="M73" s="152" t="s">
        <v>1402</v>
      </c>
      <c r="N73" s="152" t="s">
        <v>3247</v>
      </c>
      <c r="O73" s="152" t="s">
        <v>3248</v>
      </c>
      <c r="P73" s="194" t="s">
        <v>3249</v>
      </c>
      <c r="Q73" s="31" t="s">
        <v>3250</v>
      </c>
      <c r="R73" s="152" t="s">
        <v>2738</v>
      </c>
      <c r="S73" s="152" t="s">
        <v>2738</v>
      </c>
      <c r="T73" s="153" t="s">
        <v>3133</v>
      </c>
      <c r="U73" s="154" t="s">
        <v>2741</v>
      </c>
      <c r="V73" s="154" t="s">
        <v>2741</v>
      </c>
      <c r="W73" s="34">
        <v>0</v>
      </c>
      <c r="X73" s="34">
        <v>0</v>
      </c>
      <c r="Y73" s="34">
        <v>0</v>
      </c>
      <c r="Z73" s="34">
        <v>0</v>
      </c>
      <c r="AA73" s="34">
        <f t="shared" si="1"/>
        <v>1</v>
      </c>
      <c r="AB73" s="34">
        <v>0</v>
      </c>
      <c r="AC73" s="120" t="s">
        <v>383</v>
      </c>
    </row>
    <row r="74" spans="1:29" ht="39.75" customHeight="1">
      <c r="A74" s="156"/>
      <c r="B74" s="148">
        <v>71</v>
      </c>
      <c r="C74" s="149">
        <f>VLOOKUP(D74,'[5]Codes &amp; Descr. SFICS25'!B:C,2,FALSE)</f>
        <v>23</v>
      </c>
      <c r="D74" s="150" t="s">
        <v>3123</v>
      </c>
      <c r="E74" s="150">
        <f>+VLOOKUP(F74,'[5]Codes &amp; Descr. SFICS25'!D:E,2,FALSE)</f>
        <v>2304</v>
      </c>
      <c r="F74" s="150" t="s">
        <v>3197</v>
      </c>
      <c r="G74" s="150">
        <f>VLOOKUP(H74,'[5]Codes &amp; Descr. SFICS25'!F:H,2,FALSE)</f>
        <v>230408</v>
      </c>
      <c r="H74" s="150" t="s">
        <v>3251</v>
      </c>
      <c r="I74" s="150" t="s">
        <v>3252</v>
      </c>
      <c r="J74" s="150" t="s">
        <v>3253</v>
      </c>
      <c r="K74" s="149" t="s">
        <v>3254</v>
      </c>
      <c r="L74" s="151" t="s">
        <v>519</v>
      </c>
      <c r="M74" s="152" t="s">
        <v>1402</v>
      </c>
      <c r="N74" s="152" t="s">
        <v>3202</v>
      </c>
      <c r="O74" s="152" t="s">
        <v>3255</v>
      </c>
      <c r="P74" s="195" t="s">
        <v>3256</v>
      </c>
      <c r="Q74" s="31" t="s">
        <v>3257</v>
      </c>
      <c r="R74" s="152" t="s">
        <v>2738</v>
      </c>
      <c r="S74" s="152" t="s">
        <v>2738</v>
      </c>
      <c r="T74" s="153" t="s">
        <v>3133</v>
      </c>
      <c r="U74" s="154" t="s">
        <v>2741</v>
      </c>
      <c r="V74" s="154" t="s">
        <v>2741</v>
      </c>
      <c r="W74" s="34">
        <v>0</v>
      </c>
      <c r="X74" s="34">
        <v>0</v>
      </c>
      <c r="Y74" s="34">
        <v>0</v>
      </c>
      <c r="Z74" s="34">
        <v>0</v>
      </c>
      <c r="AA74" s="34">
        <f t="shared" si="1"/>
        <v>1</v>
      </c>
      <c r="AB74" s="34">
        <v>0</v>
      </c>
      <c r="AC74" s="120" t="s">
        <v>383</v>
      </c>
    </row>
    <row r="75" spans="1:29" ht="39.75" customHeight="1">
      <c r="A75" s="156"/>
      <c r="B75" s="148">
        <v>72</v>
      </c>
      <c r="C75" s="149">
        <f>VLOOKUP(D75,'[5]Codes &amp; Descr. SFICS25'!B:C,2,FALSE)</f>
        <v>23</v>
      </c>
      <c r="D75" s="150" t="s">
        <v>3123</v>
      </c>
      <c r="E75" s="150">
        <f>+VLOOKUP(F75,'[5]Codes &amp; Descr. SFICS25'!D:E,2,FALSE)</f>
        <v>2304</v>
      </c>
      <c r="F75" s="150" t="s">
        <v>3197</v>
      </c>
      <c r="G75" s="150">
        <f>VLOOKUP(H75,'[5]Codes &amp; Descr. SFICS25'!F:H,2,FALSE)</f>
        <v>230409</v>
      </c>
      <c r="H75" s="150" t="s">
        <v>3258</v>
      </c>
      <c r="I75" s="150" t="s">
        <v>3259</v>
      </c>
      <c r="J75" s="150" t="s">
        <v>3260</v>
      </c>
      <c r="K75" s="149" t="s">
        <v>3261</v>
      </c>
      <c r="L75" s="151" t="s">
        <v>519</v>
      </c>
      <c r="M75" s="152" t="s">
        <v>1402</v>
      </c>
      <c r="N75" s="152" t="s">
        <v>3262</v>
      </c>
      <c r="O75" s="152" t="s">
        <v>3263</v>
      </c>
      <c r="P75" s="195" t="s">
        <v>3264</v>
      </c>
      <c r="Q75" s="31" t="s">
        <v>3265</v>
      </c>
      <c r="R75" s="152" t="s">
        <v>2738</v>
      </c>
      <c r="S75" s="152" t="s">
        <v>2738</v>
      </c>
      <c r="T75" s="153" t="s">
        <v>3133</v>
      </c>
      <c r="U75" s="154" t="s">
        <v>2741</v>
      </c>
      <c r="V75" s="154" t="s">
        <v>2741</v>
      </c>
      <c r="W75" s="34">
        <v>0</v>
      </c>
      <c r="X75" s="34">
        <v>0</v>
      </c>
      <c r="Y75" s="34">
        <v>0</v>
      </c>
      <c r="Z75" s="34">
        <v>0</v>
      </c>
      <c r="AA75" s="34">
        <f t="shared" si="1"/>
        <v>1</v>
      </c>
      <c r="AB75" s="34">
        <v>0</v>
      </c>
      <c r="AC75" s="120" t="s">
        <v>383</v>
      </c>
    </row>
    <row r="76" spans="1:29" ht="39.75" customHeight="1">
      <c r="A76" s="148"/>
      <c r="B76" s="148">
        <v>73</v>
      </c>
      <c r="C76" s="149">
        <f>VLOOKUP(D76,'[5]Codes &amp; Descr. SFICS25'!B:C,2,FALSE)</f>
        <v>23</v>
      </c>
      <c r="D76" s="150" t="s">
        <v>3123</v>
      </c>
      <c r="E76" s="150">
        <f>+VLOOKUP(F76,'[5]Codes &amp; Descr. SFICS25'!D:E,2,FALSE)</f>
        <v>2306</v>
      </c>
      <c r="F76" s="150" t="s">
        <v>3266</v>
      </c>
      <c r="G76" s="150">
        <f>VLOOKUP(H76,'[5]Codes &amp; Descr. SFICS25'!F:H,2,FALSE)</f>
        <v>230601</v>
      </c>
      <c r="H76" s="150" t="s">
        <v>3267</v>
      </c>
      <c r="I76" s="150" t="s">
        <v>3268</v>
      </c>
      <c r="J76" s="150" t="s">
        <v>3268</v>
      </c>
      <c r="K76" s="155" t="s">
        <v>3267</v>
      </c>
      <c r="L76" s="151" t="s">
        <v>584</v>
      </c>
      <c r="M76" s="152" t="s">
        <v>1402</v>
      </c>
      <c r="N76" s="152" t="s">
        <v>3269</v>
      </c>
      <c r="O76" s="152" t="s">
        <v>3270</v>
      </c>
      <c r="P76" s="31" t="s">
        <v>2738</v>
      </c>
      <c r="Q76" s="31" t="s">
        <v>3271</v>
      </c>
      <c r="R76" s="152" t="s">
        <v>2738</v>
      </c>
      <c r="S76" s="152" t="s">
        <v>2738</v>
      </c>
      <c r="T76" s="153" t="s">
        <v>3133</v>
      </c>
      <c r="U76" s="34">
        <v>0</v>
      </c>
      <c r="V76" s="34">
        <v>0</v>
      </c>
      <c r="W76" s="34">
        <v>0</v>
      </c>
      <c r="X76" s="33" t="s">
        <v>2741</v>
      </c>
      <c r="Y76" s="34">
        <v>0</v>
      </c>
      <c r="Z76" s="34">
        <v>0</v>
      </c>
      <c r="AA76" s="34">
        <f t="shared" si="1"/>
        <v>1</v>
      </c>
      <c r="AB76" s="34">
        <v>0</v>
      </c>
      <c r="AC76" s="159"/>
    </row>
    <row r="77" spans="1:29" ht="39.75" customHeight="1">
      <c r="A77" s="148"/>
      <c r="B77" s="148">
        <v>74</v>
      </c>
      <c r="C77" s="149">
        <f>VLOOKUP(D77,'[5]Codes &amp; Descr. SFICS25'!B:C,2,FALSE)</f>
        <v>23</v>
      </c>
      <c r="D77" s="150" t="s">
        <v>3123</v>
      </c>
      <c r="E77" s="150">
        <f>+VLOOKUP(F77,'[5]Codes &amp; Descr. SFICS25'!D:E,2,FALSE)</f>
        <v>2306</v>
      </c>
      <c r="F77" s="150" t="s">
        <v>3266</v>
      </c>
      <c r="G77" s="150">
        <f>VLOOKUP(H77,'[5]Codes &amp; Descr. SFICS25'!F:H,2,FALSE)</f>
        <v>230602</v>
      </c>
      <c r="H77" s="150" t="s">
        <v>3272</v>
      </c>
      <c r="I77" s="150" t="s">
        <v>3273</v>
      </c>
      <c r="J77" s="150" t="s">
        <v>3273</v>
      </c>
      <c r="K77" s="155" t="s">
        <v>3272</v>
      </c>
      <c r="L77" s="151" t="s">
        <v>589</v>
      </c>
      <c r="M77" s="152" t="s">
        <v>1402</v>
      </c>
      <c r="N77" s="152" t="s">
        <v>3274</v>
      </c>
      <c r="O77" s="152" t="s">
        <v>3275</v>
      </c>
      <c r="P77" s="31" t="s">
        <v>2951</v>
      </c>
      <c r="Q77" s="31" t="s">
        <v>3276</v>
      </c>
      <c r="R77" s="152" t="s">
        <v>2738</v>
      </c>
      <c r="S77" s="152" t="s">
        <v>2738</v>
      </c>
      <c r="T77" s="153" t="s">
        <v>3133</v>
      </c>
      <c r="U77" s="34">
        <v>0</v>
      </c>
      <c r="V77" s="34">
        <v>0</v>
      </c>
      <c r="W77" s="34">
        <v>0</v>
      </c>
      <c r="X77" s="33" t="s">
        <v>2741</v>
      </c>
      <c r="Y77" s="34">
        <v>0</v>
      </c>
      <c r="Z77" s="34">
        <v>0</v>
      </c>
      <c r="AA77" s="34">
        <f t="shared" si="1"/>
        <v>1</v>
      </c>
      <c r="AB77" s="34">
        <v>0</v>
      </c>
      <c r="AC77" s="163"/>
    </row>
    <row r="78" spans="1:29" ht="39.75" customHeight="1">
      <c r="A78" s="148"/>
      <c r="B78" s="148">
        <v>75</v>
      </c>
      <c r="C78" s="149">
        <f>VLOOKUP(D78,'[5]Codes &amp; Descr. SFICS25'!B:C,2,FALSE)</f>
        <v>23</v>
      </c>
      <c r="D78" s="150" t="s">
        <v>3123</v>
      </c>
      <c r="E78" s="150">
        <f>+VLOOKUP(F78,'[5]Codes &amp; Descr. SFICS25'!D:E,2,FALSE)</f>
        <v>2303</v>
      </c>
      <c r="F78" s="150" t="s">
        <v>3277</v>
      </c>
      <c r="G78" s="150">
        <f>VLOOKUP(H78,'[5]Codes &amp; Descr. SFICS25'!F:H,2,FALSE)</f>
        <v>230301</v>
      </c>
      <c r="H78" s="150" t="s">
        <v>3278</v>
      </c>
      <c r="I78" s="150" t="s">
        <v>3279</v>
      </c>
      <c r="J78" s="150" t="s">
        <v>3280</v>
      </c>
      <c r="K78" s="149" t="s">
        <v>3281</v>
      </c>
      <c r="L78" s="151" t="s">
        <v>599</v>
      </c>
      <c r="M78" s="152" t="s">
        <v>1402</v>
      </c>
      <c r="N78" s="152" t="s">
        <v>3282</v>
      </c>
      <c r="O78" s="152" t="s">
        <v>3283</v>
      </c>
      <c r="P78" s="44" t="s">
        <v>3284</v>
      </c>
      <c r="Q78" s="31" t="s">
        <v>3285</v>
      </c>
      <c r="R78" s="152" t="s">
        <v>2738</v>
      </c>
      <c r="S78" s="152" t="s">
        <v>2738</v>
      </c>
      <c r="T78" s="153" t="s">
        <v>3133</v>
      </c>
      <c r="U78" s="154" t="s">
        <v>2880</v>
      </c>
      <c r="V78" s="154" t="s">
        <v>2741</v>
      </c>
      <c r="W78" s="34">
        <v>0</v>
      </c>
      <c r="X78" s="34">
        <v>0</v>
      </c>
      <c r="Y78" s="34">
        <v>0</v>
      </c>
      <c r="Z78" s="34">
        <v>0</v>
      </c>
      <c r="AA78" s="34">
        <f t="shared" si="1"/>
        <v>1</v>
      </c>
      <c r="AB78" s="34">
        <v>0</v>
      </c>
      <c r="AC78" s="163"/>
    </row>
    <row r="79" spans="1:29" ht="39.75" customHeight="1">
      <c r="A79" s="148"/>
      <c r="B79" s="148">
        <v>76</v>
      </c>
      <c r="C79" s="149">
        <f>VLOOKUP(D79,'[5]Codes &amp; Descr. SFICS25'!B:C,2,FALSE)</f>
        <v>23</v>
      </c>
      <c r="D79" s="150" t="s">
        <v>3123</v>
      </c>
      <c r="E79" s="150">
        <f>+VLOOKUP(F79,'[5]Codes &amp; Descr. SFICS25'!D:E,2,FALSE)</f>
        <v>2303</v>
      </c>
      <c r="F79" s="150" t="s">
        <v>3277</v>
      </c>
      <c r="G79" s="150">
        <f>VLOOKUP(H79,'[5]Codes &amp; Descr. SFICS25'!F:H,2,FALSE)</f>
        <v>230302</v>
      </c>
      <c r="H79" s="150" t="s">
        <v>3286</v>
      </c>
      <c r="I79" s="150" t="s">
        <v>3287</v>
      </c>
      <c r="J79" s="150" t="s">
        <v>3288</v>
      </c>
      <c r="K79" s="158" t="s">
        <v>3289</v>
      </c>
      <c r="L79" s="151" t="s">
        <v>608</v>
      </c>
      <c r="M79" s="152" t="s">
        <v>1402</v>
      </c>
      <c r="N79" s="152" t="s">
        <v>3290</v>
      </c>
      <c r="O79" s="152" t="s">
        <v>3291</v>
      </c>
      <c r="P79" s="31" t="s">
        <v>2738</v>
      </c>
      <c r="Q79" s="31" t="s">
        <v>3292</v>
      </c>
      <c r="R79" s="152" t="s">
        <v>2738</v>
      </c>
      <c r="S79" s="152" t="s">
        <v>2738</v>
      </c>
      <c r="T79" s="153" t="s">
        <v>3133</v>
      </c>
      <c r="U79" s="154" t="s">
        <v>2880</v>
      </c>
      <c r="V79" s="154" t="s">
        <v>2741</v>
      </c>
      <c r="W79" s="34">
        <v>0</v>
      </c>
      <c r="X79" s="34">
        <v>0</v>
      </c>
      <c r="Y79" s="34">
        <v>0</v>
      </c>
      <c r="Z79" s="34">
        <v>0</v>
      </c>
      <c r="AA79" s="34">
        <f t="shared" si="1"/>
        <v>1</v>
      </c>
      <c r="AB79" s="34">
        <v>0</v>
      </c>
      <c r="AC79" s="163"/>
    </row>
    <row r="80" spans="1:29" ht="39.75" customHeight="1">
      <c r="A80" s="148"/>
      <c r="B80" s="148">
        <v>77</v>
      </c>
      <c r="C80" s="149">
        <f>VLOOKUP(D80,'[5]Codes &amp; Descr. SFICS25'!B:C,2,FALSE)</f>
        <v>23</v>
      </c>
      <c r="D80" s="150" t="s">
        <v>3123</v>
      </c>
      <c r="E80" s="150">
        <f>+VLOOKUP(F80,'[5]Codes &amp; Descr. SFICS25'!D:E,2,FALSE)</f>
        <v>2303</v>
      </c>
      <c r="F80" s="150" t="s">
        <v>3277</v>
      </c>
      <c r="G80" s="150">
        <f>VLOOKUP(H80,'[5]Codes &amp; Descr. SFICS25'!F:H,2,FALSE)</f>
        <v>230303</v>
      </c>
      <c r="H80" s="150" t="s">
        <v>3293</v>
      </c>
      <c r="I80" s="150" t="s">
        <v>3294</v>
      </c>
      <c r="J80" s="150" t="s">
        <v>3295</v>
      </c>
      <c r="K80" s="149" t="s">
        <v>3296</v>
      </c>
      <c r="L80" s="151" t="s">
        <v>616</v>
      </c>
      <c r="M80" s="152" t="s">
        <v>1402</v>
      </c>
      <c r="N80" s="152" t="s">
        <v>3297</v>
      </c>
      <c r="O80" s="152" t="s">
        <v>3298</v>
      </c>
      <c r="P80" s="31" t="s">
        <v>2738</v>
      </c>
      <c r="Q80" s="31" t="s">
        <v>3299</v>
      </c>
      <c r="R80" s="152" t="s">
        <v>2738</v>
      </c>
      <c r="S80" s="152" t="s">
        <v>2738</v>
      </c>
      <c r="T80" s="153" t="s">
        <v>3133</v>
      </c>
      <c r="U80" s="154" t="s">
        <v>2880</v>
      </c>
      <c r="V80" s="154" t="s">
        <v>2741</v>
      </c>
      <c r="W80" s="34">
        <v>0</v>
      </c>
      <c r="X80" s="34">
        <v>0</v>
      </c>
      <c r="Y80" s="34">
        <v>0</v>
      </c>
      <c r="Z80" s="34">
        <v>0</v>
      </c>
      <c r="AA80" s="34">
        <f t="shared" si="1"/>
        <v>1</v>
      </c>
      <c r="AB80" s="34">
        <v>0</v>
      </c>
      <c r="AC80" s="163"/>
    </row>
    <row r="81" spans="1:29" ht="39.75" customHeight="1">
      <c r="A81" s="148"/>
      <c r="B81" s="148">
        <v>78</v>
      </c>
      <c r="C81" s="149">
        <f>VLOOKUP(D81,'[5]Codes &amp; Descr. SFICS25'!B:C,2,FALSE)</f>
        <v>23</v>
      </c>
      <c r="D81" s="150" t="s">
        <v>3123</v>
      </c>
      <c r="E81" s="150">
        <f>+VLOOKUP(F81,'[5]Codes &amp; Descr. SFICS25'!D:E,2,FALSE)</f>
        <v>2303</v>
      </c>
      <c r="F81" s="150" t="s">
        <v>3277</v>
      </c>
      <c r="G81" s="150">
        <f>VLOOKUP(H81,'[5]Codes &amp; Descr. SFICS25'!F:H,2,FALSE)</f>
        <v>230304</v>
      </c>
      <c r="H81" s="150" t="s">
        <v>3300</v>
      </c>
      <c r="I81" s="150" t="s">
        <v>3301</v>
      </c>
      <c r="J81" s="150" t="s">
        <v>3302</v>
      </c>
      <c r="K81" s="149" t="s">
        <v>3303</v>
      </c>
      <c r="L81" s="151" t="s">
        <v>623</v>
      </c>
      <c r="M81" s="152" t="s">
        <v>1402</v>
      </c>
      <c r="N81" s="152" t="s">
        <v>3304</v>
      </c>
      <c r="O81" s="152" t="s">
        <v>3305</v>
      </c>
      <c r="P81" s="31" t="s">
        <v>2738</v>
      </c>
      <c r="Q81" s="31" t="s">
        <v>3306</v>
      </c>
      <c r="R81" s="152" t="s">
        <v>2738</v>
      </c>
      <c r="S81" s="152" t="s">
        <v>2738</v>
      </c>
      <c r="T81" s="153" t="s">
        <v>3133</v>
      </c>
      <c r="U81" s="154" t="s">
        <v>2880</v>
      </c>
      <c r="V81" s="154" t="s">
        <v>2741</v>
      </c>
      <c r="W81" s="34">
        <v>0</v>
      </c>
      <c r="X81" s="34">
        <v>0</v>
      </c>
      <c r="Y81" s="34">
        <v>0</v>
      </c>
      <c r="Z81" s="34">
        <v>0</v>
      </c>
      <c r="AA81" s="34">
        <f t="shared" si="1"/>
        <v>1</v>
      </c>
      <c r="AB81" s="34">
        <v>0</v>
      </c>
      <c r="AC81" s="163"/>
    </row>
    <row r="82" spans="1:29" ht="39.75" customHeight="1">
      <c r="A82" s="148"/>
      <c r="B82" s="148">
        <v>79</v>
      </c>
      <c r="C82" s="149">
        <f>VLOOKUP(D82,'[5]Codes &amp; Descr. SFICS25'!B:C,2,FALSE)</f>
        <v>23</v>
      </c>
      <c r="D82" s="150" t="s">
        <v>3123</v>
      </c>
      <c r="E82" s="150">
        <f>+VLOOKUP(F82,'[5]Codes &amp; Descr. SFICS25'!D:E,2,FALSE)</f>
        <v>2305</v>
      </c>
      <c r="F82" s="150" t="s">
        <v>3307</v>
      </c>
      <c r="G82" s="150" t="s">
        <v>1301</v>
      </c>
      <c r="H82" s="150" t="s">
        <v>507</v>
      </c>
      <c r="I82" s="150" t="s">
        <v>507</v>
      </c>
      <c r="J82" s="150" t="s">
        <v>3307</v>
      </c>
      <c r="K82" s="155" t="s">
        <v>3308</v>
      </c>
      <c r="L82" s="151" t="s">
        <v>628</v>
      </c>
      <c r="M82" s="152" t="s">
        <v>1402</v>
      </c>
      <c r="N82" s="152" t="s">
        <v>3309</v>
      </c>
      <c r="O82" s="152" t="s">
        <v>3310</v>
      </c>
      <c r="P82" s="31" t="s">
        <v>3311</v>
      </c>
      <c r="Q82" s="31" t="s">
        <v>3312</v>
      </c>
      <c r="R82" s="152" t="s">
        <v>2738</v>
      </c>
      <c r="S82" s="152" t="s">
        <v>2738</v>
      </c>
      <c r="T82" s="153" t="s">
        <v>3133</v>
      </c>
      <c r="U82" s="34">
        <v>0</v>
      </c>
      <c r="V82" s="34">
        <v>0</v>
      </c>
      <c r="W82" s="34">
        <v>0</v>
      </c>
      <c r="X82" s="33" t="s">
        <v>2930</v>
      </c>
      <c r="Y82" s="34">
        <v>0</v>
      </c>
      <c r="Z82" s="34">
        <v>0</v>
      </c>
      <c r="AA82" s="34">
        <f t="shared" si="1"/>
        <v>1</v>
      </c>
      <c r="AB82" s="34">
        <v>0</v>
      </c>
      <c r="AC82" s="159"/>
    </row>
    <row r="83" spans="1:29" ht="39.75" customHeight="1">
      <c r="A83" s="148"/>
      <c r="B83" s="148">
        <v>80</v>
      </c>
      <c r="C83" s="149">
        <f>VLOOKUP(D83,'[5]Codes &amp; Descr. SFICS25'!B:C,2,FALSE)</f>
        <v>26</v>
      </c>
      <c r="D83" s="150" t="s">
        <v>3313</v>
      </c>
      <c r="E83" s="150">
        <f>+VLOOKUP(F83,'[5]Codes &amp; Descr. SFICS25'!D:E,2,FALSE)</f>
        <v>2602</v>
      </c>
      <c r="F83" s="150" t="s">
        <v>3314</v>
      </c>
      <c r="G83" s="150">
        <f>VLOOKUP(H83,'[5]Codes &amp; Descr. SFICS25'!F:H,2,FALSE)</f>
        <v>260201</v>
      </c>
      <c r="H83" s="150" t="s">
        <v>3315</v>
      </c>
      <c r="I83" s="150" t="s">
        <v>3316</v>
      </c>
      <c r="J83" s="150" t="s">
        <v>3317</v>
      </c>
      <c r="K83" s="155" t="s">
        <v>3318</v>
      </c>
      <c r="L83" s="151" t="s">
        <v>637</v>
      </c>
      <c r="M83" s="152" t="s">
        <v>1402</v>
      </c>
      <c r="N83" s="152" t="s">
        <v>3319</v>
      </c>
      <c r="O83" s="164" t="s">
        <v>3320</v>
      </c>
      <c r="P83" s="31" t="s">
        <v>2738</v>
      </c>
      <c r="Q83" s="31" t="s">
        <v>3321</v>
      </c>
      <c r="R83" s="152" t="s">
        <v>2738</v>
      </c>
      <c r="S83" s="152" t="s">
        <v>2738</v>
      </c>
      <c r="T83" s="153" t="s">
        <v>3322</v>
      </c>
      <c r="U83" s="154" t="s">
        <v>2741</v>
      </c>
      <c r="V83" s="154" t="s">
        <v>2741</v>
      </c>
      <c r="W83" s="34">
        <v>0</v>
      </c>
      <c r="X83" s="34">
        <v>0</v>
      </c>
      <c r="Y83" s="34">
        <v>0</v>
      </c>
      <c r="Z83" s="34">
        <v>0</v>
      </c>
      <c r="AA83" s="34">
        <f t="shared" si="1"/>
        <v>1</v>
      </c>
      <c r="AB83" s="34">
        <v>0</v>
      </c>
      <c r="AC83" s="163" t="s">
        <v>383</v>
      </c>
    </row>
    <row r="84" spans="1:29" ht="39.75" customHeight="1">
      <c r="A84" s="148"/>
      <c r="B84" s="148">
        <v>81</v>
      </c>
      <c r="C84" s="149">
        <f>VLOOKUP(D84,'[5]Codes &amp; Descr. SFICS25'!B:C,2,FALSE)</f>
        <v>26</v>
      </c>
      <c r="D84" s="150" t="s">
        <v>3313</v>
      </c>
      <c r="E84" s="150">
        <f>+VLOOKUP(F84,'[5]Codes &amp; Descr. SFICS25'!D:E,2,FALSE)</f>
        <v>2602</v>
      </c>
      <c r="F84" s="150" t="s">
        <v>3314</v>
      </c>
      <c r="G84" s="150">
        <f>VLOOKUP(H84,'[5]Codes &amp; Descr. SFICS25'!F:H,2,FALSE)</f>
        <v>260202</v>
      </c>
      <c r="H84" s="150" t="s">
        <v>3323</v>
      </c>
      <c r="I84" s="150" t="s">
        <v>3324</v>
      </c>
      <c r="J84" s="150" t="s">
        <v>3324</v>
      </c>
      <c r="K84" s="155" t="s">
        <v>3323</v>
      </c>
      <c r="L84" s="151" t="s">
        <v>644</v>
      </c>
      <c r="M84" s="152" t="s">
        <v>1402</v>
      </c>
      <c r="N84" s="165" t="s">
        <v>3325</v>
      </c>
      <c r="O84" s="152" t="s">
        <v>3326</v>
      </c>
      <c r="P84" s="31" t="s">
        <v>3327</v>
      </c>
      <c r="Q84" s="31" t="s">
        <v>3328</v>
      </c>
      <c r="R84" s="152" t="s">
        <v>2738</v>
      </c>
      <c r="S84" s="152" t="s">
        <v>2738</v>
      </c>
      <c r="T84" s="153" t="s">
        <v>3322</v>
      </c>
      <c r="U84" s="34">
        <v>0</v>
      </c>
      <c r="V84" s="34">
        <v>0</v>
      </c>
      <c r="W84" s="154" t="s">
        <v>2741</v>
      </c>
      <c r="X84" s="34">
        <v>0</v>
      </c>
      <c r="Y84" s="34">
        <v>0</v>
      </c>
      <c r="Z84" s="34">
        <v>0</v>
      </c>
      <c r="AA84" s="34">
        <f t="shared" si="1"/>
        <v>1</v>
      </c>
      <c r="AB84" s="34">
        <v>0</v>
      </c>
      <c r="AC84" s="163"/>
    </row>
    <row r="85" spans="1:29" ht="39.75" customHeight="1">
      <c r="A85" s="148"/>
      <c r="B85" s="148">
        <v>82</v>
      </c>
      <c r="C85" s="149">
        <f>VLOOKUP(D85,'[5]Codes &amp; Descr. SFICS25'!B:C,2,FALSE)</f>
        <v>26</v>
      </c>
      <c r="D85" s="150" t="s">
        <v>3313</v>
      </c>
      <c r="E85" s="150">
        <f>+VLOOKUP(F85,'[5]Codes &amp; Descr. SFICS25'!D:E,2,FALSE)</f>
        <v>2602</v>
      </c>
      <c r="F85" s="150" t="s">
        <v>3314</v>
      </c>
      <c r="G85" s="150">
        <f>VLOOKUP(H85,'[5]Codes &amp; Descr. SFICS25'!F:H,2,FALSE)</f>
        <v>260203</v>
      </c>
      <c r="H85" s="150" t="s">
        <v>3329</v>
      </c>
      <c r="I85" s="150" t="s">
        <v>3330</v>
      </c>
      <c r="J85" s="150" t="s">
        <v>3330</v>
      </c>
      <c r="K85" s="155" t="s">
        <v>3329</v>
      </c>
      <c r="L85" s="151" t="s">
        <v>649</v>
      </c>
      <c r="M85" s="152" t="s">
        <v>1402</v>
      </c>
      <c r="N85" s="165" t="s">
        <v>3331</v>
      </c>
      <c r="O85" s="152" t="s">
        <v>3332</v>
      </c>
      <c r="P85" s="31" t="s">
        <v>3333</v>
      </c>
      <c r="Q85" s="31" t="s">
        <v>3334</v>
      </c>
      <c r="R85" s="152" t="s">
        <v>2738</v>
      </c>
      <c r="S85" s="152" t="s">
        <v>2738</v>
      </c>
      <c r="T85" s="153" t="s">
        <v>3322</v>
      </c>
      <c r="U85" s="34">
        <v>0</v>
      </c>
      <c r="V85" s="34">
        <v>0</v>
      </c>
      <c r="W85" s="154" t="s">
        <v>2741</v>
      </c>
      <c r="X85" s="34">
        <v>0</v>
      </c>
      <c r="Y85" s="34">
        <v>0</v>
      </c>
      <c r="Z85" s="34">
        <v>0</v>
      </c>
      <c r="AA85" s="34">
        <f t="shared" si="1"/>
        <v>1</v>
      </c>
      <c r="AB85" s="34">
        <v>0</v>
      </c>
      <c r="AC85" s="163"/>
    </row>
    <row r="86" spans="1:29" ht="39.75" customHeight="1">
      <c r="A86" s="148"/>
      <c r="B86" s="148">
        <v>83</v>
      </c>
      <c r="C86" s="149">
        <f>VLOOKUP(D86,'[5]Codes &amp; Descr. SFICS25'!B:C,2,FALSE)</f>
        <v>26</v>
      </c>
      <c r="D86" s="150" t="s">
        <v>3313</v>
      </c>
      <c r="E86" s="150">
        <f>+VLOOKUP(F86,'[5]Codes &amp; Descr. SFICS25'!D:E,2,FALSE)</f>
        <v>2602</v>
      </c>
      <c r="F86" s="150" t="s">
        <v>3314</v>
      </c>
      <c r="G86" s="150">
        <f>VLOOKUP(H86,'[5]Codes &amp; Descr. SFICS25'!F:H,2,FALSE)</f>
        <v>260204</v>
      </c>
      <c r="H86" s="150" t="s">
        <v>3335</v>
      </c>
      <c r="I86" s="150" t="s">
        <v>3336</v>
      </c>
      <c r="J86" s="150" t="s">
        <v>3337</v>
      </c>
      <c r="K86" s="155" t="s">
        <v>3338</v>
      </c>
      <c r="L86" s="151" t="s">
        <v>655</v>
      </c>
      <c r="M86" s="152" t="s">
        <v>1402</v>
      </c>
      <c r="N86" s="152" t="s">
        <v>3339</v>
      </c>
      <c r="O86" s="166" t="s">
        <v>3340</v>
      </c>
      <c r="P86" s="31" t="s">
        <v>3341</v>
      </c>
      <c r="Q86" s="31" t="s">
        <v>3342</v>
      </c>
      <c r="R86" s="152" t="s">
        <v>2738</v>
      </c>
      <c r="S86" s="152" t="s">
        <v>2738</v>
      </c>
      <c r="T86" s="153" t="s">
        <v>3322</v>
      </c>
      <c r="U86" s="34">
        <v>0</v>
      </c>
      <c r="V86" s="34">
        <v>0</v>
      </c>
      <c r="W86" s="34">
        <v>0</v>
      </c>
      <c r="X86" s="154" t="s">
        <v>2741</v>
      </c>
      <c r="Y86" s="34">
        <v>0</v>
      </c>
      <c r="Z86" s="34">
        <v>0</v>
      </c>
      <c r="AA86" s="34">
        <f t="shared" si="1"/>
        <v>1</v>
      </c>
      <c r="AB86" s="34">
        <v>0</v>
      </c>
      <c r="AC86" s="163"/>
    </row>
    <row r="87" spans="1:29" ht="39.75" customHeight="1">
      <c r="A87" s="148"/>
      <c r="B87" s="148">
        <v>84</v>
      </c>
      <c r="C87" s="149">
        <f>VLOOKUP(D87,'[5]Codes &amp; Descr. SFICS25'!B:C,2,FALSE)</f>
        <v>26</v>
      </c>
      <c r="D87" s="150" t="s">
        <v>3313</v>
      </c>
      <c r="E87" s="150">
        <f>+VLOOKUP(F87,'[5]Codes &amp; Descr. SFICS25'!D:E,2,FALSE)</f>
        <v>2602</v>
      </c>
      <c r="F87" s="150" t="s">
        <v>3314</v>
      </c>
      <c r="G87" s="150">
        <f>VLOOKUP(H87,'[5]Codes &amp; Descr. SFICS25'!F:H,2,FALSE)</f>
        <v>260205</v>
      </c>
      <c r="H87" s="150" t="s">
        <v>3343</v>
      </c>
      <c r="I87" s="150" t="s">
        <v>3344</v>
      </c>
      <c r="J87" s="150" t="s">
        <v>3344</v>
      </c>
      <c r="K87" s="149" t="s">
        <v>3343</v>
      </c>
      <c r="L87" s="151" t="s">
        <v>664</v>
      </c>
      <c r="M87" s="152" t="s">
        <v>1402</v>
      </c>
      <c r="N87" s="167" t="s">
        <v>3345</v>
      </c>
      <c r="O87" s="167" t="s">
        <v>3346</v>
      </c>
      <c r="P87" s="31" t="s">
        <v>3347</v>
      </c>
      <c r="Q87" s="31" t="s">
        <v>3348</v>
      </c>
      <c r="R87" s="152" t="s">
        <v>2738</v>
      </c>
      <c r="S87" s="152" t="s">
        <v>2738</v>
      </c>
      <c r="T87" s="153" t="s">
        <v>3322</v>
      </c>
      <c r="U87" s="34">
        <v>0</v>
      </c>
      <c r="V87" s="34">
        <v>0</v>
      </c>
      <c r="W87" s="34">
        <v>0</v>
      </c>
      <c r="X87" s="154" t="s">
        <v>2741</v>
      </c>
      <c r="Y87" s="34">
        <v>0</v>
      </c>
      <c r="Z87" s="34">
        <v>0</v>
      </c>
      <c r="AA87" s="34">
        <f t="shared" si="1"/>
        <v>1</v>
      </c>
      <c r="AB87" s="34">
        <v>0</v>
      </c>
      <c r="AC87" s="163"/>
    </row>
    <row r="88" spans="1:29" ht="39.75" customHeight="1">
      <c r="A88" s="156"/>
      <c r="B88" s="148">
        <v>85</v>
      </c>
      <c r="C88" s="149">
        <f>VLOOKUP(D88,'[5]Codes &amp; Descr. SFICS25'!B:C,2,FALSE)</f>
        <v>26</v>
      </c>
      <c r="D88" s="150" t="s">
        <v>3313</v>
      </c>
      <c r="E88" s="150">
        <f>+VLOOKUP(F88,'[5]Codes &amp; Descr. SFICS25'!D:E,2,FALSE)</f>
        <v>2604</v>
      </c>
      <c r="F88" s="150" t="s">
        <v>3349</v>
      </c>
      <c r="G88" s="150">
        <f>VLOOKUP(H88,'[5]Codes &amp; Descr. SFICS25'!F:H,2,FALSE)</f>
        <v>260401</v>
      </c>
      <c r="H88" s="150" t="s">
        <v>3350</v>
      </c>
      <c r="I88" s="150" t="s">
        <v>3351</v>
      </c>
      <c r="J88" s="150" t="s">
        <v>3352</v>
      </c>
      <c r="K88" s="149" t="s">
        <v>3353</v>
      </c>
      <c r="L88" s="151" t="s">
        <v>672</v>
      </c>
      <c r="M88" s="152" t="s">
        <v>1402</v>
      </c>
      <c r="N88" s="152" t="s">
        <v>3354</v>
      </c>
      <c r="O88" s="152" t="s">
        <v>3355</v>
      </c>
      <c r="P88" s="196" t="s">
        <v>3356</v>
      </c>
      <c r="Q88" s="31" t="s">
        <v>3357</v>
      </c>
      <c r="R88" s="152" t="s">
        <v>2738</v>
      </c>
      <c r="S88" s="152" t="s">
        <v>2738</v>
      </c>
      <c r="T88" s="153" t="s">
        <v>3322</v>
      </c>
      <c r="U88" s="154" t="s">
        <v>2741</v>
      </c>
      <c r="V88" s="154" t="s">
        <v>2741</v>
      </c>
      <c r="W88" s="34">
        <v>0</v>
      </c>
      <c r="X88" s="34">
        <v>0</v>
      </c>
      <c r="Y88" s="34">
        <v>0</v>
      </c>
      <c r="Z88" s="34">
        <v>0</v>
      </c>
      <c r="AA88" s="45">
        <f t="shared" si="1"/>
        <v>1</v>
      </c>
      <c r="AB88" s="34">
        <v>0</v>
      </c>
      <c r="AC88" s="163"/>
    </row>
    <row r="89" spans="1:29" ht="39.75" customHeight="1">
      <c r="A89" s="148"/>
      <c r="B89" s="148">
        <v>86</v>
      </c>
      <c r="C89" s="149">
        <f>VLOOKUP(D89,'[5]Codes &amp; Descr. SFICS25'!B:C,2,FALSE)</f>
        <v>26</v>
      </c>
      <c r="D89" s="150" t="s">
        <v>3313</v>
      </c>
      <c r="E89" s="150">
        <f>+VLOOKUP(F89,'[5]Codes &amp; Descr. SFICS25'!D:E,2,FALSE)</f>
        <v>2604</v>
      </c>
      <c r="F89" s="150" t="s">
        <v>3349</v>
      </c>
      <c r="G89" s="150">
        <f>VLOOKUP(H89,'[5]Codes &amp; Descr. SFICS25'!F:H,2,FALSE)</f>
        <v>260402</v>
      </c>
      <c r="H89" s="150" t="s">
        <v>3358</v>
      </c>
      <c r="I89" s="150" t="s">
        <v>3359</v>
      </c>
      <c r="J89" s="150" t="s">
        <v>3360</v>
      </c>
      <c r="K89" s="149" t="s">
        <v>3361</v>
      </c>
      <c r="L89" s="151" t="s">
        <v>680</v>
      </c>
      <c r="M89" s="152" t="s">
        <v>1402</v>
      </c>
      <c r="N89" s="152" t="s">
        <v>3362</v>
      </c>
      <c r="O89" s="152" t="s">
        <v>3363</v>
      </c>
      <c r="P89" s="31" t="s">
        <v>3364</v>
      </c>
      <c r="Q89" s="31" t="s">
        <v>3365</v>
      </c>
      <c r="R89" s="152" t="s">
        <v>2738</v>
      </c>
      <c r="S89" s="152" t="s">
        <v>2738</v>
      </c>
      <c r="T89" s="153" t="s">
        <v>3322</v>
      </c>
      <c r="U89" s="154" t="s">
        <v>2741</v>
      </c>
      <c r="V89" s="154" t="s">
        <v>2741</v>
      </c>
      <c r="W89" s="34">
        <v>0</v>
      </c>
      <c r="X89" s="34">
        <v>0</v>
      </c>
      <c r="Y89" s="34">
        <v>0</v>
      </c>
      <c r="Z89" s="34">
        <v>0</v>
      </c>
      <c r="AA89" s="34">
        <f t="shared" si="1"/>
        <v>1</v>
      </c>
      <c r="AB89" s="34">
        <v>0</v>
      </c>
      <c r="AC89" s="163"/>
    </row>
    <row r="90" spans="1:29" ht="39.75" customHeight="1">
      <c r="A90" s="148"/>
      <c r="B90" s="148">
        <v>87</v>
      </c>
      <c r="C90" s="149">
        <f>VLOOKUP(D90,'[5]Codes &amp; Descr. SFICS25'!B:C,2,FALSE)</f>
        <v>26</v>
      </c>
      <c r="D90" s="150" t="s">
        <v>3313</v>
      </c>
      <c r="E90" s="150">
        <f>+VLOOKUP(F90,'[5]Codes &amp; Descr. SFICS25'!D:E,2,FALSE)</f>
        <v>2604</v>
      </c>
      <c r="F90" s="150" t="s">
        <v>3349</v>
      </c>
      <c r="G90" s="150">
        <f>VLOOKUP(H90,'[5]Codes &amp; Descr. SFICS25'!F:H,2,FALSE)</f>
        <v>260403</v>
      </c>
      <c r="H90" s="150" t="s">
        <v>3366</v>
      </c>
      <c r="I90" s="150" t="s">
        <v>3367</v>
      </c>
      <c r="J90" s="150" t="s">
        <v>3368</v>
      </c>
      <c r="K90" s="149" t="s">
        <v>3369</v>
      </c>
      <c r="L90" s="151" t="s">
        <v>688</v>
      </c>
      <c r="M90" s="152" t="s">
        <v>1402</v>
      </c>
      <c r="N90" s="152" t="s">
        <v>3370</v>
      </c>
      <c r="O90" s="152" t="s">
        <v>3371</v>
      </c>
      <c r="P90" s="31" t="s">
        <v>3372</v>
      </c>
      <c r="Q90" s="31" t="s">
        <v>3373</v>
      </c>
      <c r="R90" s="152" t="s">
        <v>2738</v>
      </c>
      <c r="S90" s="152" t="s">
        <v>2738</v>
      </c>
      <c r="T90" s="153" t="s">
        <v>3322</v>
      </c>
      <c r="U90" s="34">
        <v>0</v>
      </c>
      <c r="V90" s="34">
        <v>0</v>
      </c>
      <c r="W90" s="34">
        <v>0</v>
      </c>
      <c r="X90" s="154" t="s">
        <v>2741</v>
      </c>
      <c r="Y90" s="34">
        <v>0</v>
      </c>
      <c r="Z90" s="34">
        <v>0</v>
      </c>
      <c r="AA90" s="34">
        <f t="shared" si="1"/>
        <v>1</v>
      </c>
      <c r="AB90" s="34">
        <v>0</v>
      </c>
      <c r="AC90" s="163"/>
    </row>
    <row r="91" spans="1:29" ht="39.75" customHeight="1">
      <c r="A91" s="148"/>
      <c r="B91" s="148">
        <v>88</v>
      </c>
      <c r="C91" s="149">
        <f>VLOOKUP(D91,'[5]Codes &amp; Descr. SFICS25'!B:C,2,FALSE)</f>
        <v>26</v>
      </c>
      <c r="D91" s="150" t="s">
        <v>3313</v>
      </c>
      <c r="E91" s="150">
        <f>+VLOOKUP(F91,'[5]Codes &amp; Descr. SFICS25'!D:E,2,FALSE)</f>
        <v>2604</v>
      </c>
      <c r="F91" s="150" t="s">
        <v>3349</v>
      </c>
      <c r="G91" s="150">
        <f>VLOOKUP(H91,'[5]Codes &amp; Descr. SFICS25'!F:H,2,FALSE)</f>
        <v>260404</v>
      </c>
      <c r="H91" s="150" t="s">
        <v>3374</v>
      </c>
      <c r="I91" s="150" t="s">
        <v>3375</v>
      </c>
      <c r="J91" s="150" t="s">
        <v>3376</v>
      </c>
      <c r="K91" s="155" t="s">
        <v>3377</v>
      </c>
      <c r="L91" s="151" t="s">
        <v>696</v>
      </c>
      <c r="M91" s="152" t="s">
        <v>1402</v>
      </c>
      <c r="N91" s="152" t="s">
        <v>3378</v>
      </c>
      <c r="O91" s="152" t="s">
        <v>3379</v>
      </c>
      <c r="P91" s="31" t="s">
        <v>2738</v>
      </c>
      <c r="Q91" s="31" t="s">
        <v>3380</v>
      </c>
      <c r="R91" s="152" t="s">
        <v>2738</v>
      </c>
      <c r="S91" s="152" t="s">
        <v>2738</v>
      </c>
      <c r="T91" s="153" t="s">
        <v>3322</v>
      </c>
      <c r="U91" s="34">
        <v>0</v>
      </c>
      <c r="V91" s="34">
        <v>0</v>
      </c>
      <c r="W91" s="34">
        <v>0</v>
      </c>
      <c r="X91" s="154" t="s">
        <v>2741</v>
      </c>
      <c r="Y91" s="154" t="s">
        <v>2741</v>
      </c>
      <c r="Z91" s="34">
        <v>0</v>
      </c>
      <c r="AA91" s="34">
        <f t="shared" si="1"/>
        <v>1</v>
      </c>
      <c r="AB91" s="34">
        <v>0</v>
      </c>
      <c r="AC91" s="163"/>
    </row>
    <row r="92" spans="1:29" ht="39.75" customHeight="1">
      <c r="A92" s="148"/>
      <c r="B92" s="148">
        <v>89</v>
      </c>
      <c r="C92" s="149">
        <f>VLOOKUP(D92,'[5]Codes &amp; Descr. SFICS25'!B:C,2,FALSE)</f>
        <v>26</v>
      </c>
      <c r="D92" s="150" t="s">
        <v>3313</v>
      </c>
      <c r="E92" s="150">
        <f>+VLOOKUP(F92,'[5]Codes &amp; Descr. SFICS25'!D:E,2,FALSE)</f>
        <v>2604</v>
      </c>
      <c r="F92" s="150" t="s">
        <v>3349</v>
      </c>
      <c r="G92" s="150">
        <f>VLOOKUP(H92,'[5]Codes &amp; Descr. SFICS25'!F:H,2,FALSE)</f>
        <v>260405</v>
      </c>
      <c r="H92" s="150" t="s">
        <v>3381</v>
      </c>
      <c r="I92" s="150" t="s">
        <v>3382</v>
      </c>
      <c r="J92" s="150" t="s">
        <v>3383</v>
      </c>
      <c r="K92" s="149" t="s">
        <v>3384</v>
      </c>
      <c r="L92" s="151" t="s">
        <v>703</v>
      </c>
      <c r="M92" s="152" t="s">
        <v>1402</v>
      </c>
      <c r="N92" s="152" t="s">
        <v>3385</v>
      </c>
      <c r="O92" s="152" t="s">
        <v>3386</v>
      </c>
      <c r="P92" s="31" t="s">
        <v>2738</v>
      </c>
      <c r="Q92" s="31" t="s">
        <v>3387</v>
      </c>
      <c r="R92" s="152" t="s">
        <v>2738</v>
      </c>
      <c r="S92" s="152" t="s">
        <v>2738</v>
      </c>
      <c r="T92" s="153" t="s">
        <v>3322</v>
      </c>
      <c r="U92" s="34">
        <v>0</v>
      </c>
      <c r="V92" s="34">
        <v>0</v>
      </c>
      <c r="W92" s="34">
        <v>0</v>
      </c>
      <c r="X92" s="154" t="s">
        <v>2741</v>
      </c>
      <c r="Y92" s="34">
        <v>0</v>
      </c>
      <c r="Z92" s="34">
        <v>0</v>
      </c>
      <c r="AA92" s="34">
        <f t="shared" si="1"/>
        <v>1</v>
      </c>
      <c r="AB92" s="34">
        <v>0</v>
      </c>
      <c r="AC92" s="163"/>
    </row>
    <row r="93" spans="1:29" ht="39.75" customHeight="1">
      <c r="A93" s="148"/>
      <c r="B93" s="148">
        <v>90</v>
      </c>
      <c r="C93" s="149">
        <f>VLOOKUP(D93,'[5]Codes &amp; Descr. SFICS25'!B:C,2,FALSE)</f>
        <v>26</v>
      </c>
      <c r="D93" s="150" t="s">
        <v>3313</v>
      </c>
      <c r="E93" s="150">
        <f>+VLOOKUP(F93,'[5]Codes &amp; Descr. SFICS25'!D:E,2,FALSE)</f>
        <v>2604</v>
      </c>
      <c r="F93" s="150" t="s">
        <v>3349</v>
      </c>
      <c r="G93" s="150">
        <f>VLOOKUP(H93,'[5]Codes &amp; Descr. SFICS25'!F:H,2,FALSE)</f>
        <v>260406</v>
      </c>
      <c r="H93" s="150" t="s">
        <v>3388</v>
      </c>
      <c r="I93" s="150" t="s">
        <v>3389</v>
      </c>
      <c r="J93" s="150" t="s">
        <v>3390</v>
      </c>
      <c r="K93" s="155" t="s">
        <v>3391</v>
      </c>
      <c r="L93" s="151" t="s">
        <v>711</v>
      </c>
      <c r="M93" s="152" t="s">
        <v>1402</v>
      </c>
      <c r="N93" s="152" t="s">
        <v>3392</v>
      </c>
      <c r="O93" s="152" t="s">
        <v>3393</v>
      </c>
      <c r="P93" s="31" t="s">
        <v>3311</v>
      </c>
      <c r="Q93" s="31" t="s">
        <v>3394</v>
      </c>
      <c r="R93" s="152" t="s">
        <v>2738</v>
      </c>
      <c r="S93" s="152" t="s">
        <v>2738</v>
      </c>
      <c r="T93" s="153" t="s">
        <v>3322</v>
      </c>
      <c r="U93" s="34">
        <v>0</v>
      </c>
      <c r="V93" s="34">
        <v>0</v>
      </c>
      <c r="W93" s="34">
        <v>0</v>
      </c>
      <c r="X93" s="154" t="s">
        <v>2741</v>
      </c>
      <c r="Y93" s="34">
        <v>0</v>
      </c>
      <c r="Z93" s="34">
        <v>0</v>
      </c>
      <c r="AA93" s="34">
        <f t="shared" si="1"/>
        <v>1</v>
      </c>
      <c r="AB93" s="34">
        <v>0</v>
      </c>
      <c r="AC93" s="163"/>
    </row>
    <row r="94" spans="1:29" ht="39.75" customHeight="1">
      <c r="A94" s="148"/>
      <c r="B94" s="148">
        <v>91</v>
      </c>
      <c r="C94" s="149">
        <f>VLOOKUP(D94,'[5]Codes &amp; Descr. SFICS25'!B:C,2,FALSE)</f>
        <v>26</v>
      </c>
      <c r="D94" s="150" t="s">
        <v>3313</v>
      </c>
      <c r="E94" s="150">
        <f>+VLOOKUP(F94,'[5]Codes &amp; Descr. SFICS25'!D:E,2,FALSE)</f>
        <v>2604</v>
      </c>
      <c r="F94" s="150" t="s">
        <v>3349</v>
      </c>
      <c r="G94" s="150">
        <f>VLOOKUP(H94,'[5]Codes &amp; Descr. SFICS25'!F:H,2,FALSE)</f>
        <v>260407</v>
      </c>
      <c r="H94" s="150" t="s">
        <v>3395</v>
      </c>
      <c r="I94" s="150" t="s">
        <v>3396</v>
      </c>
      <c r="J94" s="150" t="s">
        <v>3397</v>
      </c>
      <c r="K94" s="155" t="s">
        <v>3398</v>
      </c>
      <c r="L94" s="151" t="s">
        <v>719</v>
      </c>
      <c r="M94" s="152" t="s">
        <v>1402</v>
      </c>
      <c r="N94" s="152" t="s">
        <v>720</v>
      </c>
      <c r="O94" s="152" t="s">
        <v>3399</v>
      </c>
      <c r="P94" s="31" t="s">
        <v>3400</v>
      </c>
      <c r="Q94" s="31" t="s">
        <v>3401</v>
      </c>
      <c r="R94" s="152" t="s">
        <v>2738</v>
      </c>
      <c r="S94" s="152" t="s">
        <v>2738</v>
      </c>
      <c r="T94" s="153" t="s">
        <v>3322</v>
      </c>
      <c r="U94" s="34">
        <v>0</v>
      </c>
      <c r="V94" s="34">
        <v>0</v>
      </c>
      <c r="W94" s="34">
        <v>0</v>
      </c>
      <c r="X94" s="34">
        <v>0</v>
      </c>
      <c r="Y94" s="154" t="s">
        <v>2741</v>
      </c>
      <c r="Z94" s="34">
        <v>0</v>
      </c>
      <c r="AA94" s="34">
        <f t="shared" si="1"/>
        <v>1</v>
      </c>
      <c r="AB94" s="34">
        <v>0</v>
      </c>
      <c r="AC94" s="163"/>
    </row>
    <row r="95" spans="1:29" ht="39.75" customHeight="1">
      <c r="A95" s="148"/>
      <c r="B95" s="148">
        <v>92</v>
      </c>
      <c r="C95" s="149">
        <f>VLOOKUP(D95,'[5]Codes &amp; Descr. SFICS25'!B:C,2,FALSE)</f>
        <v>26</v>
      </c>
      <c r="D95" s="150" t="s">
        <v>3313</v>
      </c>
      <c r="E95" s="150">
        <f>+VLOOKUP(F95,'[5]Codes &amp; Descr. SFICS25'!D:E,2,FALSE)</f>
        <v>2603</v>
      </c>
      <c r="F95" s="150" t="s">
        <v>3402</v>
      </c>
      <c r="G95" s="150">
        <f>VLOOKUP(H95,'[5]Codes &amp; Descr. SFICS25'!F:H,2,FALSE)</f>
        <v>260301</v>
      </c>
      <c r="H95" s="150" t="s">
        <v>3403</v>
      </c>
      <c r="I95" s="150" t="s">
        <v>3404</v>
      </c>
      <c r="J95" s="150" t="s">
        <v>3405</v>
      </c>
      <c r="K95" s="155" t="s">
        <v>3406</v>
      </c>
      <c r="L95" s="151" t="s">
        <v>728</v>
      </c>
      <c r="M95" s="152" t="s">
        <v>1402</v>
      </c>
      <c r="N95" s="152" t="s">
        <v>3407</v>
      </c>
      <c r="O95" s="152" t="s">
        <v>3408</v>
      </c>
      <c r="P95" s="31" t="s">
        <v>2738</v>
      </c>
      <c r="Q95" s="31" t="s">
        <v>3409</v>
      </c>
      <c r="R95" s="152" t="s">
        <v>2738</v>
      </c>
      <c r="S95" s="152" t="s">
        <v>2738</v>
      </c>
      <c r="T95" s="153" t="s">
        <v>3322</v>
      </c>
      <c r="U95" s="154" t="s">
        <v>2741</v>
      </c>
      <c r="V95" s="154" t="s">
        <v>2741</v>
      </c>
      <c r="W95" s="34">
        <v>0</v>
      </c>
      <c r="X95" s="34">
        <v>0</v>
      </c>
      <c r="Y95" s="34">
        <v>0</v>
      </c>
      <c r="Z95" s="34">
        <v>0</v>
      </c>
      <c r="AA95" s="34">
        <f t="shared" si="1"/>
        <v>1</v>
      </c>
      <c r="AB95" s="34">
        <v>0</v>
      </c>
      <c r="AC95" s="163"/>
    </row>
    <row r="96" spans="1:29" ht="39.75" customHeight="1">
      <c r="A96" s="148"/>
      <c r="B96" s="148">
        <v>93</v>
      </c>
      <c r="C96" s="149">
        <f>VLOOKUP(D96,'[5]Codes &amp; Descr. SFICS25'!B:C,2,FALSE)</f>
        <v>26</v>
      </c>
      <c r="D96" s="150" t="s">
        <v>3313</v>
      </c>
      <c r="E96" s="150">
        <f>+VLOOKUP(F96,'[5]Codes &amp; Descr. SFICS25'!D:E,2,FALSE)</f>
        <v>2603</v>
      </c>
      <c r="F96" s="150" t="s">
        <v>3402</v>
      </c>
      <c r="G96" s="150">
        <f>VLOOKUP(H96,'[5]Codes &amp; Descr. SFICS25'!F:H,2,FALSE)</f>
        <v>260302</v>
      </c>
      <c r="H96" s="150" t="s">
        <v>3410</v>
      </c>
      <c r="I96" s="150" t="s">
        <v>3411</v>
      </c>
      <c r="J96" s="150" t="s">
        <v>3412</v>
      </c>
      <c r="K96" s="155" t="s">
        <v>3413</v>
      </c>
      <c r="L96" s="151" t="s">
        <v>735</v>
      </c>
      <c r="M96" s="152" t="s">
        <v>1402</v>
      </c>
      <c r="N96" s="152" t="s">
        <v>3414</v>
      </c>
      <c r="O96" s="152" t="s">
        <v>3415</v>
      </c>
      <c r="P96" s="31" t="s">
        <v>3416</v>
      </c>
      <c r="Q96" s="31" t="s">
        <v>3417</v>
      </c>
      <c r="R96" s="152" t="s">
        <v>2738</v>
      </c>
      <c r="S96" s="152" t="s">
        <v>2738</v>
      </c>
      <c r="T96" s="153" t="s">
        <v>3322</v>
      </c>
      <c r="U96" s="154" t="s">
        <v>2741</v>
      </c>
      <c r="V96" s="154" t="s">
        <v>2741</v>
      </c>
      <c r="W96" s="34">
        <v>0</v>
      </c>
      <c r="X96" s="34">
        <v>0</v>
      </c>
      <c r="Y96" s="34">
        <v>0</v>
      </c>
      <c r="Z96" s="34">
        <v>0</v>
      </c>
      <c r="AA96" s="34">
        <f t="shared" si="1"/>
        <v>1</v>
      </c>
      <c r="AB96" s="34">
        <v>0</v>
      </c>
      <c r="AC96" s="163"/>
    </row>
    <row r="97" spans="1:29" ht="39.75" customHeight="1">
      <c r="A97" s="148"/>
      <c r="B97" s="148">
        <v>94</v>
      </c>
      <c r="C97" s="149">
        <f>VLOOKUP(D97,'[5]Codes &amp; Descr. SFICS25'!B:C,2,FALSE)</f>
        <v>26</v>
      </c>
      <c r="D97" s="150" t="s">
        <v>3313</v>
      </c>
      <c r="E97" s="150">
        <f>+VLOOKUP(F97,'[5]Codes &amp; Descr. SFICS25'!D:E,2,FALSE)</f>
        <v>2603</v>
      </c>
      <c r="F97" s="150" t="s">
        <v>3402</v>
      </c>
      <c r="G97" s="150">
        <f>VLOOKUP(H97,'[5]Codes &amp; Descr. SFICS25'!F:H,2,FALSE)</f>
        <v>260303</v>
      </c>
      <c r="H97" s="150" t="s">
        <v>3418</v>
      </c>
      <c r="I97" s="150" t="s">
        <v>3419</v>
      </c>
      <c r="J97" s="150" t="s">
        <v>3420</v>
      </c>
      <c r="K97" s="155" t="s">
        <v>3421</v>
      </c>
      <c r="L97" s="151" t="s">
        <v>743</v>
      </c>
      <c r="M97" s="152" t="s">
        <v>1402</v>
      </c>
      <c r="N97" s="152" t="s">
        <v>3422</v>
      </c>
      <c r="O97" s="152" t="s">
        <v>3423</v>
      </c>
      <c r="P97" s="31" t="s">
        <v>3424</v>
      </c>
      <c r="Q97" s="31" t="s">
        <v>3425</v>
      </c>
      <c r="R97" s="152" t="s">
        <v>2738</v>
      </c>
      <c r="S97" s="152" t="s">
        <v>2738</v>
      </c>
      <c r="T97" s="153" t="s">
        <v>3322</v>
      </c>
      <c r="U97" s="154" t="s">
        <v>2741</v>
      </c>
      <c r="V97" s="154" t="s">
        <v>2741</v>
      </c>
      <c r="W97" s="34">
        <v>0</v>
      </c>
      <c r="X97" s="34">
        <v>0</v>
      </c>
      <c r="Y97" s="34">
        <v>0</v>
      </c>
      <c r="Z97" s="34">
        <v>0</v>
      </c>
      <c r="AA97" s="34">
        <f t="shared" si="1"/>
        <v>1</v>
      </c>
      <c r="AB97" s="34">
        <v>0</v>
      </c>
      <c r="AC97" s="163"/>
    </row>
    <row r="98" spans="1:29" ht="39.75" customHeight="1">
      <c r="A98" s="148"/>
      <c r="B98" s="148">
        <v>95</v>
      </c>
      <c r="C98" s="149">
        <f>VLOOKUP(D98,'[5]Codes &amp; Descr. SFICS25'!B:C,2,FALSE)</f>
        <v>26</v>
      </c>
      <c r="D98" s="150" t="s">
        <v>3313</v>
      </c>
      <c r="E98" s="150">
        <f>+VLOOKUP(F98,'[5]Codes &amp; Descr. SFICS25'!D:E,2,FALSE)</f>
        <v>2603</v>
      </c>
      <c r="F98" s="150" t="s">
        <v>3402</v>
      </c>
      <c r="G98" s="150">
        <f>VLOOKUP(H98,'[5]Codes &amp; Descr. SFICS25'!F:H,2,FALSE)</f>
        <v>260304</v>
      </c>
      <c r="H98" s="150" t="s">
        <v>3426</v>
      </c>
      <c r="I98" s="150" t="s">
        <v>3427</v>
      </c>
      <c r="J98" s="150" t="s">
        <v>3428</v>
      </c>
      <c r="K98" s="155" t="s">
        <v>3429</v>
      </c>
      <c r="L98" s="151" t="s">
        <v>751</v>
      </c>
      <c r="M98" s="152" t="s">
        <v>1402</v>
      </c>
      <c r="N98" s="152" t="s">
        <v>3430</v>
      </c>
      <c r="O98" s="152" t="s">
        <v>3431</v>
      </c>
      <c r="P98" s="31" t="s">
        <v>3432</v>
      </c>
      <c r="Q98" s="31" t="s">
        <v>3433</v>
      </c>
      <c r="R98" s="152" t="s">
        <v>2738</v>
      </c>
      <c r="S98" s="152" t="s">
        <v>2738</v>
      </c>
      <c r="T98" s="153" t="s">
        <v>3322</v>
      </c>
      <c r="U98" s="154" t="s">
        <v>2741</v>
      </c>
      <c r="V98" s="154" t="s">
        <v>2741</v>
      </c>
      <c r="W98" s="34">
        <v>0</v>
      </c>
      <c r="X98" s="34">
        <v>0</v>
      </c>
      <c r="Y98" s="34">
        <v>0</v>
      </c>
      <c r="Z98" s="34">
        <v>0</v>
      </c>
      <c r="AA98" s="34">
        <f t="shared" si="1"/>
        <v>1</v>
      </c>
      <c r="AB98" s="34">
        <v>0</v>
      </c>
      <c r="AC98" s="163"/>
    </row>
    <row r="99" spans="1:29" ht="39.75" customHeight="1">
      <c r="A99" s="148"/>
      <c r="B99" s="148">
        <v>96</v>
      </c>
      <c r="C99" s="149">
        <f>VLOOKUP(D99,'[5]Codes &amp; Descr. SFICS25'!B:C,2,FALSE)</f>
        <v>26</v>
      </c>
      <c r="D99" s="150" t="s">
        <v>3313</v>
      </c>
      <c r="E99" s="150">
        <f>+VLOOKUP(F99,'[5]Codes &amp; Descr. SFICS25'!D:E,2,FALSE)</f>
        <v>2603</v>
      </c>
      <c r="F99" s="150" t="s">
        <v>3402</v>
      </c>
      <c r="G99" s="150">
        <f>VLOOKUP(H99,'[5]Codes &amp; Descr. SFICS25'!F:H,2,FALSE)</f>
        <v>260305</v>
      </c>
      <c r="H99" s="150" t="s">
        <v>3434</v>
      </c>
      <c r="I99" s="150" t="s">
        <v>3435</v>
      </c>
      <c r="J99" s="150" t="s">
        <v>3436</v>
      </c>
      <c r="K99" s="149" t="s">
        <v>3437</v>
      </c>
      <c r="L99" s="151" t="s">
        <v>759</v>
      </c>
      <c r="M99" s="152" t="s">
        <v>1402</v>
      </c>
      <c r="N99" s="152" t="s">
        <v>3438</v>
      </c>
      <c r="O99" s="152" t="s">
        <v>3439</v>
      </c>
      <c r="P99" s="31" t="s">
        <v>3440</v>
      </c>
      <c r="Q99" s="31" t="s">
        <v>3441</v>
      </c>
      <c r="R99" s="152" t="s">
        <v>2738</v>
      </c>
      <c r="S99" s="152" t="s">
        <v>2738</v>
      </c>
      <c r="T99" s="153" t="s">
        <v>3322</v>
      </c>
      <c r="U99" s="34">
        <v>0</v>
      </c>
      <c r="V99" s="34">
        <v>0</v>
      </c>
      <c r="W99" s="34">
        <v>0</v>
      </c>
      <c r="X99" s="154" t="s">
        <v>2741</v>
      </c>
      <c r="Y99" s="34">
        <v>0</v>
      </c>
      <c r="Z99" s="34">
        <v>0</v>
      </c>
      <c r="AA99" s="34">
        <f t="shared" si="1"/>
        <v>1</v>
      </c>
      <c r="AB99" s="34">
        <v>0</v>
      </c>
      <c r="AC99" s="163"/>
    </row>
    <row r="100" spans="1:29" ht="33" customHeight="1">
      <c r="A100" s="148"/>
      <c r="B100" s="148">
        <v>97</v>
      </c>
      <c r="C100" s="149">
        <f>VLOOKUP(D100,'[5]Codes &amp; Descr. SFICS25'!B:C,2,FALSE)</f>
        <v>26</v>
      </c>
      <c r="D100" s="150" t="s">
        <v>3313</v>
      </c>
      <c r="E100" s="150">
        <f>+VLOOKUP(F100,'[5]Codes &amp; Descr. SFICS25'!D:E,2,FALSE)</f>
        <v>2601</v>
      </c>
      <c r="F100" s="150" t="s">
        <v>3442</v>
      </c>
      <c r="G100" s="150">
        <f>VLOOKUP(H100,'[5]Codes &amp; Descr. SFICS25'!F:H,2,FALSE)</f>
        <v>260101</v>
      </c>
      <c r="H100" s="150" t="s">
        <v>3443</v>
      </c>
      <c r="I100" s="150" t="s">
        <v>3444</v>
      </c>
      <c r="J100" s="150" t="s">
        <v>3444</v>
      </c>
      <c r="K100" s="149" t="s">
        <v>3443</v>
      </c>
      <c r="L100" s="151" t="s">
        <v>767</v>
      </c>
      <c r="M100" s="152" t="s">
        <v>1402</v>
      </c>
      <c r="N100" s="152" t="s">
        <v>3445</v>
      </c>
      <c r="O100" s="152" t="s">
        <v>3446</v>
      </c>
      <c r="P100" s="31" t="s">
        <v>3447</v>
      </c>
      <c r="Q100" s="31" t="s">
        <v>3448</v>
      </c>
      <c r="R100" s="152" t="s">
        <v>2738</v>
      </c>
      <c r="S100" s="152" t="s">
        <v>2738</v>
      </c>
      <c r="T100" s="153" t="s">
        <v>3322</v>
      </c>
      <c r="U100" s="154" t="s">
        <v>2741</v>
      </c>
      <c r="V100" s="154" t="s">
        <v>2741</v>
      </c>
      <c r="W100" s="34">
        <v>0</v>
      </c>
      <c r="X100" s="34">
        <v>0</v>
      </c>
      <c r="Y100" s="34">
        <v>0</v>
      </c>
      <c r="Z100" s="34">
        <v>0</v>
      </c>
      <c r="AA100" s="34">
        <f t="shared" si="1"/>
        <v>1</v>
      </c>
      <c r="AB100" s="34">
        <v>0</v>
      </c>
      <c r="AC100" s="163"/>
    </row>
    <row r="101" spans="1:29" ht="39.75" customHeight="1">
      <c r="A101" s="156"/>
      <c r="B101" s="148">
        <v>98</v>
      </c>
      <c r="C101" s="149">
        <f>VLOOKUP(D101,'[5]Codes &amp; Descr. SFICS25'!B:C,2,FALSE)</f>
        <v>26</v>
      </c>
      <c r="D101" s="150" t="s">
        <v>3313</v>
      </c>
      <c r="E101" s="150">
        <f>+VLOOKUP(F101,'[5]Codes &amp; Descr. SFICS25'!D:E,2,FALSE)</f>
        <v>2601</v>
      </c>
      <c r="F101" s="150" t="s">
        <v>3442</v>
      </c>
      <c r="G101" s="150">
        <f>VLOOKUP(H101,'[5]Codes &amp; Descr. SFICS25'!F:H,2,FALSE)</f>
        <v>260102</v>
      </c>
      <c r="H101" s="150" t="s">
        <v>3449</v>
      </c>
      <c r="I101" s="150" t="s">
        <v>3450</v>
      </c>
      <c r="J101" s="150" t="s">
        <v>3450</v>
      </c>
      <c r="K101" s="155" t="s">
        <v>3449</v>
      </c>
      <c r="L101" s="151" t="s">
        <v>774</v>
      </c>
      <c r="M101" s="152" t="s">
        <v>1402</v>
      </c>
      <c r="N101" s="152" t="s">
        <v>3451</v>
      </c>
      <c r="O101" s="152" t="s">
        <v>3452</v>
      </c>
      <c r="P101" s="197" t="s">
        <v>3453</v>
      </c>
      <c r="Q101" s="197" t="s">
        <v>3454</v>
      </c>
      <c r="R101" s="152" t="s">
        <v>2738</v>
      </c>
      <c r="S101" s="152" t="s">
        <v>2738</v>
      </c>
      <c r="T101" s="153" t="s">
        <v>3322</v>
      </c>
      <c r="U101" s="34">
        <v>0</v>
      </c>
      <c r="V101" s="154" t="s">
        <v>2880</v>
      </c>
      <c r="W101" s="34">
        <v>0</v>
      </c>
      <c r="X101" s="34">
        <v>0</v>
      </c>
      <c r="Y101" s="34">
        <v>0</v>
      </c>
      <c r="Z101" s="34">
        <v>0</v>
      </c>
      <c r="AA101" s="34">
        <f t="shared" si="1"/>
        <v>1</v>
      </c>
      <c r="AB101" s="34">
        <v>0</v>
      </c>
      <c r="AC101" s="163"/>
    </row>
    <row r="102" spans="1:29" ht="39.75" customHeight="1">
      <c r="A102" s="148"/>
      <c r="B102" s="148">
        <v>99</v>
      </c>
      <c r="C102" s="149">
        <f>VLOOKUP(D102,'[5]Codes &amp; Descr. SFICS25'!B:C,2,FALSE)</f>
        <v>26</v>
      </c>
      <c r="D102" s="150" t="s">
        <v>3313</v>
      </c>
      <c r="E102" s="150">
        <f>+VLOOKUP(F102,'[5]Codes &amp; Descr. SFICS25'!D:E,2,FALSE)</f>
        <v>2601</v>
      </c>
      <c r="F102" s="150" t="s">
        <v>3442</v>
      </c>
      <c r="G102" s="150">
        <f>VLOOKUP(H102,'[5]Codes &amp; Descr. SFICS25'!F:H,2,FALSE)</f>
        <v>260103</v>
      </c>
      <c r="H102" s="150" t="s">
        <v>3442</v>
      </c>
      <c r="I102" s="150" t="s">
        <v>3455</v>
      </c>
      <c r="J102" s="150" t="s">
        <v>3455</v>
      </c>
      <c r="K102" s="155" t="s">
        <v>3442</v>
      </c>
      <c r="L102" s="151" t="s">
        <v>764</v>
      </c>
      <c r="M102" s="152" t="s">
        <v>1402</v>
      </c>
      <c r="N102" s="152" t="s">
        <v>3456</v>
      </c>
      <c r="O102" s="152" t="s">
        <v>3457</v>
      </c>
      <c r="P102" s="31" t="s">
        <v>3341</v>
      </c>
      <c r="Q102" s="31" t="s">
        <v>3458</v>
      </c>
      <c r="R102" s="152" t="s">
        <v>2738</v>
      </c>
      <c r="S102" s="152" t="s">
        <v>2738</v>
      </c>
      <c r="T102" s="153" t="s">
        <v>3322</v>
      </c>
      <c r="U102" s="34">
        <v>0</v>
      </c>
      <c r="V102" s="34">
        <v>0</v>
      </c>
      <c r="W102" s="154" t="s">
        <v>2741</v>
      </c>
      <c r="X102" s="34">
        <v>0</v>
      </c>
      <c r="Y102" s="34">
        <v>0</v>
      </c>
      <c r="Z102" s="34">
        <v>0</v>
      </c>
      <c r="AA102" s="34">
        <f t="shared" si="1"/>
        <v>1</v>
      </c>
      <c r="AB102" s="34">
        <v>0</v>
      </c>
      <c r="AC102" s="163"/>
    </row>
    <row r="103" spans="1:29" ht="39.75" customHeight="1">
      <c r="A103" s="148"/>
      <c r="B103" s="148">
        <v>100</v>
      </c>
      <c r="C103" s="149">
        <f>VLOOKUP(D103,'[5]Codes &amp; Descr. SFICS25'!B:C,2,FALSE)</f>
        <v>26</v>
      </c>
      <c r="D103" s="150" t="s">
        <v>3313</v>
      </c>
      <c r="E103" s="150">
        <f>+VLOOKUP(F103,'[5]Codes &amp; Descr. SFICS25'!D:E,2,FALSE)</f>
        <v>2601</v>
      </c>
      <c r="F103" s="150" t="s">
        <v>3442</v>
      </c>
      <c r="G103" s="150">
        <f>VLOOKUP(H103,'[5]Codes &amp; Descr. SFICS25'!F:H,2,FALSE)</f>
        <v>260104</v>
      </c>
      <c r="H103" s="150" t="s">
        <v>3459</v>
      </c>
      <c r="I103" s="150" t="s">
        <v>3460</v>
      </c>
      <c r="J103" s="150" t="s">
        <v>3460</v>
      </c>
      <c r="K103" s="155" t="s">
        <v>3459</v>
      </c>
      <c r="L103" s="151" t="s">
        <v>281</v>
      </c>
      <c r="M103" s="152" t="s">
        <v>1402</v>
      </c>
      <c r="N103" s="152" t="s">
        <v>3461</v>
      </c>
      <c r="O103" s="152" t="s">
        <v>3462</v>
      </c>
      <c r="P103" s="31" t="s">
        <v>3463</v>
      </c>
      <c r="Q103" s="31" t="s">
        <v>2738</v>
      </c>
      <c r="R103" s="152" t="s">
        <v>2738</v>
      </c>
      <c r="S103" s="152" t="s">
        <v>2738</v>
      </c>
      <c r="T103" s="153" t="s">
        <v>3322</v>
      </c>
      <c r="U103" s="34">
        <v>0</v>
      </c>
      <c r="V103" s="34">
        <v>0</v>
      </c>
      <c r="W103" s="34">
        <v>0</v>
      </c>
      <c r="X103" s="34">
        <v>0</v>
      </c>
      <c r="Y103" s="34">
        <v>0</v>
      </c>
      <c r="Z103" s="34">
        <v>0</v>
      </c>
      <c r="AA103" s="34">
        <f t="shared" si="1"/>
        <v>1</v>
      </c>
      <c r="AB103" s="34">
        <v>0</v>
      </c>
      <c r="AC103" s="163"/>
    </row>
    <row r="104" spans="1:29" ht="39.75" customHeight="1">
      <c r="A104" s="148"/>
      <c r="B104" s="148">
        <v>101</v>
      </c>
      <c r="C104" s="149">
        <f>VLOOKUP(D104,'[5]Codes &amp; Descr. SFICS25'!B:C,2,FALSE)</f>
        <v>26</v>
      </c>
      <c r="D104" s="150" t="s">
        <v>3313</v>
      </c>
      <c r="E104" s="150">
        <f>+VLOOKUP(F104,'[5]Codes &amp; Descr. SFICS25'!D:E,2,FALSE)</f>
        <v>2605</v>
      </c>
      <c r="F104" s="150" t="s">
        <v>3464</v>
      </c>
      <c r="G104" s="150">
        <f>VLOOKUP(H104,'[5]Codes &amp; Descr. SFICS25'!F:H,2,FALSE)</f>
        <v>260501</v>
      </c>
      <c r="H104" s="150" t="s">
        <v>3465</v>
      </c>
      <c r="I104" s="150" t="s">
        <v>3466</v>
      </c>
      <c r="J104" s="150" t="s">
        <v>3467</v>
      </c>
      <c r="K104" s="149" t="s">
        <v>3468</v>
      </c>
      <c r="L104" s="151" t="s">
        <v>794</v>
      </c>
      <c r="M104" s="152" t="s">
        <v>1402</v>
      </c>
      <c r="N104" s="152" t="s">
        <v>3469</v>
      </c>
      <c r="O104" s="152" t="s">
        <v>3470</v>
      </c>
      <c r="P104" s="31" t="s">
        <v>2738</v>
      </c>
      <c r="Q104" s="31" t="s">
        <v>3471</v>
      </c>
      <c r="R104" s="152" t="s">
        <v>2738</v>
      </c>
      <c r="S104" s="152" t="s">
        <v>2738</v>
      </c>
      <c r="T104" s="153" t="s">
        <v>3322</v>
      </c>
      <c r="U104" s="34">
        <v>0</v>
      </c>
      <c r="V104" s="34">
        <v>0</v>
      </c>
      <c r="W104" s="34">
        <v>0</v>
      </c>
      <c r="X104" s="34">
        <v>0</v>
      </c>
      <c r="Y104" s="154" t="s">
        <v>2741</v>
      </c>
      <c r="Z104" s="34">
        <v>0</v>
      </c>
      <c r="AA104" s="34">
        <f t="shared" si="1"/>
        <v>1</v>
      </c>
      <c r="AB104" s="34">
        <v>0</v>
      </c>
      <c r="AC104" s="163"/>
    </row>
    <row r="105" spans="1:29" ht="39.75" customHeight="1">
      <c r="A105" s="148"/>
      <c r="B105" s="148">
        <v>102</v>
      </c>
      <c r="C105" s="149">
        <f>VLOOKUP(D105,'[5]Codes &amp; Descr. SFICS25'!B:C,2,FALSE)</f>
        <v>26</v>
      </c>
      <c r="D105" s="150" t="s">
        <v>3313</v>
      </c>
      <c r="E105" s="150">
        <f>+VLOOKUP(F105,'[5]Codes &amp; Descr. SFICS25'!D:E,2,FALSE)</f>
        <v>2605</v>
      </c>
      <c r="F105" s="150" t="s">
        <v>3464</v>
      </c>
      <c r="G105" s="150">
        <f>VLOOKUP(H105,'[5]Codes &amp; Descr. SFICS25'!F:H,2,FALSE)</f>
        <v>260502</v>
      </c>
      <c r="H105" s="150" t="s">
        <v>3472</v>
      </c>
      <c r="I105" s="150" t="s">
        <v>3473</v>
      </c>
      <c r="J105" s="150" t="s">
        <v>3474</v>
      </c>
      <c r="K105" s="155" t="s">
        <v>3475</v>
      </c>
      <c r="L105" s="151" t="s">
        <v>801</v>
      </c>
      <c r="M105" s="152" t="s">
        <v>1402</v>
      </c>
      <c r="N105" s="152" t="s">
        <v>3476</v>
      </c>
      <c r="O105" s="152" t="s">
        <v>3477</v>
      </c>
      <c r="P105" s="31" t="s">
        <v>2738</v>
      </c>
      <c r="Q105" s="31" t="s">
        <v>3478</v>
      </c>
      <c r="R105" s="152" t="s">
        <v>2738</v>
      </c>
      <c r="S105" s="152" t="s">
        <v>2738</v>
      </c>
      <c r="T105" s="153" t="s">
        <v>3322</v>
      </c>
      <c r="U105" s="34">
        <v>0</v>
      </c>
      <c r="V105" s="34">
        <v>0</v>
      </c>
      <c r="W105" s="34">
        <v>0</v>
      </c>
      <c r="X105" s="34">
        <v>0</v>
      </c>
      <c r="Y105" s="154" t="s">
        <v>2741</v>
      </c>
      <c r="Z105" s="34">
        <v>0</v>
      </c>
      <c r="AA105" s="34">
        <f t="shared" si="1"/>
        <v>1</v>
      </c>
      <c r="AB105" s="34">
        <v>0</v>
      </c>
      <c r="AC105" s="163"/>
    </row>
    <row r="106" spans="1:29" ht="39.75" customHeight="1">
      <c r="A106" s="148"/>
      <c r="B106" s="148">
        <v>103</v>
      </c>
      <c r="C106" s="149">
        <f>VLOOKUP(D106,'[5]Codes &amp; Descr. SFICS25'!B:C,2,FALSE)</f>
        <v>26</v>
      </c>
      <c r="D106" s="150" t="s">
        <v>3313</v>
      </c>
      <c r="E106" s="150">
        <f>+VLOOKUP(F106,'[5]Codes &amp; Descr. SFICS25'!D:E,2,FALSE)</f>
        <v>2606</v>
      </c>
      <c r="F106" s="150" t="s">
        <v>3479</v>
      </c>
      <c r="G106" s="150">
        <f>VLOOKUP(H106,'[5]Codes &amp; Descr. SFICS25'!F:H,2,FALSE)</f>
        <v>260601</v>
      </c>
      <c r="H106" s="150" t="s">
        <v>2162</v>
      </c>
      <c r="I106" s="150" t="s">
        <v>2163</v>
      </c>
      <c r="J106" s="150" t="s">
        <v>2163</v>
      </c>
      <c r="K106" s="155" t="s">
        <v>2162</v>
      </c>
      <c r="L106" s="151" t="s">
        <v>806</v>
      </c>
      <c r="M106" s="152" t="s">
        <v>1402</v>
      </c>
      <c r="N106" s="152" t="s">
        <v>3480</v>
      </c>
      <c r="O106" s="152" t="s">
        <v>3481</v>
      </c>
      <c r="P106" s="31" t="s">
        <v>3482</v>
      </c>
      <c r="Q106" s="31" t="s">
        <v>3483</v>
      </c>
      <c r="R106" s="152" t="s">
        <v>2738</v>
      </c>
      <c r="S106" s="152" t="s">
        <v>2738</v>
      </c>
      <c r="T106" s="153" t="s">
        <v>3322</v>
      </c>
      <c r="U106" s="154" t="s">
        <v>2880</v>
      </c>
      <c r="V106" s="154" t="s">
        <v>2741</v>
      </c>
      <c r="W106" s="34">
        <v>0</v>
      </c>
      <c r="X106" s="34">
        <v>0</v>
      </c>
      <c r="Y106" s="34">
        <v>0</v>
      </c>
      <c r="Z106" s="34">
        <v>0</v>
      </c>
      <c r="AA106" s="34">
        <f t="shared" si="1"/>
        <v>1</v>
      </c>
      <c r="AB106" s="34">
        <v>0</v>
      </c>
      <c r="AC106" s="163"/>
    </row>
    <row r="107" spans="1:29" ht="39.75" customHeight="1">
      <c r="A107" s="148"/>
      <c r="B107" s="148">
        <v>104</v>
      </c>
      <c r="C107" s="149">
        <f>VLOOKUP(D107,'[5]Codes &amp; Descr. SFICS25'!B:C,2,FALSE)</f>
        <v>26</v>
      </c>
      <c r="D107" s="150" t="s">
        <v>3313</v>
      </c>
      <c r="E107" s="150">
        <f>+VLOOKUP(F107,'[5]Codes &amp; Descr. SFICS25'!D:E,2,FALSE)</f>
        <v>2606</v>
      </c>
      <c r="F107" s="150" t="s">
        <v>3479</v>
      </c>
      <c r="G107" s="150">
        <f>VLOOKUP(H107,'[5]Codes &amp; Descr. SFICS25'!F:H,2,FALSE)</f>
        <v>260602</v>
      </c>
      <c r="H107" s="150" t="s">
        <v>3484</v>
      </c>
      <c r="I107" s="150" t="s">
        <v>3485</v>
      </c>
      <c r="J107" s="150" t="s">
        <v>3486</v>
      </c>
      <c r="K107" s="149" t="s">
        <v>3487</v>
      </c>
      <c r="L107" s="151" t="s">
        <v>815</v>
      </c>
      <c r="M107" s="152" t="s">
        <v>1402</v>
      </c>
      <c r="N107" s="152" t="s">
        <v>3488</v>
      </c>
      <c r="O107" s="152" t="s">
        <v>3489</v>
      </c>
      <c r="P107" s="31" t="s">
        <v>2738</v>
      </c>
      <c r="Q107" s="31" t="s">
        <v>3490</v>
      </c>
      <c r="R107" s="152" t="s">
        <v>2738</v>
      </c>
      <c r="S107" s="152" t="s">
        <v>2738</v>
      </c>
      <c r="T107" s="153" t="s">
        <v>3322</v>
      </c>
      <c r="U107" s="154" t="s">
        <v>2741</v>
      </c>
      <c r="V107" s="154" t="s">
        <v>2741</v>
      </c>
      <c r="W107" s="34">
        <v>0</v>
      </c>
      <c r="X107" s="34">
        <v>0</v>
      </c>
      <c r="Y107" s="34">
        <v>0</v>
      </c>
      <c r="Z107" s="34">
        <v>0</v>
      </c>
      <c r="AA107" s="34">
        <f t="shared" si="1"/>
        <v>1</v>
      </c>
      <c r="AB107" s="34">
        <v>0</v>
      </c>
      <c r="AC107" s="163"/>
    </row>
    <row r="108" spans="1:29" ht="39.75" customHeight="1">
      <c r="A108" s="148"/>
      <c r="B108" s="148">
        <v>105</v>
      </c>
      <c r="C108" s="149">
        <f>VLOOKUP(D108,'[5]Codes &amp; Descr. SFICS25'!B:C,2,FALSE)</f>
        <v>26</v>
      </c>
      <c r="D108" s="150" t="s">
        <v>3313</v>
      </c>
      <c r="E108" s="150">
        <f>+VLOOKUP(F108,'[5]Codes &amp; Descr. SFICS25'!D:E,2,FALSE)</f>
        <v>2604</v>
      </c>
      <c r="F108" s="150" t="s">
        <v>3349</v>
      </c>
      <c r="G108" s="150">
        <f>VLOOKUP(H108,'[5]Codes &amp; Descr. SFICS25'!F:H,2,FALSE)</f>
        <v>260408</v>
      </c>
      <c r="H108" s="150" t="s">
        <v>3491</v>
      </c>
      <c r="I108" s="150" t="s">
        <v>3492</v>
      </c>
      <c r="J108" s="150" t="s">
        <v>3492</v>
      </c>
      <c r="K108" s="157" t="s">
        <v>3491</v>
      </c>
      <c r="L108" s="151"/>
      <c r="M108" s="152" t="s">
        <v>1402</v>
      </c>
      <c r="N108" s="152" t="s">
        <v>3493</v>
      </c>
      <c r="O108" s="167" t="s">
        <v>3494</v>
      </c>
      <c r="P108" s="31" t="s">
        <v>3495</v>
      </c>
      <c r="Q108" s="31" t="s">
        <v>2738</v>
      </c>
      <c r="R108" s="152" t="s">
        <v>2738</v>
      </c>
      <c r="S108" s="152" t="s">
        <v>2738</v>
      </c>
      <c r="T108" s="153" t="s">
        <v>3322</v>
      </c>
      <c r="U108" s="33">
        <v>0</v>
      </c>
      <c r="V108" s="33">
        <v>0</v>
      </c>
      <c r="W108" s="33">
        <v>0</v>
      </c>
      <c r="X108" s="33">
        <v>0</v>
      </c>
      <c r="Y108" s="33">
        <v>0</v>
      </c>
      <c r="Z108" s="33">
        <v>0</v>
      </c>
      <c r="AA108" s="34">
        <f t="shared" si="1"/>
        <v>1</v>
      </c>
      <c r="AB108" s="34">
        <v>0</v>
      </c>
      <c r="AC108" s="163"/>
    </row>
    <row r="109" spans="1:29" ht="39.75" customHeight="1">
      <c r="A109" s="156"/>
      <c r="B109" s="148">
        <v>106</v>
      </c>
      <c r="C109" s="149">
        <f>VLOOKUP(D109,'[5]Codes &amp; Descr. SFICS25'!B:C,2,FALSE)</f>
        <v>27</v>
      </c>
      <c r="D109" s="150" t="s">
        <v>3496</v>
      </c>
      <c r="E109" s="150">
        <f>+VLOOKUP(F109,'[5]Codes &amp; Descr. SFICS25'!D:E,2,FALSE)</f>
        <v>2703</v>
      </c>
      <c r="F109" s="150" t="s">
        <v>3497</v>
      </c>
      <c r="G109" s="150">
        <f>VLOOKUP(H109,'[5]Codes &amp; Descr. SFICS25'!F:H,2,FALSE)</f>
        <v>270301</v>
      </c>
      <c r="H109" s="150" t="s">
        <v>3498</v>
      </c>
      <c r="I109" s="150" t="s">
        <v>3499</v>
      </c>
      <c r="J109" s="150" t="s">
        <v>3499</v>
      </c>
      <c r="K109" s="155" t="s">
        <v>3498</v>
      </c>
      <c r="L109" s="151" t="s">
        <v>281</v>
      </c>
      <c r="M109" s="152" t="s">
        <v>1402</v>
      </c>
      <c r="N109" s="152" t="s">
        <v>3500</v>
      </c>
      <c r="O109" s="152" t="s">
        <v>3501</v>
      </c>
      <c r="P109" s="193" t="s">
        <v>3502</v>
      </c>
      <c r="Q109" s="31" t="s">
        <v>2738</v>
      </c>
      <c r="R109" s="152" t="s">
        <v>2738</v>
      </c>
      <c r="S109" s="152" t="s">
        <v>2738</v>
      </c>
      <c r="T109" s="153" t="s">
        <v>3503</v>
      </c>
      <c r="U109" s="33">
        <v>0</v>
      </c>
      <c r="V109" s="34">
        <v>0</v>
      </c>
      <c r="W109" s="34">
        <v>0</v>
      </c>
      <c r="X109" s="34">
        <v>0</v>
      </c>
      <c r="Y109" s="34">
        <v>0</v>
      </c>
      <c r="Z109" s="34">
        <v>0</v>
      </c>
      <c r="AA109" s="34">
        <f t="shared" si="1"/>
        <v>1</v>
      </c>
      <c r="AB109" s="34">
        <v>0</v>
      </c>
      <c r="AC109" s="163"/>
    </row>
    <row r="110" spans="1:29" ht="39.75" customHeight="1">
      <c r="A110" s="148"/>
      <c r="B110" s="148">
        <v>107</v>
      </c>
      <c r="C110" s="149">
        <f>VLOOKUP(D110,'[5]Codes &amp; Descr. SFICS25'!B:C,2,FALSE)</f>
        <v>27</v>
      </c>
      <c r="D110" s="150" t="s">
        <v>3496</v>
      </c>
      <c r="E110" s="150">
        <f>+VLOOKUP(F110,'[5]Codes &amp; Descr. SFICS25'!D:E,2,FALSE)</f>
        <v>2703</v>
      </c>
      <c r="F110" s="150" t="s">
        <v>3497</v>
      </c>
      <c r="G110" s="150">
        <f>VLOOKUP(H110,'[5]Codes &amp; Descr. SFICS25'!F:H,2,FALSE)</f>
        <v>270302</v>
      </c>
      <c r="H110" s="150" t="s">
        <v>3504</v>
      </c>
      <c r="I110" s="150" t="s">
        <v>3505</v>
      </c>
      <c r="J110" s="150" t="s">
        <v>3505</v>
      </c>
      <c r="K110" s="155" t="s">
        <v>3504</v>
      </c>
      <c r="L110" s="151" t="s">
        <v>281</v>
      </c>
      <c r="M110" s="152" t="s">
        <v>1402</v>
      </c>
      <c r="N110" s="152" t="s">
        <v>3506</v>
      </c>
      <c r="O110" s="152" t="s">
        <v>3507</v>
      </c>
      <c r="P110" s="31" t="s">
        <v>3508</v>
      </c>
      <c r="Q110" s="31" t="s">
        <v>2738</v>
      </c>
      <c r="R110" s="152" t="s">
        <v>2738</v>
      </c>
      <c r="S110" s="152" t="s">
        <v>2738</v>
      </c>
      <c r="T110" s="153" t="s">
        <v>3503</v>
      </c>
      <c r="U110" s="33">
        <v>0</v>
      </c>
      <c r="V110" s="34">
        <v>0</v>
      </c>
      <c r="W110" s="34">
        <v>0</v>
      </c>
      <c r="X110" s="34">
        <v>0</v>
      </c>
      <c r="Y110" s="34">
        <v>0</v>
      </c>
      <c r="Z110" s="34">
        <v>0</v>
      </c>
      <c r="AA110" s="34">
        <f t="shared" si="1"/>
        <v>1</v>
      </c>
      <c r="AB110" s="34">
        <v>0</v>
      </c>
      <c r="AC110" s="163"/>
    </row>
    <row r="111" spans="1:29" ht="39.75" customHeight="1">
      <c r="A111" s="148"/>
      <c r="B111" s="148">
        <v>108</v>
      </c>
      <c r="C111" s="149">
        <f>VLOOKUP(D111,'[5]Codes &amp; Descr. SFICS25'!B:C,2,FALSE)</f>
        <v>27</v>
      </c>
      <c r="D111" s="150" t="s">
        <v>3496</v>
      </c>
      <c r="E111" s="150">
        <f>+VLOOKUP(F111,'[5]Codes &amp; Descr. SFICS25'!D:E,2,FALSE)</f>
        <v>2703</v>
      </c>
      <c r="F111" s="150" t="s">
        <v>3497</v>
      </c>
      <c r="G111" s="150">
        <f>VLOOKUP(H111,'[5]Codes &amp; Descr. SFICS25'!F:H,2,FALSE)</f>
        <v>270303</v>
      </c>
      <c r="H111" s="150" t="s">
        <v>3509</v>
      </c>
      <c r="I111" s="150" t="s">
        <v>3510</v>
      </c>
      <c r="J111" s="150" t="s">
        <v>3511</v>
      </c>
      <c r="K111" s="149" t="s">
        <v>3512</v>
      </c>
      <c r="L111" s="151" t="s">
        <v>281</v>
      </c>
      <c r="M111" s="152" t="s">
        <v>1402</v>
      </c>
      <c r="N111" s="152" t="s">
        <v>3513</v>
      </c>
      <c r="O111" s="152" t="s">
        <v>3514</v>
      </c>
      <c r="P111" s="31" t="s">
        <v>3515</v>
      </c>
      <c r="Q111" s="31" t="s">
        <v>2738</v>
      </c>
      <c r="R111" s="152" t="s">
        <v>2738</v>
      </c>
      <c r="S111" s="152" t="s">
        <v>2738</v>
      </c>
      <c r="T111" s="153" t="s">
        <v>3503</v>
      </c>
      <c r="U111" s="33">
        <v>0</v>
      </c>
      <c r="V111" s="34">
        <v>0</v>
      </c>
      <c r="W111" s="34">
        <v>0</v>
      </c>
      <c r="X111" s="34">
        <v>0</v>
      </c>
      <c r="Y111" s="34">
        <v>0</v>
      </c>
      <c r="Z111" s="34">
        <v>0</v>
      </c>
      <c r="AA111" s="34">
        <f t="shared" si="1"/>
        <v>1</v>
      </c>
      <c r="AB111" s="34">
        <v>0</v>
      </c>
      <c r="AC111" s="163"/>
    </row>
    <row r="112" spans="1:29" ht="39.75" customHeight="1">
      <c r="A112" s="148"/>
      <c r="B112" s="148">
        <v>109</v>
      </c>
      <c r="C112" s="149">
        <f>VLOOKUP(D112,'[5]Codes &amp; Descr. SFICS25'!B:C,2,FALSE)</f>
        <v>27</v>
      </c>
      <c r="D112" s="150" t="s">
        <v>3496</v>
      </c>
      <c r="E112" s="150">
        <f>+VLOOKUP(F112,'[5]Codes &amp; Descr. SFICS25'!D:E,2,FALSE)</f>
        <v>2703</v>
      </c>
      <c r="F112" s="150" t="s">
        <v>3497</v>
      </c>
      <c r="G112" s="150">
        <f>VLOOKUP(H112,'[5]Codes &amp; Descr. SFICS25'!F:H,2,FALSE)</f>
        <v>270304</v>
      </c>
      <c r="H112" s="150" t="s">
        <v>3516</v>
      </c>
      <c r="I112" s="150" t="s">
        <v>3517</v>
      </c>
      <c r="J112" s="150" t="s">
        <v>3518</v>
      </c>
      <c r="K112" s="149" t="s">
        <v>3519</v>
      </c>
      <c r="L112" s="151" t="s">
        <v>281</v>
      </c>
      <c r="M112" s="152" t="s">
        <v>1402</v>
      </c>
      <c r="N112" s="152" t="s">
        <v>3520</v>
      </c>
      <c r="O112" s="152" t="s">
        <v>3521</v>
      </c>
      <c r="P112" s="31" t="s">
        <v>3522</v>
      </c>
      <c r="Q112" s="31" t="s">
        <v>2738</v>
      </c>
      <c r="R112" s="152" t="s">
        <v>2738</v>
      </c>
      <c r="S112" s="152" t="s">
        <v>2738</v>
      </c>
      <c r="T112" s="153" t="s">
        <v>3503</v>
      </c>
      <c r="U112" s="33">
        <v>0</v>
      </c>
      <c r="V112" s="34">
        <v>0</v>
      </c>
      <c r="W112" s="34">
        <v>0</v>
      </c>
      <c r="X112" s="34">
        <v>0</v>
      </c>
      <c r="Y112" s="34">
        <v>0</v>
      </c>
      <c r="Z112" s="34">
        <v>0</v>
      </c>
      <c r="AA112" s="34">
        <f t="shared" si="1"/>
        <v>1</v>
      </c>
      <c r="AB112" s="34">
        <v>0</v>
      </c>
      <c r="AC112" s="163"/>
    </row>
    <row r="113" spans="1:29" ht="39.75" customHeight="1">
      <c r="A113" s="156"/>
      <c r="B113" s="148">
        <v>110</v>
      </c>
      <c r="C113" s="149">
        <f>VLOOKUP(D113,'[5]Codes &amp; Descr. SFICS25'!B:C,2,FALSE)</f>
        <v>27</v>
      </c>
      <c r="D113" s="150" t="s">
        <v>3496</v>
      </c>
      <c r="E113" s="150">
        <f>+VLOOKUP(F113,'[5]Codes &amp; Descr. SFICS25'!D:E,2,FALSE)</f>
        <v>2703</v>
      </c>
      <c r="F113" s="150" t="s">
        <v>3497</v>
      </c>
      <c r="G113" s="150">
        <f>VLOOKUP(H113,'[5]Codes &amp; Descr. SFICS25'!F:H,2,FALSE)</f>
        <v>270305</v>
      </c>
      <c r="H113" s="150" t="s">
        <v>2209</v>
      </c>
      <c r="I113" s="150" t="s">
        <v>2210</v>
      </c>
      <c r="J113" s="150" t="s">
        <v>2210</v>
      </c>
      <c r="K113" s="155" t="s">
        <v>2209</v>
      </c>
      <c r="L113" s="151" t="s">
        <v>281</v>
      </c>
      <c r="M113" s="152" t="s">
        <v>1402</v>
      </c>
      <c r="N113" s="152" t="s">
        <v>3523</v>
      </c>
      <c r="O113" s="152" t="s">
        <v>3524</v>
      </c>
      <c r="P113" s="193" t="s">
        <v>3525</v>
      </c>
      <c r="Q113" s="31" t="s">
        <v>2738</v>
      </c>
      <c r="R113" s="152" t="s">
        <v>2738</v>
      </c>
      <c r="S113" s="152" t="s">
        <v>2738</v>
      </c>
      <c r="T113" s="153" t="s">
        <v>3503</v>
      </c>
      <c r="U113" s="33">
        <v>0</v>
      </c>
      <c r="V113" s="34">
        <v>0</v>
      </c>
      <c r="W113" s="34">
        <v>0</v>
      </c>
      <c r="X113" s="34">
        <v>0</v>
      </c>
      <c r="Y113" s="34">
        <v>0</v>
      </c>
      <c r="Z113" s="34">
        <v>0</v>
      </c>
      <c r="AA113" s="34">
        <f t="shared" si="1"/>
        <v>1</v>
      </c>
      <c r="AB113" s="34">
        <v>0</v>
      </c>
      <c r="AC113" s="163"/>
    </row>
    <row r="114" spans="1:29" ht="39.75" customHeight="1">
      <c r="A114" s="148"/>
      <c r="B114" s="148">
        <v>111</v>
      </c>
      <c r="C114" s="149">
        <f>VLOOKUP(D114,'[5]Codes &amp; Descr. SFICS25'!B:C,2,FALSE)</f>
        <v>27</v>
      </c>
      <c r="D114" s="150" t="s">
        <v>3496</v>
      </c>
      <c r="E114" s="150">
        <f>+VLOOKUP(F114,'[5]Codes &amp; Descr. SFICS25'!D:E,2,FALSE)</f>
        <v>2703</v>
      </c>
      <c r="F114" s="150" t="s">
        <v>3497</v>
      </c>
      <c r="G114" s="150">
        <f>VLOOKUP(H114,'[5]Codes &amp; Descr. SFICS25'!F:H,2,FALSE)</f>
        <v>270306</v>
      </c>
      <c r="H114" s="150" t="s">
        <v>3526</v>
      </c>
      <c r="I114" s="150" t="s">
        <v>3527</v>
      </c>
      <c r="J114" s="150" t="s">
        <v>3527</v>
      </c>
      <c r="K114" s="155" t="s">
        <v>3526</v>
      </c>
      <c r="L114" s="151" t="s">
        <v>281</v>
      </c>
      <c r="M114" s="152" t="s">
        <v>1402</v>
      </c>
      <c r="N114" s="152" t="s">
        <v>3528</v>
      </c>
      <c r="O114" s="152" t="s">
        <v>3529</v>
      </c>
      <c r="P114" s="31" t="s">
        <v>3530</v>
      </c>
      <c r="Q114" s="31" t="s">
        <v>2738</v>
      </c>
      <c r="R114" s="152" t="s">
        <v>2738</v>
      </c>
      <c r="S114" s="152" t="s">
        <v>2738</v>
      </c>
      <c r="T114" s="153" t="s">
        <v>3503</v>
      </c>
      <c r="U114" s="33">
        <v>0</v>
      </c>
      <c r="V114" s="34">
        <v>0</v>
      </c>
      <c r="W114" s="34">
        <v>0</v>
      </c>
      <c r="X114" s="34">
        <v>0</v>
      </c>
      <c r="Y114" s="34">
        <v>0</v>
      </c>
      <c r="Z114" s="34">
        <v>0</v>
      </c>
      <c r="AA114" s="34">
        <f t="shared" si="1"/>
        <v>1</v>
      </c>
      <c r="AB114" s="34">
        <v>0</v>
      </c>
      <c r="AC114" s="163"/>
    </row>
    <row r="115" spans="1:29" ht="39.75" customHeight="1">
      <c r="A115" s="148"/>
      <c r="B115" s="148">
        <v>112</v>
      </c>
      <c r="C115" s="149">
        <f>VLOOKUP(D115,'[5]Codes &amp; Descr. SFICS25'!B:C,2,FALSE)</f>
        <v>27</v>
      </c>
      <c r="D115" s="150" t="s">
        <v>3496</v>
      </c>
      <c r="E115" s="150">
        <f>+VLOOKUP(F115,'[5]Codes &amp; Descr. SFICS25'!D:E,2,FALSE)</f>
        <v>2703</v>
      </c>
      <c r="F115" s="150" t="s">
        <v>3497</v>
      </c>
      <c r="G115" s="150">
        <f>VLOOKUP(H115,'[5]Codes &amp; Descr. SFICS25'!F:H,2,FALSE)</f>
        <v>270307</v>
      </c>
      <c r="H115" s="150" t="s">
        <v>863</v>
      </c>
      <c r="I115" s="150" t="s">
        <v>864</v>
      </c>
      <c r="J115" s="150" t="s">
        <v>3531</v>
      </c>
      <c r="K115" s="149" t="s">
        <v>3532</v>
      </c>
      <c r="L115" s="151" t="s">
        <v>281</v>
      </c>
      <c r="M115" s="152" t="s">
        <v>1402</v>
      </c>
      <c r="N115" s="152" t="s">
        <v>3533</v>
      </c>
      <c r="O115" s="152" t="s">
        <v>3534</v>
      </c>
      <c r="P115" s="31" t="s">
        <v>3535</v>
      </c>
      <c r="Q115" s="31" t="s">
        <v>2738</v>
      </c>
      <c r="R115" s="152" t="s">
        <v>2738</v>
      </c>
      <c r="S115" s="152" t="s">
        <v>2738</v>
      </c>
      <c r="T115" s="153" t="s">
        <v>3503</v>
      </c>
      <c r="U115" s="33">
        <v>0</v>
      </c>
      <c r="V115" s="34">
        <v>0</v>
      </c>
      <c r="W115" s="34">
        <v>0</v>
      </c>
      <c r="X115" s="34">
        <v>0</v>
      </c>
      <c r="Y115" s="34">
        <v>0</v>
      </c>
      <c r="Z115" s="34">
        <v>0</v>
      </c>
      <c r="AA115" s="34">
        <f t="shared" si="1"/>
        <v>1</v>
      </c>
      <c r="AB115" s="34">
        <v>0</v>
      </c>
      <c r="AC115" s="163"/>
    </row>
    <row r="116" spans="1:29" ht="39.75" customHeight="1">
      <c r="A116" s="148"/>
      <c r="B116" s="148">
        <v>113</v>
      </c>
      <c r="C116" s="149">
        <f>VLOOKUP(D116,'[5]Codes &amp; Descr. SFICS25'!B:C,2,FALSE)</f>
        <v>27</v>
      </c>
      <c r="D116" s="150" t="s">
        <v>3496</v>
      </c>
      <c r="E116" s="150">
        <f>+VLOOKUP(F116,'[5]Codes &amp; Descr. SFICS25'!D:E,2,FALSE)</f>
        <v>2703</v>
      </c>
      <c r="F116" s="150" t="s">
        <v>3497</v>
      </c>
      <c r="G116" s="150">
        <f>VLOOKUP(H116,'[5]Codes &amp; Descr. SFICS25'!F:H,2,FALSE)</f>
        <v>270308</v>
      </c>
      <c r="H116" s="150" t="s">
        <v>3536</v>
      </c>
      <c r="I116" s="150" t="s">
        <v>3537</v>
      </c>
      <c r="J116" s="150" t="s">
        <v>3538</v>
      </c>
      <c r="K116" s="155" t="s">
        <v>3539</v>
      </c>
      <c r="L116" s="151" t="s">
        <v>281</v>
      </c>
      <c r="M116" s="152" t="s">
        <v>1402</v>
      </c>
      <c r="N116" s="152" t="s">
        <v>3540</v>
      </c>
      <c r="O116" s="152" t="s">
        <v>3541</v>
      </c>
      <c r="P116" s="31" t="s">
        <v>3542</v>
      </c>
      <c r="Q116" s="31" t="s">
        <v>2738</v>
      </c>
      <c r="R116" s="152" t="s">
        <v>2738</v>
      </c>
      <c r="S116" s="152" t="s">
        <v>2738</v>
      </c>
      <c r="T116" s="153" t="s">
        <v>3503</v>
      </c>
      <c r="U116" s="33">
        <v>0</v>
      </c>
      <c r="V116" s="34">
        <v>0</v>
      </c>
      <c r="W116" s="34">
        <v>0</v>
      </c>
      <c r="X116" s="34">
        <v>0</v>
      </c>
      <c r="Y116" s="34">
        <v>0</v>
      </c>
      <c r="Z116" s="34">
        <v>0</v>
      </c>
      <c r="AA116" s="34">
        <f t="shared" si="1"/>
        <v>1</v>
      </c>
      <c r="AB116" s="34">
        <v>0</v>
      </c>
      <c r="AC116" s="163"/>
    </row>
    <row r="117" spans="1:29" ht="39.75" customHeight="1">
      <c r="A117" s="156"/>
      <c r="B117" s="148">
        <v>114</v>
      </c>
      <c r="C117" s="149">
        <f>VLOOKUP(D117,'[5]Codes &amp; Descr. SFICS25'!B:C,2,FALSE)</f>
        <v>27</v>
      </c>
      <c r="D117" s="150" t="s">
        <v>3496</v>
      </c>
      <c r="E117" s="150">
        <f>+VLOOKUP(F117,'[5]Codes &amp; Descr. SFICS25'!D:E,2,FALSE)</f>
        <v>2703</v>
      </c>
      <c r="F117" s="150" t="s">
        <v>3497</v>
      </c>
      <c r="G117" s="150">
        <f>VLOOKUP(H117,'[5]Codes &amp; Descr. SFICS25'!F:H,2,FALSE)</f>
        <v>270309</v>
      </c>
      <c r="H117" s="150" t="s">
        <v>3543</v>
      </c>
      <c r="I117" s="150" t="s">
        <v>3544</v>
      </c>
      <c r="J117" s="150" t="s">
        <v>3544</v>
      </c>
      <c r="K117" s="155" t="s">
        <v>3543</v>
      </c>
      <c r="L117" s="151" t="s">
        <v>281</v>
      </c>
      <c r="M117" s="152" t="s">
        <v>1402</v>
      </c>
      <c r="N117" s="152" t="s">
        <v>3545</v>
      </c>
      <c r="O117" s="152" t="s">
        <v>3546</v>
      </c>
      <c r="P117" s="193" t="s">
        <v>3547</v>
      </c>
      <c r="Q117" s="31" t="s">
        <v>2738</v>
      </c>
      <c r="R117" s="152" t="s">
        <v>2738</v>
      </c>
      <c r="S117" s="152" t="s">
        <v>2738</v>
      </c>
      <c r="T117" s="153" t="s">
        <v>3503</v>
      </c>
      <c r="U117" s="33">
        <v>0</v>
      </c>
      <c r="V117" s="34">
        <v>0</v>
      </c>
      <c r="W117" s="34">
        <v>0</v>
      </c>
      <c r="X117" s="34">
        <v>0</v>
      </c>
      <c r="Y117" s="34">
        <v>0</v>
      </c>
      <c r="Z117" s="34">
        <v>0</v>
      </c>
      <c r="AA117" s="34">
        <f t="shared" si="1"/>
        <v>1</v>
      </c>
      <c r="AB117" s="34">
        <v>0</v>
      </c>
      <c r="AC117" s="163"/>
    </row>
    <row r="118" spans="1:29" ht="39.75" customHeight="1">
      <c r="A118" s="148"/>
      <c r="B118" s="148">
        <v>115</v>
      </c>
      <c r="C118" s="149">
        <f>VLOOKUP(D118,'[5]Codes &amp; Descr. SFICS25'!B:C,2,FALSE)</f>
        <v>27</v>
      </c>
      <c r="D118" s="150" t="s">
        <v>3496</v>
      </c>
      <c r="E118" s="150">
        <f>+VLOOKUP(F118,'[5]Codes &amp; Descr. SFICS25'!D:E,2,FALSE)</f>
        <v>2703</v>
      </c>
      <c r="F118" s="150" t="s">
        <v>3497</v>
      </c>
      <c r="G118" s="150">
        <f>VLOOKUP(H118,'[5]Codes &amp; Descr. SFICS25'!F:H,2,FALSE)</f>
        <v>270310</v>
      </c>
      <c r="H118" s="150" t="s">
        <v>3548</v>
      </c>
      <c r="I118" s="150" t="s">
        <v>3549</v>
      </c>
      <c r="J118" s="150" t="s">
        <v>3550</v>
      </c>
      <c r="K118" s="155" t="s">
        <v>3551</v>
      </c>
      <c r="L118" s="151" t="s">
        <v>281</v>
      </c>
      <c r="M118" s="152" t="s">
        <v>1402</v>
      </c>
      <c r="N118" s="152" t="s">
        <v>3552</v>
      </c>
      <c r="O118" s="152" t="s">
        <v>3553</v>
      </c>
      <c r="P118" s="31" t="s">
        <v>3554</v>
      </c>
      <c r="Q118" s="31" t="s">
        <v>2738</v>
      </c>
      <c r="R118" s="152" t="s">
        <v>2738</v>
      </c>
      <c r="S118" s="152" t="s">
        <v>2738</v>
      </c>
      <c r="T118" s="153" t="s">
        <v>3503</v>
      </c>
      <c r="U118" s="33">
        <v>0</v>
      </c>
      <c r="V118" s="34">
        <v>0</v>
      </c>
      <c r="W118" s="34">
        <v>0</v>
      </c>
      <c r="X118" s="34">
        <v>0</v>
      </c>
      <c r="Y118" s="34">
        <v>0</v>
      </c>
      <c r="Z118" s="34">
        <v>0</v>
      </c>
      <c r="AA118" s="34">
        <f t="shared" si="1"/>
        <v>1</v>
      </c>
      <c r="AB118" s="34">
        <v>0</v>
      </c>
      <c r="AC118" s="163"/>
    </row>
    <row r="119" spans="1:29" ht="39.75" customHeight="1">
      <c r="A119" s="148"/>
      <c r="B119" s="148">
        <v>116</v>
      </c>
      <c r="C119" s="149">
        <f>VLOOKUP(D119,'[5]Codes &amp; Descr. SFICS25'!B:C,2,FALSE)</f>
        <v>27</v>
      </c>
      <c r="D119" s="150" t="s">
        <v>3496</v>
      </c>
      <c r="E119" s="150">
        <f>+VLOOKUP(F119,'[5]Codes &amp; Descr. SFICS25'!D:E,2,FALSE)</f>
        <v>2703</v>
      </c>
      <c r="F119" s="150" t="s">
        <v>3497</v>
      </c>
      <c r="G119" s="150">
        <f>VLOOKUP(H119,'[5]Codes &amp; Descr. SFICS25'!F:H,2,FALSE)</f>
        <v>270311</v>
      </c>
      <c r="H119" s="150" t="s">
        <v>3555</v>
      </c>
      <c r="I119" s="150" t="s">
        <v>3556</v>
      </c>
      <c r="J119" s="150" t="s">
        <v>3556</v>
      </c>
      <c r="K119" s="155" t="s">
        <v>3555</v>
      </c>
      <c r="L119" s="151" t="s">
        <v>281</v>
      </c>
      <c r="M119" s="152" t="s">
        <v>1402</v>
      </c>
      <c r="N119" s="152" t="s">
        <v>3557</v>
      </c>
      <c r="O119" s="152" t="s">
        <v>3558</v>
      </c>
      <c r="P119" s="31" t="s">
        <v>3559</v>
      </c>
      <c r="Q119" s="31" t="s">
        <v>2738</v>
      </c>
      <c r="R119" s="152" t="s">
        <v>2738</v>
      </c>
      <c r="S119" s="152" t="s">
        <v>2738</v>
      </c>
      <c r="T119" s="153" t="s">
        <v>3503</v>
      </c>
      <c r="U119" s="33">
        <v>0</v>
      </c>
      <c r="V119" s="34">
        <v>0</v>
      </c>
      <c r="W119" s="34">
        <v>0</v>
      </c>
      <c r="X119" s="34">
        <v>0</v>
      </c>
      <c r="Y119" s="34">
        <v>0</v>
      </c>
      <c r="Z119" s="34">
        <v>0</v>
      </c>
      <c r="AA119" s="34">
        <f t="shared" si="1"/>
        <v>1</v>
      </c>
      <c r="AB119" s="34">
        <v>0</v>
      </c>
      <c r="AC119" s="163"/>
    </row>
    <row r="120" spans="1:29" ht="39.75" customHeight="1">
      <c r="A120" s="156"/>
      <c r="B120" s="148">
        <v>117</v>
      </c>
      <c r="C120" s="149">
        <f>VLOOKUP(D120,'[5]Codes &amp; Descr. SFICS25'!B:C,2,FALSE)</f>
        <v>27</v>
      </c>
      <c r="D120" s="150" t="s">
        <v>3496</v>
      </c>
      <c r="E120" s="150">
        <f>+VLOOKUP(F120,'[5]Codes &amp; Descr. SFICS25'!D:E,2,FALSE)</f>
        <v>2701</v>
      </c>
      <c r="F120" s="150" t="s">
        <v>3560</v>
      </c>
      <c r="G120" s="150">
        <f>VLOOKUP(H120,'[5]Codes &amp; Descr. SFICS25'!F:H,2,FALSE)</f>
        <v>270101</v>
      </c>
      <c r="H120" s="150" t="s">
        <v>3561</v>
      </c>
      <c r="I120" s="150" t="s">
        <v>3562</v>
      </c>
      <c r="J120" s="150" t="s">
        <v>3562</v>
      </c>
      <c r="K120" s="155" t="s">
        <v>3561</v>
      </c>
      <c r="L120" s="151" t="s">
        <v>890</v>
      </c>
      <c r="M120" s="152" t="s">
        <v>1402</v>
      </c>
      <c r="N120" s="152" t="s">
        <v>3563</v>
      </c>
      <c r="O120" s="152" t="s">
        <v>3564</v>
      </c>
      <c r="P120" s="193" t="s">
        <v>3565</v>
      </c>
      <c r="Q120" s="31" t="s">
        <v>3566</v>
      </c>
      <c r="R120" s="152" t="s">
        <v>2738</v>
      </c>
      <c r="S120" s="152" t="s">
        <v>2738</v>
      </c>
      <c r="T120" s="153" t="s">
        <v>3503</v>
      </c>
      <c r="U120" s="154" t="s">
        <v>2741</v>
      </c>
      <c r="V120" s="154" t="s">
        <v>2880</v>
      </c>
      <c r="W120" s="34">
        <v>0</v>
      </c>
      <c r="X120" s="34">
        <v>0</v>
      </c>
      <c r="Y120" s="34">
        <v>0</v>
      </c>
      <c r="Z120" s="34">
        <v>0</v>
      </c>
      <c r="AA120" s="34">
        <f t="shared" si="1"/>
        <v>1</v>
      </c>
      <c r="AB120" s="34">
        <v>0</v>
      </c>
      <c r="AC120" s="163"/>
    </row>
    <row r="121" spans="1:29" ht="39.75" customHeight="1">
      <c r="A121" s="148"/>
      <c r="B121" s="148">
        <v>118</v>
      </c>
      <c r="C121" s="149">
        <f>VLOOKUP(D121,'[5]Codes &amp; Descr. SFICS25'!B:C,2,FALSE)</f>
        <v>27</v>
      </c>
      <c r="D121" s="150" t="s">
        <v>3496</v>
      </c>
      <c r="E121" s="150">
        <f>+VLOOKUP(F121,'[5]Codes &amp; Descr. SFICS25'!D:E,2,FALSE)</f>
        <v>2701</v>
      </c>
      <c r="F121" s="150" t="s">
        <v>3560</v>
      </c>
      <c r="G121" s="150">
        <f>VLOOKUP(H121,'[5]Codes &amp; Descr. SFICS25'!F:H,2,FALSE)</f>
        <v>270102</v>
      </c>
      <c r="H121" s="150" t="s">
        <v>3567</v>
      </c>
      <c r="I121" s="150" t="s">
        <v>3568</v>
      </c>
      <c r="J121" s="150" t="s">
        <v>3568</v>
      </c>
      <c r="K121" s="155" t="s">
        <v>3567</v>
      </c>
      <c r="L121" s="151" t="s">
        <v>896</v>
      </c>
      <c r="M121" s="152" t="s">
        <v>1402</v>
      </c>
      <c r="N121" s="152" t="s">
        <v>3569</v>
      </c>
      <c r="O121" s="152" t="s">
        <v>3570</v>
      </c>
      <c r="P121" s="31" t="s">
        <v>3571</v>
      </c>
      <c r="Q121" s="31" t="s">
        <v>3572</v>
      </c>
      <c r="R121" s="152" t="s">
        <v>2738</v>
      </c>
      <c r="S121" s="152" t="s">
        <v>2738</v>
      </c>
      <c r="T121" s="153" t="s">
        <v>3503</v>
      </c>
      <c r="U121" s="154" t="s">
        <v>2741</v>
      </c>
      <c r="V121" s="154" t="s">
        <v>2880</v>
      </c>
      <c r="W121" s="34">
        <v>0</v>
      </c>
      <c r="X121" s="34">
        <v>0</v>
      </c>
      <c r="Y121" s="34">
        <v>0</v>
      </c>
      <c r="Z121" s="34">
        <v>0</v>
      </c>
      <c r="AA121" s="34">
        <f t="shared" si="1"/>
        <v>1</v>
      </c>
      <c r="AB121" s="34">
        <v>0</v>
      </c>
      <c r="AC121" s="163"/>
    </row>
    <row r="122" spans="1:29" ht="39.75" customHeight="1">
      <c r="A122" s="148"/>
      <c r="B122" s="148">
        <v>119</v>
      </c>
      <c r="C122" s="149">
        <f>VLOOKUP(D122,'[5]Codes &amp; Descr. SFICS25'!B:C,2,FALSE)</f>
        <v>27</v>
      </c>
      <c r="D122" s="150" t="s">
        <v>3496</v>
      </c>
      <c r="E122" s="150">
        <f>+VLOOKUP(F122,'[5]Codes &amp; Descr. SFICS25'!D:E,2,FALSE)</f>
        <v>2702</v>
      </c>
      <c r="F122" s="150" t="s">
        <v>3573</v>
      </c>
      <c r="G122" s="150">
        <f>VLOOKUP(H122,'[5]Codes &amp; Descr. SFICS25'!F:H,2,FALSE)</f>
        <v>270201</v>
      </c>
      <c r="H122" s="150" t="s">
        <v>3574</v>
      </c>
      <c r="I122" s="150" t="s">
        <v>3575</v>
      </c>
      <c r="J122" s="150" t="s">
        <v>3576</v>
      </c>
      <c r="K122" s="149" t="s">
        <v>3577</v>
      </c>
      <c r="L122" s="151" t="s">
        <v>906</v>
      </c>
      <c r="M122" s="152" t="s">
        <v>1402</v>
      </c>
      <c r="N122" s="152" t="s">
        <v>3578</v>
      </c>
      <c r="O122" s="152" t="s">
        <v>3579</v>
      </c>
      <c r="P122" s="31" t="s">
        <v>2951</v>
      </c>
      <c r="Q122" s="31" t="s">
        <v>3580</v>
      </c>
      <c r="R122" s="152" t="s">
        <v>2738</v>
      </c>
      <c r="S122" s="152" t="s">
        <v>2738</v>
      </c>
      <c r="T122" s="153" t="s">
        <v>3503</v>
      </c>
      <c r="U122" s="154" t="s">
        <v>2741</v>
      </c>
      <c r="V122" s="154" t="s">
        <v>2880</v>
      </c>
      <c r="W122" s="34">
        <v>0</v>
      </c>
      <c r="X122" s="34">
        <v>0</v>
      </c>
      <c r="Y122" s="34">
        <v>0</v>
      </c>
      <c r="Z122" s="34">
        <v>0</v>
      </c>
      <c r="AA122" s="34">
        <f t="shared" si="1"/>
        <v>1</v>
      </c>
      <c r="AB122" s="34">
        <v>0</v>
      </c>
      <c r="AC122" s="163"/>
    </row>
    <row r="123" spans="1:29" ht="39.75" customHeight="1">
      <c r="A123" s="148"/>
      <c r="B123" s="148">
        <v>120</v>
      </c>
      <c r="C123" s="149">
        <f>VLOOKUP(D123,'[5]Codes &amp; Descr. SFICS25'!B:C,2,FALSE)</f>
        <v>27</v>
      </c>
      <c r="D123" s="150" t="s">
        <v>3496</v>
      </c>
      <c r="E123" s="150">
        <f>+VLOOKUP(F123,'[5]Codes &amp; Descr. SFICS25'!D:E,2,FALSE)</f>
        <v>2702</v>
      </c>
      <c r="F123" s="150" t="s">
        <v>3573</v>
      </c>
      <c r="G123" s="150">
        <f>VLOOKUP(H123,'[5]Codes &amp; Descr. SFICS25'!F:H,2,FALSE)</f>
        <v>270202</v>
      </c>
      <c r="H123" s="150" t="s">
        <v>3581</v>
      </c>
      <c r="I123" s="150" t="s">
        <v>3582</v>
      </c>
      <c r="J123" s="150" t="s">
        <v>3582</v>
      </c>
      <c r="K123" s="155" t="s">
        <v>3581</v>
      </c>
      <c r="L123" s="151" t="s">
        <v>910</v>
      </c>
      <c r="M123" s="152" t="s">
        <v>1402</v>
      </c>
      <c r="N123" s="152" t="s">
        <v>3583</v>
      </c>
      <c r="O123" s="152" t="s">
        <v>3584</v>
      </c>
      <c r="P123" s="31" t="s">
        <v>3585</v>
      </c>
      <c r="Q123" s="31" t="s">
        <v>3586</v>
      </c>
      <c r="R123" s="152" t="s">
        <v>2738</v>
      </c>
      <c r="S123" s="152" t="s">
        <v>2738</v>
      </c>
      <c r="T123" s="153" t="s">
        <v>3503</v>
      </c>
      <c r="U123" s="154" t="s">
        <v>2741</v>
      </c>
      <c r="V123" s="154" t="s">
        <v>2880</v>
      </c>
      <c r="W123" s="34">
        <v>0</v>
      </c>
      <c r="X123" s="34">
        <v>0</v>
      </c>
      <c r="Y123" s="34">
        <v>0</v>
      </c>
      <c r="Z123" s="34">
        <v>0</v>
      </c>
      <c r="AA123" s="34">
        <f t="shared" si="1"/>
        <v>1</v>
      </c>
      <c r="AB123" s="34">
        <v>0</v>
      </c>
      <c r="AC123" s="163"/>
    </row>
    <row r="124" spans="1:29" ht="39.75" customHeight="1">
      <c r="A124" s="148"/>
      <c r="B124" s="148">
        <v>121</v>
      </c>
      <c r="C124" s="149">
        <f>VLOOKUP(D124,'[5]Codes &amp; Descr. SFICS25'!B:C,2,FALSE)</f>
        <v>27</v>
      </c>
      <c r="D124" s="150" t="s">
        <v>3496</v>
      </c>
      <c r="E124" s="150">
        <f>+VLOOKUP(F124,'[5]Codes &amp; Descr. SFICS25'!D:E,2,FALSE)</f>
        <v>2702</v>
      </c>
      <c r="F124" s="150" t="s">
        <v>3573</v>
      </c>
      <c r="G124" s="150">
        <f>VLOOKUP(H124,'[5]Codes &amp; Descr. SFICS25'!F:H,2,FALSE)</f>
        <v>270203</v>
      </c>
      <c r="H124" s="150" t="s">
        <v>3587</v>
      </c>
      <c r="I124" s="150" t="s">
        <v>3588</v>
      </c>
      <c r="J124" s="150" t="s">
        <v>3588</v>
      </c>
      <c r="K124" s="155" t="s">
        <v>3587</v>
      </c>
      <c r="L124" s="151" t="s">
        <v>916</v>
      </c>
      <c r="M124" s="152" t="s">
        <v>1402</v>
      </c>
      <c r="N124" s="152" t="s">
        <v>3589</v>
      </c>
      <c r="O124" s="152" t="s">
        <v>3590</v>
      </c>
      <c r="P124" s="31" t="s">
        <v>3341</v>
      </c>
      <c r="Q124" s="31" t="s">
        <v>3591</v>
      </c>
      <c r="R124" s="152" t="s">
        <v>2738</v>
      </c>
      <c r="S124" s="152" t="s">
        <v>2738</v>
      </c>
      <c r="T124" s="153" t="s">
        <v>3503</v>
      </c>
      <c r="U124" s="154" t="s">
        <v>2741</v>
      </c>
      <c r="V124" s="154" t="s">
        <v>2880</v>
      </c>
      <c r="W124" s="34">
        <v>0</v>
      </c>
      <c r="X124" s="34">
        <v>0</v>
      </c>
      <c r="Y124" s="34">
        <v>0</v>
      </c>
      <c r="Z124" s="34">
        <v>0</v>
      </c>
      <c r="AA124" s="34">
        <f t="shared" si="1"/>
        <v>1</v>
      </c>
      <c r="AB124" s="34">
        <v>0</v>
      </c>
      <c r="AC124" s="163"/>
    </row>
    <row r="125" spans="1:29" ht="39.75" customHeight="1">
      <c r="A125" s="148"/>
      <c r="B125" s="148">
        <v>122</v>
      </c>
      <c r="C125" s="149">
        <f>VLOOKUP(D125,'[5]Codes &amp; Descr. SFICS25'!B:C,2,FALSE)</f>
        <v>27</v>
      </c>
      <c r="D125" s="150" t="s">
        <v>3496</v>
      </c>
      <c r="E125" s="150">
        <f>+VLOOKUP(F125,'[5]Codes &amp; Descr. SFICS25'!D:E,2,FALSE)</f>
        <v>2702</v>
      </c>
      <c r="F125" s="150" t="s">
        <v>3573</v>
      </c>
      <c r="G125" s="150">
        <f>VLOOKUP(H125,'[5]Codes &amp; Descr. SFICS25'!F:H,2,FALSE)</f>
        <v>270204</v>
      </c>
      <c r="H125" s="150" t="s">
        <v>3592</v>
      </c>
      <c r="I125" s="150" t="s">
        <v>3593</v>
      </c>
      <c r="J125" s="150" t="s">
        <v>3594</v>
      </c>
      <c r="K125" s="149" t="s">
        <v>3595</v>
      </c>
      <c r="L125" s="151" t="s">
        <v>925</v>
      </c>
      <c r="M125" s="152" t="s">
        <v>1402</v>
      </c>
      <c r="N125" s="152" t="s">
        <v>3596</v>
      </c>
      <c r="O125" s="152" t="s">
        <v>3597</v>
      </c>
      <c r="P125" s="31" t="s">
        <v>2738</v>
      </c>
      <c r="Q125" s="31" t="s">
        <v>3598</v>
      </c>
      <c r="R125" s="152" t="s">
        <v>2738</v>
      </c>
      <c r="S125" s="152" t="s">
        <v>2738</v>
      </c>
      <c r="T125" s="153" t="s">
        <v>3503</v>
      </c>
      <c r="U125" s="34">
        <v>0</v>
      </c>
      <c r="V125" s="34">
        <v>0</v>
      </c>
      <c r="W125" s="34">
        <v>0</v>
      </c>
      <c r="X125" s="34">
        <v>0</v>
      </c>
      <c r="Y125" s="34">
        <v>0</v>
      </c>
      <c r="Z125" s="154" t="s">
        <v>2741</v>
      </c>
      <c r="AA125" s="34">
        <f t="shared" si="1"/>
        <v>1</v>
      </c>
      <c r="AB125" s="34">
        <v>0</v>
      </c>
      <c r="AC125" s="163"/>
    </row>
    <row r="126" spans="1:29" ht="39.75" customHeight="1">
      <c r="A126" s="148"/>
      <c r="B126" s="148">
        <v>123</v>
      </c>
      <c r="C126" s="149">
        <f>VLOOKUP(D126,'[5]Codes &amp; Descr. SFICS25'!B:C,2,FALSE)</f>
        <v>27</v>
      </c>
      <c r="D126" s="150" t="s">
        <v>3496</v>
      </c>
      <c r="E126" s="150">
        <f>+VLOOKUP(F126,'[5]Codes &amp; Descr. SFICS25'!D:E,2,FALSE)</f>
        <v>2706</v>
      </c>
      <c r="F126" s="150" t="s">
        <v>3599</v>
      </c>
      <c r="G126" s="150" t="str">
        <f>VLOOKUP(H126,'[5]Codes &amp; Descr. SFICS25'!F:H,2,FALSE)</f>
        <v>-</v>
      </c>
      <c r="H126" s="150" t="s">
        <v>507</v>
      </c>
      <c r="I126" s="150" t="s">
        <v>507</v>
      </c>
      <c r="J126" s="150" t="s">
        <v>3600</v>
      </c>
      <c r="K126" s="155" t="s">
        <v>3601</v>
      </c>
      <c r="L126" s="151" t="s">
        <v>281</v>
      </c>
      <c r="M126" s="152" t="s">
        <v>1402</v>
      </c>
      <c r="N126" s="152" t="s">
        <v>3602</v>
      </c>
      <c r="O126" s="152" t="s">
        <v>3603</v>
      </c>
      <c r="P126" s="31" t="s">
        <v>3604</v>
      </c>
      <c r="Q126" s="31" t="s">
        <v>2738</v>
      </c>
      <c r="R126" s="152" t="s">
        <v>2738</v>
      </c>
      <c r="S126" s="152" t="s">
        <v>2738</v>
      </c>
      <c r="T126" s="153" t="s">
        <v>3503</v>
      </c>
      <c r="U126" s="33">
        <v>0</v>
      </c>
      <c r="V126" s="34">
        <v>0</v>
      </c>
      <c r="W126" s="34">
        <v>0</v>
      </c>
      <c r="X126" s="34">
        <v>0</v>
      </c>
      <c r="Y126" s="34">
        <v>0</v>
      </c>
      <c r="Z126" s="34">
        <v>0</v>
      </c>
      <c r="AA126" s="34">
        <f t="shared" si="1"/>
        <v>1</v>
      </c>
      <c r="AB126" s="34">
        <v>0</v>
      </c>
      <c r="AC126" s="163"/>
    </row>
    <row r="127" spans="1:29" ht="39.75" customHeight="1">
      <c r="A127" s="156"/>
      <c r="B127" s="148">
        <v>124</v>
      </c>
      <c r="C127" s="149">
        <f>VLOOKUP(D127,'[5]Codes &amp; Descr. SFICS25'!B:C,2,FALSE)</f>
        <v>27</v>
      </c>
      <c r="D127" s="150" t="s">
        <v>3496</v>
      </c>
      <c r="E127" s="150">
        <f>+VLOOKUP(F127,'[5]Codes &amp; Descr. SFICS25'!D:E,2,FALSE)</f>
        <v>2704</v>
      </c>
      <c r="F127" s="150" t="s">
        <v>3605</v>
      </c>
      <c r="G127" s="150" t="str">
        <f>VLOOKUP(H127,'[5]Codes &amp; Descr. SFICS25'!F:H,2,FALSE)</f>
        <v>-</v>
      </c>
      <c r="H127" s="150" t="s">
        <v>507</v>
      </c>
      <c r="I127" s="150" t="s">
        <v>507</v>
      </c>
      <c r="J127" s="150" t="s">
        <v>3606</v>
      </c>
      <c r="K127" s="155" t="s">
        <v>3607</v>
      </c>
      <c r="L127" s="151" t="s">
        <v>281</v>
      </c>
      <c r="M127" s="152" t="s">
        <v>1402</v>
      </c>
      <c r="N127" s="152" t="s">
        <v>3608</v>
      </c>
      <c r="O127" s="152" t="s">
        <v>3609</v>
      </c>
      <c r="P127" s="193" t="s">
        <v>3610</v>
      </c>
      <c r="Q127" s="31" t="s">
        <v>2738</v>
      </c>
      <c r="R127" s="152" t="s">
        <v>2738</v>
      </c>
      <c r="S127" s="152" t="s">
        <v>2738</v>
      </c>
      <c r="T127" s="153" t="s">
        <v>3503</v>
      </c>
      <c r="U127" s="33">
        <v>0</v>
      </c>
      <c r="V127" s="34">
        <v>0</v>
      </c>
      <c r="W127" s="34">
        <v>0</v>
      </c>
      <c r="X127" s="34">
        <v>0</v>
      </c>
      <c r="Y127" s="34">
        <v>0</v>
      </c>
      <c r="Z127" s="34">
        <v>0</v>
      </c>
      <c r="AA127" s="34">
        <f t="shared" si="1"/>
        <v>1</v>
      </c>
      <c r="AB127" s="34">
        <v>0</v>
      </c>
      <c r="AC127" s="163"/>
    </row>
    <row r="128" spans="1:29" ht="29.25" customHeight="1">
      <c r="A128" s="148"/>
      <c r="B128" s="148">
        <v>125</v>
      </c>
      <c r="C128" s="149">
        <f>VLOOKUP(D128,'[5]Codes &amp; Descr. SFICS25'!B:C,2,FALSE)</f>
        <v>27</v>
      </c>
      <c r="D128" s="150" t="s">
        <v>3496</v>
      </c>
      <c r="E128" s="150">
        <f>+VLOOKUP(F128,'[5]Codes &amp; Descr. SFICS25'!D:E,2,FALSE)</f>
        <v>2705</v>
      </c>
      <c r="F128" s="150" t="s">
        <v>3611</v>
      </c>
      <c r="G128" s="150" t="str">
        <f>VLOOKUP(H128,'[5]Codes &amp; Descr. SFICS25'!F:H,2,FALSE)</f>
        <v>-</v>
      </c>
      <c r="H128" s="150" t="s">
        <v>507</v>
      </c>
      <c r="I128" s="150" t="s">
        <v>507</v>
      </c>
      <c r="J128" s="150" t="s">
        <v>3611</v>
      </c>
      <c r="K128" s="168" t="s">
        <v>3612</v>
      </c>
      <c r="L128" s="151" t="s">
        <v>281</v>
      </c>
      <c r="M128" s="152" t="s">
        <v>1402</v>
      </c>
      <c r="N128" s="152" t="s">
        <v>3613</v>
      </c>
      <c r="O128" s="152" t="s">
        <v>3614</v>
      </c>
      <c r="P128" s="31" t="s">
        <v>3615</v>
      </c>
      <c r="Q128" s="31" t="s">
        <v>2738</v>
      </c>
      <c r="R128" s="152" t="s">
        <v>2738</v>
      </c>
      <c r="S128" s="152" t="s">
        <v>2738</v>
      </c>
      <c r="T128" s="153" t="s">
        <v>3503</v>
      </c>
      <c r="U128" s="33">
        <v>0</v>
      </c>
      <c r="V128" s="34">
        <v>0</v>
      </c>
      <c r="W128" s="34">
        <v>0</v>
      </c>
      <c r="X128" s="34">
        <v>0</v>
      </c>
      <c r="Y128" s="34">
        <v>0</v>
      </c>
      <c r="Z128" s="34">
        <v>0</v>
      </c>
      <c r="AA128" s="34">
        <f t="shared" si="1"/>
        <v>1</v>
      </c>
      <c r="AB128" s="34">
        <v>0</v>
      </c>
      <c r="AC128" s="163"/>
    </row>
    <row r="129" spans="1:29" ht="39.75" customHeight="1">
      <c r="A129" s="148"/>
      <c r="B129" s="148">
        <v>126</v>
      </c>
      <c r="C129" s="149">
        <f>VLOOKUP(D129,'[5]Codes &amp; Descr. SFICS25'!B:C,2,FALSE)</f>
        <v>28</v>
      </c>
      <c r="D129" s="150" t="s">
        <v>3616</v>
      </c>
      <c r="E129" s="150">
        <f>+VLOOKUP(F129,'[5]Codes &amp; Descr. SFICS25'!D:E,2,FALSE)</f>
        <v>2803</v>
      </c>
      <c r="F129" s="150" t="s">
        <v>1641</v>
      </c>
      <c r="G129" s="150">
        <f>VLOOKUP(H129,'[5]Codes &amp; Descr. SFICS25'!F:H,2,FALSE)</f>
        <v>280301</v>
      </c>
      <c r="H129" s="150" t="s">
        <v>3617</v>
      </c>
      <c r="I129" s="150" t="s">
        <v>3618</v>
      </c>
      <c r="J129" s="150" t="s">
        <v>3619</v>
      </c>
      <c r="K129" s="158" t="s">
        <v>3620</v>
      </c>
      <c r="L129" s="151" t="s">
        <v>950</v>
      </c>
      <c r="M129" s="152" t="s">
        <v>1402</v>
      </c>
      <c r="N129" s="152" t="s">
        <v>3621</v>
      </c>
      <c r="O129" s="152" t="s">
        <v>3622</v>
      </c>
      <c r="P129" s="31" t="s">
        <v>3623</v>
      </c>
      <c r="Q129" s="31" t="s">
        <v>3624</v>
      </c>
      <c r="R129" s="152" t="s">
        <v>2738</v>
      </c>
      <c r="S129" s="152" t="s">
        <v>2738</v>
      </c>
      <c r="T129" s="153" t="s">
        <v>3625</v>
      </c>
      <c r="U129" s="154" t="s">
        <v>2880</v>
      </c>
      <c r="V129" s="154" t="s">
        <v>2741</v>
      </c>
      <c r="W129" s="34">
        <v>0</v>
      </c>
      <c r="X129" s="34">
        <v>0</v>
      </c>
      <c r="Y129" s="34">
        <v>0</v>
      </c>
      <c r="Z129" s="34">
        <v>0</v>
      </c>
      <c r="AA129" s="34">
        <f t="shared" si="1"/>
        <v>1</v>
      </c>
      <c r="AB129" s="34">
        <v>0</v>
      </c>
      <c r="AC129" s="163"/>
    </row>
    <row r="130" spans="1:29" ht="39.75" customHeight="1">
      <c r="A130" s="148"/>
      <c r="B130" s="148">
        <v>127</v>
      </c>
      <c r="C130" s="149">
        <f>VLOOKUP(D130,'[5]Codes &amp; Descr. SFICS25'!B:C,2,FALSE)</f>
        <v>28</v>
      </c>
      <c r="D130" s="150" t="s">
        <v>3616</v>
      </c>
      <c r="E130" s="150">
        <f>+VLOOKUP(F130,'[5]Codes &amp; Descr. SFICS25'!D:E,2,FALSE)</f>
        <v>2803</v>
      </c>
      <c r="F130" s="150" t="s">
        <v>1641</v>
      </c>
      <c r="G130" s="150">
        <f>VLOOKUP(H130,'[5]Codes &amp; Descr. SFICS25'!F:H,2,FALSE)</f>
        <v>280302</v>
      </c>
      <c r="H130" s="150" t="s">
        <v>3626</v>
      </c>
      <c r="I130" s="150" t="s">
        <v>3627</v>
      </c>
      <c r="J130" s="150" t="s">
        <v>3628</v>
      </c>
      <c r="K130" s="157" t="s">
        <v>3629</v>
      </c>
      <c r="L130" s="151" t="s">
        <v>959</v>
      </c>
      <c r="M130" s="152" t="s">
        <v>1402</v>
      </c>
      <c r="N130" s="152" t="s">
        <v>2738</v>
      </c>
      <c r="O130" s="152" t="s">
        <v>3630</v>
      </c>
      <c r="P130" s="31" t="s">
        <v>3631</v>
      </c>
      <c r="Q130" s="31" t="s">
        <v>3632</v>
      </c>
      <c r="R130" s="152" t="s">
        <v>2738</v>
      </c>
      <c r="S130" s="152" t="s">
        <v>2738</v>
      </c>
      <c r="T130" s="153" t="s">
        <v>3625</v>
      </c>
      <c r="U130" s="154" t="s">
        <v>2880</v>
      </c>
      <c r="V130" s="33">
        <v>0</v>
      </c>
      <c r="W130" s="34">
        <v>0</v>
      </c>
      <c r="X130" s="34">
        <v>0</v>
      </c>
      <c r="Y130" s="34">
        <v>0</v>
      </c>
      <c r="Z130" s="34">
        <v>0</v>
      </c>
      <c r="AA130" s="34">
        <f t="shared" si="1"/>
        <v>1</v>
      </c>
      <c r="AB130" s="34">
        <v>0</v>
      </c>
      <c r="AC130" s="163"/>
    </row>
    <row r="131" spans="1:29" ht="39.75" customHeight="1">
      <c r="A131" s="148"/>
      <c r="B131" s="148">
        <v>128</v>
      </c>
      <c r="C131" s="149">
        <f>VLOOKUP(D131,'[5]Codes &amp; Descr. SFICS25'!B:C,2,FALSE)</f>
        <v>28</v>
      </c>
      <c r="D131" s="150" t="s">
        <v>3616</v>
      </c>
      <c r="E131" s="150">
        <f>+VLOOKUP(F131,'[5]Codes &amp; Descr. SFICS25'!D:E,2,FALSE)</f>
        <v>2803</v>
      </c>
      <c r="F131" s="150" t="s">
        <v>1641</v>
      </c>
      <c r="G131" s="150">
        <f>VLOOKUP(H131,'[5]Codes &amp; Descr. SFICS25'!F:H,2,FALSE)</f>
        <v>280303</v>
      </c>
      <c r="H131" s="150" t="s">
        <v>3633</v>
      </c>
      <c r="I131" s="150" t="s">
        <v>3634</v>
      </c>
      <c r="J131" s="150" t="s">
        <v>3635</v>
      </c>
      <c r="K131" s="158" t="s">
        <v>3636</v>
      </c>
      <c r="L131" s="151" t="s">
        <v>966</v>
      </c>
      <c r="M131" s="152" t="s">
        <v>1402</v>
      </c>
      <c r="N131" s="152" t="s">
        <v>3637</v>
      </c>
      <c r="O131" s="152" t="s">
        <v>3638</v>
      </c>
      <c r="P131" s="31" t="s">
        <v>3639</v>
      </c>
      <c r="Q131" s="31" t="s">
        <v>3640</v>
      </c>
      <c r="R131" s="152" t="s">
        <v>2738</v>
      </c>
      <c r="S131" s="152" t="s">
        <v>2738</v>
      </c>
      <c r="T131" s="153" t="s">
        <v>3625</v>
      </c>
      <c r="U131" s="154" t="s">
        <v>2880</v>
      </c>
      <c r="V131" s="34">
        <v>0</v>
      </c>
      <c r="W131" s="34">
        <v>0</v>
      </c>
      <c r="X131" s="34">
        <v>0</v>
      </c>
      <c r="Y131" s="34">
        <v>0</v>
      </c>
      <c r="Z131" s="34">
        <v>0</v>
      </c>
      <c r="AA131" s="34">
        <f t="shared" si="1"/>
        <v>1</v>
      </c>
      <c r="AB131" s="34">
        <v>0</v>
      </c>
      <c r="AC131" s="163"/>
    </row>
    <row r="132" spans="1:29" ht="39.75" customHeight="1">
      <c r="A132" s="148"/>
      <c r="B132" s="148">
        <v>129</v>
      </c>
      <c r="C132" s="149">
        <f>VLOOKUP(D132,'[5]Codes &amp; Descr. SFICS25'!B:C,2,FALSE)</f>
        <v>28</v>
      </c>
      <c r="D132" s="150" t="s">
        <v>3616</v>
      </c>
      <c r="E132" s="150">
        <f>+VLOOKUP(F132,'[5]Codes &amp; Descr. SFICS25'!D:E,2,FALSE)</f>
        <v>2803</v>
      </c>
      <c r="F132" s="150" t="s">
        <v>1641</v>
      </c>
      <c r="G132" s="150">
        <f>VLOOKUP(H132,'[5]Codes &amp; Descr. SFICS25'!F:H,2,FALSE)</f>
        <v>280304</v>
      </c>
      <c r="H132" s="150" t="s">
        <v>3641</v>
      </c>
      <c r="I132" s="150" t="s">
        <v>3642</v>
      </c>
      <c r="J132" s="150" t="s">
        <v>3643</v>
      </c>
      <c r="K132" s="157" t="s">
        <v>3644</v>
      </c>
      <c r="L132" s="151" t="s">
        <v>974</v>
      </c>
      <c r="M132" s="152" t="s">
        <v>1402</v>
      </c>
      <c r="N132" s="152" t="s">
        <v>3645</v>
      </c>
      <c r="O132" s="152" t="s">
        <v>3646</v>
      </c>
      <c r="P132" s="31" t="s">
        <v>3647</v>
      </c>
      <c r="Q132" s="31" t="s">
        <v>3648</v>
      </c>
      <c r="R132" s="152" t="s">
        <v>2738</v>
      </c>
      <c r="S132" s="152" t="s">
        <v>2738</v>
      </c>
      <c r="T132" s="153" t="s">
        <v>3625</v>
      </c>
      <c r="U132" s="169" t="s">
        <v>2930</v>
      </c>
      <c r="V132" s="34">
        <v>0</v>
      </c>
      <c r="W132" s="34">
        <v>0</v>
      </c>
      <c r="X132" s="34">
        <v>0</v>
      </c>
      <c r="Y132" s="34">
        <v>0</v>
      </c>
      <c r="Z132" s="34">
        <v>0</v>
      </c>
      <c r="AA132" s="34">
        <f t="shared" si="1"/>
        <v>1</v>
      </c>
      <c r="AB132" s="34">
        <v>0</v>
      </c>
      <c r="AC132" s="159" t="s">
        <v>383</v>
      </c>
    </row>
    <row r="133" spans="1:29" ht="39.75" customHeight="1">
      <c r="A133" s="148"/>
      <c r="B133" s="148">
        <v>130</v>
      </c>
      <c r="C133" s="149">
        <f>VLOOKUP(D133,'[5]Codes &amp; Descr. SFICS25'!B:C,2,FALSE)</f>
        <v>28</v>
      </c>
      <c r="D133" s="150" t="s">
        <v>3616</v>
      </c>
      <c r="E133" s="150">
        <f>+VLOOKUP(F133,'[5]Codes &amp; Descr. SFICS25'!D:E,2,FALSE)</f>
        <v>2802</v>
      </c>
      <c r="F133" s="150" t="s">
        <v>3649</v>
      </c>
      <c r="G133" s="150">
        <v>280201</v>
      </c>
      <c r="H133" s="150" t="s">
        <v>3300</v>
      </c>
      <c r="I133" s="150" t="s">
        <v>3650</v>
      </c>
      <c r="J133" s="150" t="s">
        <v>3651</v>
      </c>
      <c r="K133" s="157" t="s">
        <v>3652</v>
      </c>
      <c r="L133" s="151" t="s">
        <v>982</v>
      </c>
      <c r="M133" s="152" t="s">
        <v>1402</v>
      </c>
      <c r="N133" s="152" t="s">
        <v>3653</v>
      </c>
      <c r="O133" s="152" t="s">
        <v>3654</v>
      </c>
      <c r="P133" s="31" t="s">
        <v>2738</v>
      </c>
      <c r="Q133" s="31" t="s">
        <v>3655</v>
      </c>
      <c r="R133" s="152" t="s">
        <v>2738</v>
      </c>
      <c r="S133" s="152" t="s">
        <v>2738</v>
      </c>
      <c r="T133" s="153" t="s">
        <v>3625</v>
      </c>
      <c r="U133" s="154" t="s">
        <v>2880</v>
      </c>
      <c r="V133" s="154" t="s">
        <v>2741</v>
      </c>
      <c r="W133" s="34">
        <v>0</v>
      </c>
      <c r="X133" s="34">
        <v>0</v>
      </c>
      <c r="Y133" s="34">
        <v>0</v>
      </c>
      <c r="Z133" s="34">
        <v>0</v>
      </c>
      <c r="AA133" s="34">
        <f t="shared" si="1"/>
        <v>1</v>
      </c>
      <c r="AB133" s="34">
        <v>0</v>
      </c>
      <c r="AC133" s="159"/>
    </row>
    <row r="134" spans="1:29" ht="39.75" customHeight="1">
      <c r="A134" s="148"/>
      <c r="B134" s="148">
        <v>131</v>
      </c>
      <c r="C134" s="149">
        <f>VLOOKUP(D134,'[5]Codes &amp; Descr. SFICS25'!B:C,2,FALSE)</f>
        <v>28</v>
      </c>
      <c r="D134" s="150" t="s">
        <v>3616</v>
      </c>
      <c r="E134" s="150">
        <f>+VLOOKUP(F134,'[5]Codes &amp; Descr. SFICS25'!D:E,2,FALSE)</f>
        <v>2802</v>
      </c>
      <c r="F134" s="150" t="s">
        <v>3649</v>
      </c>
      <c r="G134" s="150">
        <f>VLOOKUP(H134,'[5]Codes &amp; Descr. SFICS25'!F:H,2,FALSE)</f>
        <v>280202</v>
      </c>
      <c r="H134" s="150" t="s">
        <v>3656</v>
      </c>
      <c r="I134" s="150" t="s">
        <v>3657</v>
      </c>
      <c r="J134" s="150" t="s">
        <v>3658</v>
      </c>
      <c r="K134" s="158" t="s">
        <v>3659</v>
      </c>
      <c r="L134" s="151" t="s">
        <v>989</v>
      </c>
      <c r="M134" s="152" t="s">
        <v>1402</v>
      </c>
      <c r="N134" s="152" t="s">
        <v>3660</v>
      </c>
      <c r="O134" s="152" t="s">
        <v>3661</v>
      </c>
      <c r="P134" s="31" t="s">
        <v>2738</v>
      </c>
      <c r="Q134" s="31" t="s">
        <v>3662</v>
      </c>
      <c r="R134" s="152" t="s">
        <v>2738</v>
      </c>
      <c r="S134" s="152" t="s">
        <v>2738</v>
      </c>
      <c r="T134" s="153" t="s">
        <v>3625</v>
      </c>
      <c r="U134" s="154" t="s">
        <v>2880</v>
      </c>
      <c r="V134" s="154" t="s">
        <v>2741</v>
      </c>
      <c r="W134" s="34">
        <v>0</v>
      </c>
      <c r="X134" s="34">
        <v>0</v>
      </c>
      <c r="Y134" s="34">
        <v>0</v>
      </c>
      <c r="Z134" s="34">
        <v>0</v>
      </c>
      <c r="AA134" s="34">
        <f t="shared" ref="AA134:AA177" si="2">IF(P134="Not applicable",0,1)</f>
        <v>1</v>
      </c>
      <c r="AB134" s="34">
        <v>0</v>
      </c>
      <c r="AC134" s="163"/>
    </row>
    <row r="135" spans="1:29" ht="39.75" customHeight="1">
      <c r="A135" s="148"/>
      <c r="B135" s="148">
        <v>132</v>
      </c>
      <c r="C135" s="149">
        <f>VLOOKUP(D135,'[5]Codes &amp; Descr. SFICS25'!B:C,2,FALSE)</f>
        <v>28</v>
      </c>
      <c r="D135" s="150" t="s">
        <v>3616</v>
      </c>
      <c r="E135" s="150">
        <f>+VLOOKUP(F135,'[5]Codes &amp; Descr. SFICS25'!D:E,2,FALSE)</f>
        <v>2802</v>
      </c>
      <c r="F135" s="150" t="s">
        <v>3649</v>
      </c>
      <c r="G135" s="150">
        <f>VLOOKUP(H135,'[5]Codes &amp; Descr. SFICS25'!F:H,2,FALSE)</f>
        <v>280203</v>
      </c>
      <c r="H135" s="150" t="s">
        <v>3663</v>
      </c>
      <c r="I135" s="150" t="s">
        <v>3664</v>
      </c>
      <c r="J135" s="150" t="s">
        <v>3665</v>
      </c>
      <c r="K135" s="157" t="s">
        <v>3666</v>
      </c>
      <c r="L135" s="151" t="s">
        <v>993</v>
      </c>
      <c r="M135" s="152" t="s">
        <v>1402</v>
      </c>
      <c r="N135" s="152" t="s">
        <v>3667</v>
      </c>
      <c r="O135" s="152" t="s">
        <v>3668</v>
      </c>
      <c r="P135" s="31" t="s">
        <v>2738</v>
      </c>
      <c r="Q135" s="31" t="s">
        <v>3662</v>
      </c>
      <c r="R135" s="152" t="s">
        <v>2738</v>
      </c>
      <c r="S135" s="152" t="s">
        <v>2738</v>
      </c>
      <c r="T135" s="153" t="s">
        <v>3625</v>
      </c>
      <c r="U135" s="154" t="s">
        <v>2741</v>
      </c>
      <c r="V135" s="154" t="s">
        <v>2741</v>
      </c>
      <c r="W135" s="34">
        <v>0</v>
      </c>
      <c r="X135" s="34">
        <v>0</v>
      </c>
      <c r="Y135" s="34">
        <v>0</v>
      </c>
      <c r="Z135" s="34">
        <v>0</v>
      </c>
      <c r="AA135" s="34">
        <f t="shared" si="2"/>
        <v>1</v>
      </c>
      <c r="AB135" s="34">
        <v>0</v>
      </c>
      <c r="AC135" s="163"/>
    </row>
    <row r="136" spans="1:29" ht="39.75" customHeight="1">
      <c r="A136" s="148"/>
      <c r="B136" s="148">
        <v>133</v>
      </c>
      <c r="C136" s="149">
        <f>VLOOKUP(D136,'[5]Codes &amp; Descr. SFICS25'!B:C,2,FALSE)</f>
        <v>28</v>
      </c>
      <c r="D136" s="150" t="s">
        <v>3616</v>
      </c>
      <c r="E136" s="150">
        <f>+VLOOKUP(F136,'[5]Codes &amp; Descr. SFICS25'!D:E,2,FALSE)</f>
        <v>2805</v>
      </c>
      <c r="F136" s="150" t="s">
        <v>3669</v>
      </c>
      <c r="G136" s="150">
        <f>VLOOKUP(H136,'[5]Codes &amp; Descr. SFICS25'!F:H,2,FALSE)</f>
        <v>280501</v>
      </c>
      <c r="H136" s="150" t="s">
        <v>3670</v>
      </c>
      <c r="I136" s="150" t="s">
        <v>3671</v>
      </c>
      <c r="J136" s="150" t="s">
        <v>3672</v>
      </c>
      <c r="K136" s="158" t="s">
        <v>3673</v>
      </c>
      <c r="L136" s="151" t="s">
        <v>1002</v>
      </c>
      <c r="M136" s="152" t="s">
        <v>1402</v>
      </c>
      <c r="N136" s="152" t="s">
        <v>3674</v>
      </c>
      <c r="O136" s="152" t="s">
        <v>3675</v>
      </c>
      <c r="P136" s="31" t="s">
        <v>3676</v>
      </c>
      <c r="Q136" s="31" t="s">
        <v>3677</v>
      </c>
      <c r="R136" s="152" t="s">
        <v>2738</v>
      </c>
      <c r="S136" s="152" t="s">
        <v>2738</v>
      </c>
      <c r="T136" s="153" t="s">
        <v>3625</v>
      </c>
      <c r="U136" s="154" t="s">
        <v>2880</v>
      </c>
      <c r="V136" s="154" t="s">
        <v>2741</v>
      </c>
      <c r="W136" s="34">
        <v>0</v>
      </c>
      <c r="X136" s="34">
        <v>0</v>
      </c>
      <c r="Y136" s="34">
        <v>0</v>
      </c>
      <c r="Z136" s="34">
        <v>0</v>
      </c>
      <c r="AA136" s="34">
        <f t="shared" si="2"/>
        <v>1</v>
      </c>
      <c r="AB136" s="34">
        <v>0</v>
      </c>
      <c r="AC136" s="163"/>
    </row>
    <row r="137" spans="1:29" ht="39.75" customHeight="1">
      <c r="A137" s="148"/>
      <c r="B137" s="148">
        <v>134</v>
      </c>
      <c r="C137" s="149">
        <f>VLOOKUP(D137,'[5]Codes &amp; Descr. SFICS25'!B:C,2,FALSE)</f>
        <v>28</v>
      </c>
      <c r="D137" s="150" t="s">
        <v>3616</v>
      </c>
      <c r="E137" s="150">
        <f>+VLOOKUP(F137,'[5]Codes &amp; Descr. SFICS25'!D:E,2,FALSE)</f>
        <v>2805</v>
      </c>
      <c r="F137" s="150" t="s">
        <v>3669</v>
      </c>
      <c r="G137" s="150">
        <f>VLOOKUP(H137,'[5]Codes &amp; Descr. SFICS25'!F:H,2,FALSE)</f>
        <v>280502</v>
      </c>
      <c r="H137" s="150" t="s">
        <v>3678</v>
      </c>
      <c r="I137" s="150" t="s">
        <v>3679</v>
      </c>
      <c r="J137" s="150" t="s">
        <v>3680</v>
      </c>
      <c r="K137" s="157" t="s">
        <v>3681</v>
      </c>
      <c r="L137" s="151" t="s">
        <v>1009</v>
      </c>
      <c r="M137" s="152" t="s">
        <v>1402</v>
      </c>
      <c r="N137" s="152" t="s">
        <v>3682</v>
      </c>
      <c r="O137" s="152" t="s">
        <v>3683</v>
      </c>
      <c r="P137" s="31" t="s">
        <v>2738</v>
      </c>
      <c r="Q137" s="31" t="s">
        <v>3684</v>
      </c>
      <c r="R137" s="152" t="s">
        <v>2738</v>
      </c>
      <c r="S137" s="152" t="s">
        <v>2738</v>
      </c>
      <c r="T137" s="153" t="s">
        <v>3625</v>
      </c>
      <c r="U137" s="154" t="s">
        <v>2880</v>
      </c>
      <c r="V137" s="154" t="s">
        <v>2741</v>
      </c>
      <c r="W137" s="34">
        <v>0</v>
      </c>
      <c r="X137" s="34">
        <v>0</v>
      </c>
      <c r="Y137" s="34">
        <v>0</v>
      </c>
      <c r="Z137" s="34">
        <v>0</v>
      </c>
      <c r="AA137" s="34">
        <f t="shared" si="2"/>
        <v>1</v>
      </c>
      <c r="AB137" s="34">
        <v>0</v>
      </c>
      <c r="AC137" s="163"/>
    </row>
    <row r="138" spans="1:29" ht="39.75" customHeight="1">
      <c r="A138" s="148"/>
      <c r="B138" s="148">
        <v>135</v>
      </c>
      <c r="C138" s="149">
        <f>VLOOKUP(D138,'[5]Codes &amp; Descr. SFICS25'!B:C,2,FALSE)</f>
        <v>28</v>
      </c>
      <c r="D138" s="150" t="s">
        <v>3616</v>
      </c>
      <c r="E138" s="150">
        <f>+VLOOKUP(F138,'[5]Codes &amp; Descr. SFICS25'!D:E,2,FALSE)</f>
        <v>2805</v>
      </c>
      <c r="F138" s="150" t="s">
        <v>3669</v>
      </c>
      <c r="G138" s="150">
        <f>VLOOKUP(H138,'[5]Codes &amp; Descr. SFICS25'!F:H,2,FALSE)</f>
        <v>280503</v>
      </c>
      <c r="H138" s="150" t="s">
        <v>3685</v>
      </c>
      <c r="I138" s="150" t="s">
        <v>3686</v>
      </c>
      <c r="J138" s="150" t="s">
        <v>3687</v>
      </c>
      <c r="K138" s="158" t="s">
        <v>3688</v>
      </c>
      <c r="L138" s="151" t="s">
        <v>1016</v>
      </c>
      <c r="M138" s="152" t="s">
        <v>1402</v>
      </c>
      <c r="N138" s="152" t="s">
        <v>3689</v>
      </c>
      <c r="O138" s="152" t="s">
        <v>3690</v>
      </c>
      <c r="P138" s="31" t="s">
        <v>3691</v>
      </c>
      <c r="Q138" s="31" t="s">
        <v>3692</v>
      </c>
      <c r="R138" s="152" t="s">
        <v>2738</v>
      </c>
      <c r="S138" s="152" t="s">
        <v>2738</v>
      </c>
      <c r="T138" s="153" t="s">
        <v>3625</v>
      </c>
      <c r="U138" s="169" t="s">
        <v>2880</v>
      </c>
      <c r="V138" s="34">
        <v>0</v>
      </c>
      <c r="W138" s="34">
        <v>0</v>
      </c>
      <c r="X138" s="34">
        <v>0</v>
      </c>
      <c r="Y138" s="34">
        <v>0</v>
      </c>
      <c r="Z138" s="34">
        <v>0</v>
      </c>
      <c r="AA138" s="34">
        <f t="shared" si="2"/>
        <v>1</v>
      </c>
      <c r="AB138" s="34">
        <v>0</v>
      </c>
      <c r="AC138" s="159"/>
    </row>
    <row r="139" spans="1:29" ht="39.75" customHeight="1">
      <c r="A139" s="148"/>
      <c r="B139" s="148">
        <v>136</v>
      </c>
      <c r="C139" s="149">
        <f>VLOOKUP(D139,'[5]Codes &amp; Descr. SFICS25'!B:C,2,FALSE)</f>
        <v>28</v>
      </c>
      <c r="D139" s="150" t="s">
        <v>3616</v>
      </c>
      <c r="E139" s="150">
        <f>+VLOOKUP(F139,'[5]Codes &amp; Descr. SFICS25'!D:E,2,FALSE)</f>
        <v>2805</v>
      </c>
      <c r="F139" s="150" t="s">
        <v>3669</v>
      </c>
      <c r="G139" s="150">
        <f>VLOOKUP(H139,'[5]Codes &amp; Descr. SFICS25'!F:H,2,FALSE)</f>
        <v>280504</v>
      </c>
      <c r="H139" s="150" t="s">
        <v>3693</v>
      </c>
      <c r="I139" s="150" t="s">
        <v>3694</v>
      </c>
      <c r="J139" s="150" t="s">
        <v>3695</v>
      </c>
      <c r="K139" s="158" t="s">
        <v>3696</v>
      </c>
      <c r="L139" s="151" t="s">
        <v>281</v>
      </c>
      <c r="M139" s="152" t="s">
        <v>1402</v>
      </c>
      <c r="N139" s="152" t="s">
        <v>3697</v>
      </c>
      <c r="O139" s="152" t="s">
        <v>3698</v>
      </c>
      <c r="P139" s="31" t="s">
        <v>3699</v>
      </c>
      <c r="Q139" s="31" t="s">
        <v>2738</v>
      </c>
      <c r="R139" s="152" t="s">
        <v>2738</v>
      </c>
      <c r="S139" s="152" t="s">
        <v>2738</v>
      </c>
      <c r="T139" s="153" t="s">
        <v>3625</v>
      </c>
      <c r="U139" s="33">
        <v>0</v>
      </c>
      <c r="V139" s="34">
        <v>0</v>
      </c>
      <c r="W139" s="34">
        <v>0</v>
      </c>
      <c r="X139" s="34">
        <v>0</v>
      </c>
      <c r="Y139" s="34">
        <v>0</v>
      </c>
      <c r="Z139" s="34">
        <v>0</v>
      </c>
      <c r="AA139" s="34">
        <f t="shared" si="2"/>
        <v>1</v>
      </c>
      <c r="AB139" s="34">
        <v>0</v>
      </c>
      <c r="AC139" s="163"/>
    </row>
    <row r="140" spans="1:29" ht="39.75" customHeight="1">
      <c r="A140" s="148"/>
      <c r="B140" s="148">
        <v>137</v>
      </c>
      <c r="C140" s="149">
        <f>VLOOKUP(D140,'[5]Codes &amp; Descr. SFICS25'!B:C,2,FALSE)</f>
        <v>28</v>
      </c>
      <c r="D140" s="150" t="s">
        <v>3616</v>
      </c>
      <c r="E140" s="150">
        <f>+VLOOKUP(F140,'[5]Codes &amp; Descr. SFICS25'!D:E,2,FALSE)</f>
        <v>2805</v>
      </c>
      <c r="F140" s="150" t="s">
        <v>3669</v>
      </c>
      <c r="G140" s="150">
        <f>VLOOKUP(H140,'[5]Codes &amp; Descr. SFICS25'!F:H,2,FALSE)</f>
        <v>280505</v>
      </c>
      <c r="H140" s="150" t="s">
        <v>3700</v>
      </c>
      <c r="I140" s="150" t="s">
        <v>3701</v>
      </c>
      <c r="J140" s="150" t="s">
        <v>3702</v>
      </c>
      <c r="K140" s="158" t="s">
        <v>3703</v>
      </c>
      <c r="L140" s="151" t="s">
        <v>1031</v>
      </c>
      <c r="M140" s="152" t="s">
        <v>1402</v>
      </c>
      <c r="N140" s="152" t="s">
        <v>3704</v>
      </c>
      <c r="O140" s="152" t="s">
        <v>3705</v>
      </c>
      <c r="P140" s="31" t="s">
        <v>3706</v>
      </c>
      <c r="Q140" s="31" t="s">
        <v>3707</v>
      </c>
      <c r="R140" s="152" t="s">
        <v>2738</v>
      </c>
      <c r="S140" s="152" t="s">
        <v>2738</v>
      </c>
      <c r="T140" s="153" t="s">
        <v>3625</v>
      </c>
      <c r="U140" s="33">
        <v>0</v>
      </c>
      <c r="V140" s="34">
        <v>0</v>
      </c>
      <c r="W140" s="154" t="s">
        <v>2880</v>
      </c>
      <c r="X140" s="34">
        <v>0</v>
      </c>
      <c r="Y140" s="34">
        <v>0</v>
      </c>
      <c r="Z140" s="34">
        <v>0</v>
      </c>
      <c r="AA140" s="34">
        <f t="shared" si="2"/>
        <v>1</v>
      </c>
      <c r="AB140" s="34">
        <v>0</v>
      </c>
      <c r="AC140" s="159"/>
    </row>
    <row r="141" spans="1:29" ht="39.75" customHeight="1">
      <c r="A141" s="148"/>
      <c r="B141" s="148">
        <v>138</v>
      </c>
      <c r="C141" s="149">
        <f>VLOOKUP(D141,'[5]Codes &amp; Descr. SFICS25'!B:C,2,FALSE)</f>
        <v>28</v>
      </c>
      <c r="D141" s="150" t="s">
        <v>3616</v>
      </c>
      <c r="E141" s="150">
        <f>+VLOOKUP(F141,'[5]Codes &amp; Descr. SFICS25'!D:E,2,FALSE)</f>
        <v>2801</v>
      </c>
      <c r="F141" s="150" t="s">
        <v>3708</v>
      </c>
      <c r="G141" s="150">
        <f>VLOOKUP(H141,'[5]Codes &amp; Descr. SFICS25'!F:H,2,FALSE)</f>
        <v>280101</v>
      </c>
      <c r="H141" s="150" t="s">
        <v>3709</v>
      </c>
      <c r="I141" s="150" t="s">
        <v>3710</v>
      </c>
      <c r="J141" s="150" t="s">
        <v>3711</v>
      </c>
      <c r="K141" s="157" t="s">
        <v>3712</v>
      </c>
      <c r="L141" s="151" t="s">
        <v>1037</v>
      </c>
      <c r="M141" s="152" t="s">
        <v>1402</v>
      </c>
      <c r="N141" s="152" t="s">
        <v>3713</v>
      </c>
      <c r="O141" s="152" t="s">
        <v>3714</v>
      </c>
      <c r="P141" s="31" t="s">
        <v>2738</v>
      </c>
      <c r="Q141" s="31" t="s">
        <v>3715</v>
      </c>
      <c r="R141" s="152" t="s">
        <v>2738</v>
      </c>
      <c r="S141" s="152" t="s">
        <v>2738</v>
      </c>
      <c r="T141" s="153" t="s">
        <v>3625</v>
      </c>
      <c r="U141" s="34">
        <v>0</v>
      </c>
      <c r="V141" s="34">
        <v>0</v>
      </c>
      <c r="W141" s="34">
        <v>0</v>
      </c>
      <c r="X141" s="154" t="s">
        <v>2741</v>
      </c>
      <c r="Y141" s="34">
        <v>0</v>
      </c>
      <c r="Z141" s="34">
        <v>0</v>
      </c>
      <c r="AA141" s="34">
        <f t="shared" si="2"/>
        <v>1</v>
      </c>
      <c r="AB141" s="34">
        <v>0</v>
      </c>
      <c r="AC141" s="163"/>
    </row>
    <row r="142" spans="1:29" ht="39.75" customHeight="1">
      <c r="A142" s="148"/>
      <c r="B142" s="148">
        <v>139</v>
      </c>
      <c r="C142" s="149">
        <f>VLOOKUP(D142,'[5]Codes &amp; Descr. SFICS25'!B:C,2,FALSE)</f>
        <v>28</v>
      </c>
      <c r="D142" s="150" t="s">
        <v>3616</v>
      </c>
      <c r="E142" s="150">
        <f>+VLOOKUP(F142,'[5]Codes &amp; Descr. SFICS25'!D:E,2,FALSE)</f>
        <v>2801</v>
      </c>
      <c r="F142" s="150" t="s">
        <v>3708</v>
      </c>
      <c r="G142" s="150">
        <f>VLOOKUP(H142,'[5]Codes &amp; Descr. SFICS25'!F:H,2,FALSE)</f>
        <v>280102</v>
      </c>
      <c r="H142" s="150" t="s">
        <v>3716</v>
      </c>
      <c r="I142" s="150" t="s">
        <v>3717</v>
      </c>
      <c r="J142" s="150" t="s">
        <v>3717</v>
      </c>
      <c r="K142" s="155" t="s">
        <v>3716</v>
      </c>
      <c r="L142" s="151" t="s">
        <v>1042</v>
      </c>
      <c r="M142" s="152" t="s">
        <v>1402</v>
      </c>
      <c r="N142" s="152" t="s">
        <v>3718</v>
      </c>
      <c r="O142" s="152" t="s">
        <v>3719</v>
      </c>
      <c r="P142" s="31" t="s">
        <v>2738</v>
      </c>
      <c r="Q142" s="31" t="s">
        <v>3720</v>
      </c>
      <c r="R142" s="152" t="s">
        <v>2738</v>
      </c>
      <c r="S142" s="152" t="s">
        <v>2738</v>
      </c>
      <c r="T142" s="153" t="s">
        <v>3625</v>
      </c>
      <c r="U142" s="34">
        <v>0</v>
      </c>
      <c r="V142" s="34">
        <v>0</v>
      </c>
      <c r="W142" s="34">
        <v>0</v>
      </c>
      <c r="X142" s="154" t="s">
        <v>2741</v>
      </c>
      <c r="Y142" s="34">
        <v>0</v>
      </c>
      <c r="Z142" s="34">
        <v>0</v>
      </c>
      <c r="AA142" s="34">
        <f t="shared" si="2"/>
        <v>1</v>
      </c>
      <c r="AB142" s="34">
        <v>0</v>
      </c>
      <c r="AC142" s="163"/>
    </row>
    <row r="143" spans="1:29" ht="39.75" customHeight="1">
      <c r="A143" s="148"/>
      <c r="B143" s="148">
        <v>140</v>
      </c>
      <c r="C143" s="149">
        <f>VLOOKUP(D143,'[5]Codes &amp; Descr. SFICS25'!B:C,2,FALSE)</f>
        <v>28</v>
      </c>
      <c r="D143" s="150" t="s">
        <v>3616</v>
      </c>
      <c r="E143" s="150">
        <f>+VLOOKUP(F143,'[5]Codes &amp; Descr. SFICS25'!D:E,2,FALSE)</f>
        <v>2801</v>
      </c>
      <c r="F143" s="150" t="s">
        <v>3708</v>
      </c>
      <c r="G143" s="150">
        <f>VLOOKUP(H143,'[5]Codes &amp; Descr. SFICS25'!F:H,2,FALSE)</f>
        <v>280103</v>
      </c>
      <c r="H143" s="150" t="s">
        <v>3721</v>
      </c>
      <c r="I143" s="150" t="s">
        <v>3722</v>
      </c>
      <c r="J143" s="150" t="s">
        <v>3723</v>
      </c>
      <c r="K143" s="158" t="s">
        <v>3724</v>
      </c>
      <c r="L143" s="151" t="s">
        <v>1050</v>
      </c>
      <c r="M143" s="152" t="s">
        <v>1402</v>
      </c>
      <c r="N143" s="152" t="s">
        <v>2738</v>
      </c>
      <c r="O143" s="152" t="s">
        <v>2738</v>
      </c>
      <c r="P143" s="31" t="s">
        <v>2738</v>
      </c>
      <c r="Q143" s="31" t="s">
        <v>3725</v>
      </c>
      <c r="R143" s="152" t="s">
        <v>2738</v>
      </c>
      <c r="S143" s="152" t="s">
        <v>2738</v>
      </c>
      <c r="T143" s="153" t="s">
        <v>3625</v>
      </c>
      <c r="U143" s="34">
        <v>0</v>
      </c>
      <c r="V143" s="34">
        <v>0</v>
      </c>
      <c r="W143" s="34">
        <v>0</v>
      </c>
      <c r="X143" s="154" t="s">
        <v>2741</v>
      </c>
      <c r="Y143" s="34">
        <v>0</v>
      </c>
      <c r="Z143" s="34">
        <v>0</v>
      </c>
      <c r="AA143" s="34">
        <f t="shared" si="2"/>
        <v>1</v>
      </c>
      <c r="AB143" s="34">
        <v>0</v>
      </c>
      <c r="AC143" s="120"/>
    </row>
    <row r="144" spans="1:29" ht="39.75" customHeight="1">
      <c r="A144" s="148"/>
      <c r="B144" s="148">
        <v>141</v>
      </c>
      <c r="C144" s="149">
        <f>VLOOKUP(D144,'[5]Codes &amp; Descr. SFICS25'!B:C,2,FALSE)</f>
        <v>28</v>
      </c>
      <c r="D144" s="150" t="s">
        <v>3616</v>
      </c>
      <c r="E144" s="150">
        <f>+VLOOKUP(F144,'[5]Codes &amp; Descr. SFICS25'!D:E,2,FALSE)</f>
        <v>2801</v>
      </c>
      <c r="F144" s="150" t="s">
        <v>3708</v>
      </c>
      <c r="G144" s="150">
        <f>VLOOKUP(H144,'[5]Codes &amp; Descr. SFICS25'!F:H,2,FALSE)</f>
        <v>280104</v>
      </c>
      <c r="H144" s="150" t="s">
        <v>3726</v>
      </c>
      <c r="I144" s="150" t="s">
        <v>3727</v>
      </c>
      <c r="J144" s="150" t="s">
        <v>3727</v>
      </c>
      <c r="K144" s="155" t="s">
        <v>3726</v>
      </c>
      <c r="L144" s="151" t="s">
        <v>1052</v>
      </c>
      <c r="M144" s="152" t="s">
        <v>1402</v>
      </c>
      <c r="N144" s="152" t="s">
        <v>2738</v>
      </c>
      <c r="O144" s="152" t="s">
        <v>2738</v>
      </c>
      <c r="P144" s="31" t="s">
        <v>2738</v>
      </c>
      <c r="Q144" s="31" t="s">
        <v>3728</v>
      </c>
      <c r="R144" s="152" t="s">
        <v>2738</v>
      </c>
      <c r="S144" s="152" t="s">
        <v>2738</v>
      </c>
      <c r="T144" s="153" t="s">
        <v>3625</v>
      </c>
      <c r="U144" s="34">
        <v>0</v>
      </c>
      <c r="V144" s="34">
        <v>0</v>
      </c>
      <c r="W144" s="34">
        <v>0</v>
      </c>
      <c r="X144" s="154" t="s">
        <v>2741</v>
      </c>
      <c r="Y144" s="34">
        <v>0</v>
      </c>
      <c r="Z144" s="34">
        <v>0</v>
      </c>
      <c r="AA144" s="34">
        <f t="shared" si="2"/>
        <v>1</v>
      </c>
      <c r="AB144" s="34">
        <v>0</v>
      </c>
      <c r="AC144" s="120"/>
    </row>
    <row r="145" spans="1:29" ht="39.75" customHeight="1">
      <c r="A145" s="148"/>
      <c r="B145" s="148">
        <v>142</v>
      </c>
      <c r="C145" s="149">
        <f>VLOOKUP(D145,'[5]Codes &amp; Descr. SFICS25'!B:C,2,FALSE)</f>
        <v>28</v>
      </c>
      <c r="D145" s="150" t="s">
        <v>3616</v>
      </c>
      <c r="E145" s="150">
        <f>+VLOOKUP(F145,'[5]Codes &amp; Descr. SFICS25'!D:E,2,FALSE)</f>
        <v>2801</v>
      </c>
      <c r="F145" s="150" t="s">
        <v>3708</v>
      </c>
      <c r="G145" s="150">
        <f>VLOOKUP(H145,'[5]Codes &amp; Descr. SFICS25'!F:H,2,FALSE)</f>
        <v>280105</v>
      </c>
      <c r="H145" s="150" t="s">
        <v>3729</v>
      </c>
      <c r="I145" s="150" t="s">
        <v>3730</v>
      </c>
      <c r="J145" s="150" t="s">
        <v>3731</v>
      </c>
      <c r="K145" s="158" t="s">
        <v>3732</v>
      </c>
      <c r="L145" s="151" t="s">
        <v>1058</v>
      </c>
      <c r="M145" s="152" t="s">
        <v>1402</v>
      </c>
      <c r="N145" s="152" t="s">
        <v>3733</v>
      </c>
      <c r="O145" s="152" t="s">
        <v>3734</v>
      </c>
      <c r="P145" s="31" t="s">
        <v>2738</v>
      </c>
      <c r="Q145" s="31" t="s">
        <v>3735</v>
      </c>
      <c r="R145" s="152" t="s">
        <v>2738</v>
      </c>
      <c r="S145" s="152" t="s">
        <v>2738</v>
      </c>
      <c r="T145" s="153" t="s">
        <v>3625</v>
      </c>
      <c r="U145" s="34">
        <v>0</v>
      </c>
      <c r="V145" s="34">
        <v>0</v>
      </c>
      <c r="W145" s="34">
        <v>0</v>
      </c>
      <c r="X145" s="154" t="s">
        <v>2741</v>
      </c>
      <c r="Y145" s="34">
        <v>0</v>
      </c>
      <c r="Z145" s="34">
        <v>0</v>
      </c>
      <c r="AA145" s="34">
        <f t="shared" si="2"/>
        <v>1</v>
      </c>
      <c r="AB145" s="34">
        <v>0</v>
      </c>
      <c r="AC145" s="120"/>
    </row>
    <row r="146" spans="1:29" ht="39.75" customHeight="1">
      <c r="A146" s="148"/>
      <c r="B146" s="148">
        <v>143</v>
      </c>
      <c r="C146" s="149">
        <f>VLOOKUP(D146,'[5]Codes &amp; Descr. SFICS25'!B:C,2,FALSE)</f>
        <v>28</v>
      </c>
      <c r="D146" s="150" t="s">
        <v>3616</v>
      </c>
      <c r="E146" s="150">
        <f>+VLOOKUP(F146,'[5]Codes &amp; Descr. SFICS25'!D:E,2,FALSE)</f>
        <v>2801</v>
      </c>
      <c r="F146" s="150" t="s">
        <v>3708</v>
      </c>
      <c r="G146" s="150">
        <f>VLOOKUP(H146,'[5]Codes &amp; Descr. SFICS25'!F:H,2,FALSE)</f>
        <v>280106</v>
      </c>
      <c r="H146" s="150" t="s">
        <v>3736</v>
      </c>
      <c r="I146" s="150" t="s">
        <v>3737</v>
      </c>
      <c r="J146" s="150" t="s">
        <v>3738</v>
      </c>
      <c r="K146" s="149" t="s">
        <v>3739</v>
      </c>
      <c r="L146" s="151" t="s">
        <v>1066</v>
      </c>
      <c r="M146" s="152" t="s">
        <v>1402</v>
      </c>
      <c r="N146" s="152" t="s">
        <v>3740</v>
      </c>
      <c r="O146" s="152" t="s">
        <v>3741</v>
      </c>
      <c r="P146" s="31" t="s">
        <v>3311</v>
      </c>
      <c r="Q146" s="31" t="s">
        <v>3742</v>
      </c>
      <c r="R146" s="152" t="s">
        <v>2738</v>
      </c>
      <c r="S146" s="152" t="s">
        <v>2738</v>
      </c>
      <c r="T146" s="153" t="s">
        <v>3625</v>
      </c>
      <c r="U146" s="34">
        <v>0</v>
      </c>
      <c r="V146" s="34">
        <v>0</v>
      </c>
      <c r="W146" s="34">
        <v>0</v>
      </c>
      <c r="X146" s="154" t="s">
        <v>2880</v>
      </c>
      <c r="Y146" s="34">
        <v>0</v>
      </c>
      <c r="Z146" s="34">
        <v>0</v>
      </c>
      <c r="AA146" s="34">
        <f t="shared" si="2"/>
        <v>1</v>
      </c>
      <c r="AB146" s="34">
        <v>0</v>
      </c>
      <c r="AC146" s="120"/>
    </row>
    <row r="147" spans="1:29" ht="39.75" customHeight="1">
      <c r="A147" s="148"/>
      <c r="B147" s="148">
        <v>144</v>
      </c>
      <c r="C147" s="149">
        <f>VLOOKUP(D147,'[5]Codes &amp; Descr. SFICS25'!B:C,2,FALSE)</f>
        <v>28</v>
      </c>
      <c r="D147" s="150" t="s">
        <v>3616</v>
      </c>
      <c r="E147" s="150">
        <f>+VLOOKUP(F147,'[5]Codes &amp; Descr. SFICS25'!D:E,2,FALSE)</f>
        <v>2807</v>
      </c>
      <c r="F147" s="150" t="s">
        <v>3743</v>
      </c>
      <c r="G147" s="150">
        <f>VLOOKUP(H147,'[5]Codes &amp; Descr. SFICS25'!F:H,2,FALSE)</f>
        <v>280701</v>
      </c>
      <c r="H147" s="150" t="s">
        <v>3744</v>
      </c>
      <c r="I147" s="150" t="s">
        <v>3745</v>
      </c>
      <c r="J147" s="150" t="s">
        <v>3746</v>
      </c>
      <c r="K147" s="158" t="s">
        <v>3747</v>
      </c>
      <c r="L147" s="151" t="s">
        <v>1074</v>
      </c>
      <c r="M147" s="152" t="s">
        <v>1402</v>
      </c>
      <c r="N147" s="152" t="s">
        <v>2738</v>
      </c>
      <c r="O147" s="152" t="s">
        <v>2738</v>
      </c>
      <c r="P147" s="31" t="s">
        <v>2738</v>
      </c>
      <c r="Q147" s="31" t="s">
        <v>3748</v>
      </c>
      <c r="R147" s="152" t="s">
        <v>2738</v>
      </c>
      <c r="S147" s="152" t="s">
        <v>2738</v>
      </c>
      <c r="T147" s="153" t="s">
        <v>3625</v>
      </c>
      <c r="U147" s="154" t="s">
        <v>2930</v>
      </c>
      <c r="V147" s="154" t="s">
        <v>2741</v>
      </c>
      <c r="W147" s="34">
        <v>0</v>
      </c>
      <c r="X147" s="34">
        <v>0</v>
      </c>
      <c r="Y147" s="34">
        <v>0</v>
      </c>
      <c r="Z147" s="34">
        <v>0</v>
      </c>
      <c r="AA147" s="34">
        <f t="shared" si="2"/>
        <v>1</v>
      </c>
      <c r="AB147" s="34">
        <v>0</v>
      </c>
      <c r="AC147" s="120"/>
    </row>
    <row r="148" spans="1:29" ht="25.5" customHeight="1">
      <c r="A148" s="148"/>
      <c r="B148" s="148">
        <v>145</v>
      </c>
      <c r="C148" s="149">
        <f>VLOOKUP(D148,'[5]Codes &amp; Descr. SFICS25'!B:C,2,FALSE)</f>
        <v>28</v>
      </c>
      <c r="D148" s="150" t="s">
        <v>3616</v>
      </c>
      <c r="E148" s="150">
        <f>+VLOOKUP(F148,'[5]Codes &amp; Descr. SFICS25'!D:E,2,FALSE)</f>
        <v>2807</v>
      </c>
      <c r="F148" s="150" t="s">
        <v>3743</v>
      </c>
      <c r="G148" s="150">
        <f>VLOOKUP(H148,'[5]Codes &amp; Descr. SFICS25'!F:H,2,FALSE)</f>
        <v>280702</v>
      </c>
      <c r="H148" s="150" t="s">
        <v>3749</v>
      </c>
      <c r="I148" s="150" t="s">
        <v>3750</v>
      </c>
      <c r="J148" s="150" t="s">
        <v>3751</v>
      </c>
      <c r="K148" s="157" t="s">
        <v>3752</v>
      </c>
      <c r="L148" s="151" t="s">
        <v>1079</v>
      </c>
      <c r="M148" s="152" t="s">
        <v>1402</v>
      </c>
      <c r="N148" s="152" t="s">
        <v>2738</v>
      </c>
      <c r="O148" s="152" t="s">
        <v>2738</v>
      </c>
      <c r="P148" s="31" t="s">
        <v>3639</v>
      </c>
      <c r="Q148" s="31" t="s">
        <v>3753</v>
      </c>
      <c r="R148" s="152" t="s">
        <v>2738</v>
      </c>
      <c r="S148" s="152" t="s">
        <v>2738</v>
      </c>
      <c r="T148" s="153" t="s">
        <v>3625</v>
      </c>
      <c r="U148" s="154" t="s">
        <v>2930</v>
      </c>
      <c r="V148" s="154" t="s">
        <v>2741</v>
      </c>
      <c r="W148" s="34">
        <v>0</v>
      </c>
      <c r="X148" s="34">
        <v>0</v>
      </c>
      <c r="Y148" s="34">
        <v>0</v>
      </c>
      <c r="Z148" s="34">
        <v>0</v>
      </c>
      <c r="AA148" s="34">
        <f t="shared" si="2"/>
        <v>1</v>
      </c>
      <c r="AB148" s="34">
        <v>0</v>
      </c>
      <c r="AC148" s="159"/>
    </row>
    <row r="149" spans="1:29" ht="39.75" customHeight="1">
      <c r="A149" s="148"/>
      <c r="B149" s="148">
        <v>146</v>
      </c>
      <c r="C149" s="149">
        <f>VLOOKUP(D149,'[5]Codes &amp; Descr. SFICS25'!B:C,2,FALSE)</f>
        <v>28</v>
      </c>
      <c r="D149" s="150" t="s">
        <v>3616</v>
      </c>
      <c r="E149" s="150">
        <f>+VLOOKUP(F149,'[5]Codes &amp; Descr. SFICS25'!D:E,2,FALSE)</f>
        <v>2807</v>
      </c>
      <c r="F149" s="150" t="s">
        <v>3743</v>
      </c>
      <c r="G149" s="150">
        <f>VLOOKUP(H149,'[5]Codes &amp; Descr. SFICS25'!F:H,2,FALSE)</f>
        <v>280703</v>
      </c>
      <c r="H149" s="150" t="s">
        <v>3754</v>
      </c>
      <c r="I149" s="150" t="s">
        <v>3755</v>
      </c>
      <c r="J149" s="150" t="s">
        <v>3756</v>
      </c>
      <c r="K149" s="158" t="s">
        <v>3757</v>
      </c>
      <c r="L149" s="151" t="s">
        <v>1086</v>
      </c>
      <c r="M149" s="152" t="s">
        <v>1402</v>
      </c>
      <c r="N149" s="152" t="s">
        <v>3758</v>
      </c>
      <c r="O149" s="152" t="s">
        <v>3759</v>
      </c>
      <c r="P149" s="31" t="s">
        <v>3760</v>
      </c>
      <c r="Q149" s="31" t="s">
        <v>3761</v>
      </c>
      <c r="R149" s="152" t="s">
        <v>2738</v>
      </c>
      <c r="S149" s="152" t="s">
        <v>2738</v>
      </c>
      <c r="T149" s="153" t="s">
        <v>3625</v>
      </c>
      <c r="U149" s="154" t="s">
        <v>2930</v>
      </c>
      <c r="V149" s="154" t="s">
        <v>2741</v>
      </c>
      <c r="W149" s="34">
        <v>0</v>
      </c>
      <c r="X149" s="34">
        <v>0</v>
      </c>
      <c r="Y149" s="34">
        <v>0</v>
      </c>
      <c r="Z149" s="34">
        <v>0</v>
      </c>
      <c r="AA149" s="34">
        <f t="shared" si="2"/>
        <v>1</v>
      </c>
      <c r="AB149" s="34">
        <v>0</v>
      </c>
      <c r="AC149" s="163"/>
    </row>
    <row r="150" spans="1:29" ht="39.75" customHeight="1">
      <c r="A150" s="148"/>
      <c r="B150" s="148">
        <v>147</v>
      </c>
      <c r="C150" s="149">
        <f>VLOOKUP(D150,'[5]Codes &amp; Descr. SFICS25'!B:C,2,FALSE)</f>
        <v>28</v>
      </c>
      <c r="D150" s="150" t="s">
        <v>3616</v>
      </c>
      <c r="E150" s="150">
        <f>+VLOOKUP(F150,'[5]Codes &amp; Descr. SFICS25'!D:E,2,FALSE)</f>
        <v>2807</v>
      </c>
      <c r="F150" s="150" t="s">
        <v>3743</v>
      </c>
      <c r="G150" s="150">
        <f>VLOOKUP(H150,'[5]Codes &amp; Descr. SFICS25'!F:H,2,FALSE)</f>
        <v>280704</v>
      </c>
      <c r="H150" s="150" t="s">
        <v>3762</v>
      </c>
      <c r="I150" s="150" t="s">
        <v>3763</v>
      </c>
      <c r="J150" s="150" t="s">
        <v>3764</v>
      </c>
      <c r="K150" s="157" t="s">
        <v>3765</v>
      </c>
      <c r="L150" s="151" t="s">
        <v>1094</v>
      </c>
      <c r="M150" s="152" t="s">
        <v>1402</v>
      </c>
      <c r="N150" s="152" t="s">
        <v>2738</v>
      </c>
      <c r="O150" s="152" t="s">
        <v>2738</v>
      </c>
      <c r="P150" s="31" t="s">
        <v>3639</v>
      </c>
      <c r="Q150" s="31" t="s">
        <v>3766</v>
      </c>
      <c r="R150" s="152" t="s">
        <v>2738</v>
      </c>
      <c r="S150" s="152" t="s">
        <v>2738</v>
      </c>
      <c r="T150" s="153" t="s">
        <v>3625</v>
      </c>
      <c r="U150" s="154" t="s">
        <v>2741</v>
      </c>
      <c r="V150" s="154" t="s">
        <v>2741</v>
      </c>
      <c r="W150" s="34">
        <v>0</v>
      </c>
      <c r="X150" s="34">
        <v>0</v>
      </c>
      <c r="Y150" s="34">
        <v>0</v>
      </c>
      <c r="Z150" s="34">
        <v>0</v>
      </c>
      <c r="AA150" s="34">
        <f t="shared" si="2"/>
        <v>1</v>
      </c>
      <c r="AB150" s="34">
        <v>0</v>
      </c>
      <c r="AC150" s="163"/>
    </row>
    <row r="151" spans="1:29" ht="39.75" customHeight="1">
      <c r="A151" s="148"/>
      <c r="B151" s="148">
        <v>148</v>
      </c>
      <c r="C151" s="149">
        <f>VLOOKUP(D151,'[5]Codes &amp; Descr. SFICS25'!B:C,2,FALSE)</f>
        <v>28</v>
      </c>
      <c r="D151" s="150" t="s">
        <v>3616</v>
      </c>
      <c r="E151" s="150">
        <f>+VLOOKUP(F151,'[5]Codes &amp; Descr. SFICS25'!D:E,2,FALSE)</f>
        <v>2807</v>
      </c>
      <c r="F151" s="150" t="s">
        <v>3743</v>
      </c>
      <c r="G151" s="150">
        <f>VLOOKUP(H151,'[5]Codes &amp; Descr. SFICS25'!F:H,2,FALSE)</f>
        <v>280705</v>
      </c>
      <c r="H151" s="150" t="s">
        <v>3767</v>
      </c>
      <c r="I151" s="150" t="s">
        <v>3768</v>
      </c>
      <c r="J151" s="150" t="s">
        <v>3769</v>
      </c>
      <c r="K151" s="157" t="s">
        <v>3770</v>
      </c>
      <c r="L151" s="151" t="s">
        <v>1100</v>
      </c>
      <c r="M151" s="152" t="s">
        <v>1402</v>
      </c>
      <c r="N151" s="152" t="s">
        <v>2738</v>
      </c>
      <c r="O151" s="152" t="s">
        <v>2738</v>
      </c>
      <c r="P151" s="31" t="s">
        <v>2738</v>
      </c>
      <c r="Q151" s="31" t="s">
        <v>3771</v>
      </c>
      <c r="R151" s="152" t="s">
        <v>2738</v>
      </c>
      <c r="S151" s="152" t="s">
        <v>2738</v>
      </c>
      <c r="T151" s="153" t="s">
        <v>3625</v>
      </c>
      <c r="U151" s="154" t="s">
        <v>2930</v>
      </c>
      <c r="V151" s="154" t="s">
        <v>2741</v>
      </c>
      <c r="W151" s="34">
        <v>0</v>
      </c>
      <c r="X151" s="34">
        <v>0</v>
      </c>
      <c r="Y151" s="34">
        <v>0</v>
      </c>
      <c r="Z151" s="34">
        <v>0</v>
      </c>
      <c r="AA151" s="34">
        <f>IF(P151="Not applicable",0,1)</f>
        <v>1</v>
      </c>
      <c r="AB151" s="34">
        <v>0</v>
      </c>
      <c r="AC151" s="163"/>
    </row>
    <row r="152" spans="1:29" ht="39.75" customHeight="1">
      <c r="A152" s="148"/>
      <c r="B152" s="148">
        <v>149</v>
      </c>
      <c r="C152" s="149">
        <f>VLOOKUP(D152,'[5]Codes &amp; Descr. SFICS25'!B:C,2,FALSE)</f>
        <v>28</v>
      </c>
      <c r="D152" s="150" t="s">
        <v>3616</v>
      </c>
      <c r="E152" s="150">
        <f>+VLOOKUP(F152,'[5]Codes &amp; Descr. SFICS25'!D:E,2,FALSE)</f>
        <v>2807</v>
      </c>
      <c r="F152" s="150" t="s">
        <v>3743</v>
      </c>
      <c r="G152" s="150">
        <f>VLOOKUP(H152,'[5]Codes &amp; Descr. SFICS25'!F:H,2,FALSE)</f>
        <v>280706</v>
      </c>
      <c r="H152" s="150" t="s">
        <v>3772</v>
      </c>
      <c r="I152" s="150" t="s">
        <v>3773</v>
      </c>
      <c r="J152" s="150" t="s">
        <v>3774</v>
      </c>
      <c r="K152" s="158" t="s">
        <v>3775</v>
      </c>
      <c r="L152" s="151" t="s">
        <v>281</v>
      </c>
      <c r="M152" s="152" t="s">
        <v>1402</v>
      </c>
      <c r="N152" s="152" t="s">
        <v>2738</v>
      </c>
      <c r="O152" s="152" t="s">
        <v>2738</v>
      </c>
      <c r="P152" s="31" t="s">
        <v>3776</v>
      </c>
      <c r="Q152" s="31" t="s">
        <v>2738</v>
      </c>
      <c r="R152" s="152" t="s">
        <v>2738</v>
      </c>
      <c r="S152" s="152" t="s">
        <v>2738</v>
      </c>
      <c r="T152" s="153" t="s">
        <v>3625</v>
      </c>
      <c r="U152" s="33">
        <v>0</v>
      </c>
      <c r="V152" s="34">
        <v>0</v>
      </c>
      <c r="W152" s="34">
        <v>0</v>
      </c>
      <c r="X152" s="34">
        <v>0</v>
      </c>
      <c r="Y152" s="34">
        <v>0</v>
      </c>
      <c r="Z152" s="34">
        <v>0</v>
      </c>
      <c r="AA152" s="34">
        <f t="shared" si="2"/>
        <v>1</v>
      </c>
      <c r="AB152" s="34">
        <v>0</v>
      </c>
      <c r="AC152" s="163"/>
    </row>
    <row r="153" spans="1:29" ht="39.75" customHeight="1">
      <c r="A153" s="148"/>
      <c r="B153" s="148">
        <v>150</v>
      </c>
      <c r="C153" s="149">
        <f>VLOOKUP(D153,'[5]Codes &amp; Descr. SFICS25'!B:C,2,FALSE)</f>
        <v>28</v>
      </c>
      <c r="D153" s="150" t="s">
        <v>3616</v>
      </c>
      <c r="E153" s="150">
        <f>+VLOOKUP(F153,'[5]Codes &amp; Descr. SFICS25'!D:E,2,FALSE)</f>
        <v>2801</v>
      </c>
      <c r="F153" s="150" t="s">
        <v>3708</v>
      </c>
      <c r="G153" s="150">
        <f>VLOOKUP(H153,'[5]Codes &amp; Descr. SFICS25'!F:H,2,FALSE)</f>
        <v>280107</v>
      </c>
      <c r="H153" s="150" t="s">
        <v>3777</v>
      </c>
      <c r="I153" s="150" t="s">
        <v>3778</v>
      </c>
      <c r="J153" s="150" t="s">
        <v>3779</v>
      </c>
      <c r="K153" s="157" t="s">
        <v>3780</v>
      </c>
      <c r="L153" s="151"/>
      <c r="M153" s="152" t="s">
        <v>1402</v>
      </c>
      <c r="N153" s="167" t="s">
        <v>3781</v>
      </c>
      <c r="O153" s="167" t="s">
        <v>3782</v>
      </c>
      <c r="P153" s="31" t="s">
        <v>2738</v>
      </c>
      <c r="Q153" s="31" t="s">
        <v>3783</v>
      </c>
      <c r="R153" s="152" t="s">
        <v>2738</v>
      </c>
      <c r="S153" s="152" t="s">
        <v>2738</v>
      </c>
      <c r="T153" s="153" t="s">
        <v>3625</v>
      </c>
      <c r="U153" s="33">
        <v>0</v>
      </c>
      <c r="V153" s="33">
        <v>0</v>
      </c>
      <c r="W153" s="33">
        <v>0</v>
      </c>
      <c r="X153" s="154" t="s">
        <v>2741</v>
      </c>
      <c r="Y153" s="33">
        <v>0</v>
      </c>
      <c r="Z153" s="33">
        <v>0</v>
      </c>
      <c r="AA153" s="34">
        <f>IF(P153="Not applicable",0,1)</f>
        <v>1</v>
      </c>
      <c r="AB153" s="34">
        <v>0</v>
      </c>
      <c r="AC153" s="163"/>
    </row>
    <row r="154" spans="1:29" ht="39.75" customHeight="1">
      <c r="A154" s="148"/>
      <c r="B154" s="148">
        <v>151</v>
      </c>
      <c r="C154" s="149">
        <f>VLOOKUP(D154,'[5]Codes &amp; Descr. SFICS25'!B:C,2,FALSE)</f>
        <v>28</v>
      </c>
      <c r="D154" s="150" t="s">
        <v>3616</v>
      </c>
      <c r="E154" s="150">
        <f>+VLOOKUP(F154,'[5]Codes &amp; Descr. SFICS25'!D:E,2,FALSE)</f>
        <v>2806</v>
      </c>
      <c r="F154" s="150" t="s">
        <v>3784</v>
      </c>
      <c r="G154" s="150">
        <f>VLOOKUP(H154,'[5]Codes &amp; Descr. SFICS25'!F:H,2,FALSE)</f>
        <v>280601</v>
      </c>
      <c r="H154" s="150" t="s">
        <v>3785</v>
      </c>
      <c r="I154" s="150" t="s">
        <v>3786</v>
      </c>
      <c r="J154" s="150" t="s">
        <v>3787</v>
      </c>
      <c r="K154" s="158" t="s">
        <v>3788</v>
      </c>
      <c r="L154" s="151" t="s">
        <v>1118</v>
      </c>
      <c r="M154" s="152" t="s">
        <v>1402</v>
      </c>
      <c r="N154" s="152" t="s">
        <v>3789</v>
      </c>
      <c r="O154" s="152" t="s">
        <v>3790</v>
      </c>
      <c r="P154" s="31" t="s">
        <v>3639</v>
      </c>
      <c r="Q154" s="31" t="s">
        <v>3791</v>
      </c>
      <c r="R154" s="152" t="s">
        <v>2738</v>
      </c>
      <c r="S154" s="152" t="s">
        <v>2738</v>
      </c>
      <c r="T154" s="153" t="s">
        <v>3625</v>
      </c>
      <c r="U154" s="154" t="s">
        <v>2930</v>
      </c>
      <c r="V154" s="154" t="s">
        <v>2741</v>
      </c>
      <c r="W154" s="34">
        <v>0</v>
      </c>
      <c r="X154" s="34">
        <v>0</v>
      </c>
      <c r="Y154" s="34">
        <v>0</v>
      </c>
      <c r="Z154" s="34">
        <v>0</v>
      </c>
      <c r="AA154" s="34">
        <f t="shared" si="2"/>
        <v>1</v>
      </c>
      <c r="AB154" s="34">
        <v>0</v>
      </c>
      <c r="AC154" s="163"/>
    </row>
    <row r="155" spans="1:29" ht="39.75" customHeight="1">
      <c r="A155" s="148"/>
      <c r="B155" s="148">
        <v>152</v>
      </c>
      <c r="C155" s="149">
        <f>VLOOKUP(D155,'[5]Codes &amp; Descr. SFICS25'!B:C,2,FALSE)</f>
        <v>28</v>
      </c>
      <c r="D155" s="150" t="s">
        <v>3616</v>
      </c>
      <c r="E155" s="150">
        <f>+VLOOKUP(F155,'[5]Codes &amp; Descr. SFICS25'!D:E,2,FALSE)</f>
        <v>2806</v>
      </c>
      <c r="F155" s="150" t="s">
        <v>3784</v>
      </c>
      <c r="G155" s="150">
        <f>VLOOKUP(H155,'[5]Codes &amp; Descr. SFICS25'!F:H,2,FALSE)</f>
        <v>280602</v>
      </c>
      <c r="H155" s="150" t="s">
        <v>3792</v>
      </c>
      <c r="I155" s="150" t="s">
        <v>3793</v>
      </c>
      <c r="J155" s="150" t="s">
        <v>3794</v>
      </c>
      <c r="K155" s="157" t="s">
        <v>3795</v>
      </c>
      <c r="L155" s="151" t="s">
        <v>1126</v>
      </c>
      <c r="M155" s="152" t="s">
        <v>1402</v>
      </c>
      <c r="N155" s="152" t="s">
        <v>3796</v>
      </c>
      <c r="O155" s="152" t="s">
        <v>3797</v>
      </c>
      <c r="P155" s="31" t="s">
        <v>3798</v>
      </c>
      <c r="Q155" s="31" t="s">
        <v>3799</v>
      </c>
      <c r="R155" s="152" t="s">
        <v>2738</v>
      </c>
      <c r="S155" s="152" t="s">
        <v>2738</v>
      </c>
      <c r="T155" s="153" t="s">
        <v>3625</v>
      </c>
      <c r="U155" s="154" t="s">
        <v>2930</v>
      </c>
      <c r="V155" s="154" t="s">
        <v>2741</v>
      </c>
      <c r="W155" s="34">
        <v>0</v>
      </c>
      <c r="X155" s="34">
        <v>0</v>
      </c>
      <c r="Y155" s="34">
        <v>0</v>
      </c>
      <c r="Z155" s="34">
        <v>0</v>
      </c>
      <c r="AA155" s="34">
        <f t="shared" si="2"/>
        <v>1</v>
      </c>
      <c r="AB155" s="34">
        <v>0</v>
      </c>
      <c r="AC155" s="163"/>
    </row>
    <row r="156" spans="1:29" ht="39.75" customHeight="1">
      <c r="A156" s="148"/>
      <c r="B156" s="148">
        <v>153</v>
      </c>
      <c r="C156" s="149">
        <f>VLOOKUP(D156,'[5]Codes &amp; Descr. SFICS25'!B:C,2,FALSE)</f>
        <v>28</v>
      </c>
      <c r="D156" s="150" t="s">
        <v>3616</v>
      </c>
      <c r="E156" s="150">
        <f>+VLOOKUP(F156,'[5]Codes &amp; Descr. SFICS25'!D:E,2,FALSE)</f>
        <v>2806</v>
      </c>
      <c r="F156" s="150" t="s">
        <v>3784</v>
      </c>
      <c r="G156" s="150">
        <f>VLOOKUP(H156,'[5]Codes &amp; Descr. SFICS25'!F:H,2,FALSE)</f>
        <v>280603</v>
      </c>
      <c r="H156" s="150" t="s">
        <v>3800</v>
      </c>
      <c r="I156" s="150" t="s">
        <v>3801</v>
      </c>
      <c r="J156" s="150" t="s">
        <v>3802</v>
      </c>
      <c r="K156" s="158" t="s">
        <v>3803</v>
      </c>
      <c r="L156" s="151" t="s">
        <v>1135</v>
      </c>
      <c r="M156" s="152" t="s">
        <v>1402</v>
      </c>
      <c r="N156" s="152" t="s">
        <v>2738</v>
      </c>
      <c r="O156" s="152" t="s">
        <v>2738</v>
      </c>
      <c r="P156" s="31" t="s">
        <v>3804</v>
      </c>
      <c r="Q156" s="31" t="s">
        <v>3805</v>
      </c>
      <c r="R156" s="152" t="s">
        <v>2738</v>
      </c>
      <c r="S156" s="152" t="s">
        <v>2738</v>
      </c>
      <c r="T156" s="153" t="s">
        <v>3625</v>
      </c>
      <c r="U156" s="154" t="s">
        <v>2930</v>
      </c>
      <c r="V156" s="154" t="s">
        <v>2741</v>
      </c>
      <c r="W156" s="34">
        <v>0</v>
      </c>
      <c r="X156" s="34">
        <v>0</v>
      </c>
      <c r="Y156" s="34">
        <v>0</v>
      </c>
      <c r="Z156" s="34">
        <v>0</v>
      </c>
      <c r="AA156" s="34">
        <f t="shared" si="2"/>
        <v>1</v>
      </c>
      <c r="AB156" s="34">
        <v>0</v>
      </c>
      <c r="AC156" s="163"/>
    </row>
    <row r="157" spans="1:29" ht="39.75" customHeight="1">
      <c r="A157" s="148"/>
      <c r="B157" s="148">
        <v>154</v>
      </c>
      <c r="C157" s="149">
        <f>VLOOKUP(D157,'[5]Codes &amp; Descr. SFICS25'!B:C,2,FALSE)</f>
        <v>28</v>
      </c>
      <c r="D157" s="150" t="s">
        <v>3616</v>
      </c>
      <c r="E157" s="150">
        <f>+VLOOKUP(F157,'[5]Codes &amp; Descr. SFICS25'!D:E,2,FALSE)</f>
        <v>2806</v>
      </c>
      <c r="F157" s="150" t="s">
        <v>3784</v>
      </c>
      <c r="G157" s="150">
        <f>VLOOKUP(H157,'[5]Codes &amp; Descr. SFICS25'!F:H,2,FALSE)</f>
        <v>280604</v>
      </c>
      <c r="H157" s="150" t="s">
        <v>3806</v>
      </c>
      <c r="I157" s="150" t="s">
        <v>3807</v>
      </c>
      <c r="J157" s="150" t="s">
        <v>3808</v>
      </c>
      <c r="K157" s="158" t="s">
        <v>3809</v>
      </c>
      <c r="L157" s="151" t="s">
        <v>1140</v>
      </c>
      <c r="M157" s="152" t="s">
        <v>1402</v>
      </c>
      <c r="N157" s="152" t="s">
        <v>2738</v>
      </c>
      <c r="O157" s="152" t="s">
        <v>2738</v>
      </c>
      <c r="P157" s="31" t="s">
        <v>3810</v>
      </c>
      <c r="Q157" s="31" t="s">
        <v>3811</v>
      </c>
      <c r="R157" s="152" t="s">
        <v>2738</v>
      </c>
      <c r="S157" s="152" t="s">
        <v>2738</v>
      </c>
      <c r="T157" s="153" t="s">
        <v>3625</v>
      </c>
      <c r="U157" s="154" t="s">
        <v>2930</v>
      </c>
      <c r="V157" s="154" t="s">
        <v>2741</v>
      </c>
      <c r="W157" s="34">
        <v>0</v>
      </c>
      <c r="X157" s="34">
        <v>0</v>
      </c>
      <c r="Y157" s="34">
        <v>0</v>
      </c>
      <c r="Z157" s="34">
        <v>0</v>
      </c>
      <c r="AA157" s="34">
        <f t="shared" si="2"/>
        <v>1</v>
      </c>
      <c r="AB157" s="34">
        <v>0</v>
      </c>
      <c r="AC157" s="163"/>
    </row>
    <row r="158" spans="1:29" ht="39.75" customHeight="1">
      <c r="A158" s="148"/>
      <c r="B158" s="148">
        <v>155</v>
      </c>
      <c r="C158" s="149">
        <f>VLOOKUP(D158,'[5]Codes &amp; Descr. SFICS25'!B:C,2,FALSE)</f>
        <v>28</v>
      </c>
      <c r="D158" s="150" t="s">
        <v>3616</v>
      </c>
      <c r="E158" s="150">
        <f>+VLOOKUP(F158,'[5]Codes &amp; Descr. SFICS25'!D:E,2,FALSE)</f>
        <v>2808</v>
      </c>
      <c r="F158" s="150" t="s">
        <v>3812</v>
      </c>
      <c r="G158" s="150">
        <f>VLOOKUP(H158,'[5]Codes &amp; Descr. SFICS25'!F:H,2,FALSE)</f>
        <v>280801</v>
      </c>
      <c r="H158" s="150" t="s">
        <v>3813</v>
      </c>
      <c r="I158" s="150" t="s">
        <v>3814</v>
      </c>
      <c r="J158" s="150" t="s">
        <v>3815</v>
      </c>
      <c r="K158" s="158" t="s">
        <v>3816</v>
      </c>
      <c r="L158" s="151" t="s">
        <v>1147</v>
      </c>
      <c r="M158" s="152" t="s">
        <v>1402</v>
      </c>
      <c r="N158" s="152" t="s">
        <v>3817</v>
      </c>
      <c r="O158" s="152" t="s">
        <v>3818</v>
      </c>
      <c r="P158" s="31" t="s">
        <v>3819</v>
      </c>
      <c r="Q158" s="31" t="s">
        <v>3820</v>
      </c>
      <c r="R158" s="152" t="s">
        <v>2738</v>
      </c>
      <c r="S158" s="152" t="s">
        <v>2738</v>
      </c>
      <c r="T158" s="153" t="s">
        <v>3625</v>
      </c>
      <c r="U158" s="154" t="s">
        <v>2930</v>
      </c>
      <c r="V158" s="154" t="s">
        <v>2741</v>
      </c>
      <c r="W158" s="34">
        <v>0</v>
      </c>
      <c r="X158" s="34">
        <v>0</v>
      </c>
      <c r="Y158" s="34">
        <v>0</v>
      </c>
      <c r="Z158" s="34">
        <v>0</v>
      </c>
      <c r="AA158" s="34">
        <f t="shared" si="2"/>
        <v>1</v>
      </c>
      <c r="AB158" s="34">
        <v>0</v>
      </c>
      <c r="AC158" s="163"/>
    </row>
    <row r="159" spans="1:29" ht="39.75" customHeight="1">
      <c r="A159" s="148"/>
      <c r="B159" s="148">
        <v>156</v>
      </c>
      <c r="C159" s="149">
        <f>VLOOKUP(D159,'[5]Codes &amp; Descr. SFICS25'!B:C,2,FALSE)</f>
        <v>28</v>
      </c>
      <c r="D159" s="150" t="s">
        <v>3616</v>
      </c>
      <c r="E159" s="150">
        <f>+VLOOKUP(F159,'[5]Codes &amp; Descr. SFICS25'!D:E,2,FALSE)</f>
        <v>2808</v>
      </c>
      <c r="F159" s="150" t="s">
        <v>3812</v>
      </c>
      <c r="G159" s="150">
        <f>VLOOKUP(H159,'[5]Codes &amp; Descr. SFICS25'!F:H,2,FALSE)</f>
        <v>280802</v>
      </c>
      <c r="H159" s="150" t="s">
        <v>3821</v>
      </c>
      <c r="I159" s="150" t="s">
        <v>3822</v>
      </c>
      <c r="J159" s="150" t="s">
        <v>3823</v>
      </c>
      <c r="K159" s="157" t="s">
        <v>3824</v>
      </c>
      <c r="L159" s="151" t="s">
        <v>1155</v>
      </c>
      <c r="M159" s="152" t="s">
        <v>1402</v>
      </c>
      <c r="N159" s="152" t="s">
        <v>2738</v>
      </c>
      <c r="O159" s="152" t="s">
        <v>2738</v>
      </c>
      <c r="P159" s="31" t="s">
        <v>3333</v>
      </c>
      <c r="Q159" s="31" t="s">
        <v>3825</v>
      </c>
      <c r="R159" s="152" t="s">
        <v>2738</v>
      </c>
      <c r="S159" s="152" t="s">
        <v>2738</v>
      </c>
      <c r="T159" s="153" t="s">
        <v>3625</v>
      </c>
      <c r="U159" s="34">
        <v>0</v>
      </c>
      <c r="V159" s="34">
        <v>0</v>
      </c>
      <c r="W159" s="34">
        <v>0</v>
      </c>
      <c r="X159" s="154" t="s">
        <v>2930</v>
      </c>
      <c r="Y159" s="34">
        <v>0</v>
      </c>
      <c r="Z159" s="34">
        <v>0</v>
      </c>
      <c r="AA159" s="34">
        <f t="shared" si="2"/>
        <v>1</v>
      </c>
      <c r="AB159" s="34">
        <v>0</v>
      </c>
      <c r="AC159" s="159"/>
    </row>
    <row r="160" spans="1:29" ht="39.75" customHeight="1">
      <c r="A160" s="148"/>
      <c r="B160" s="148">
        <v>157</v>
      </c>
      <c r="C160" s="149">
        <f>VLOOKUP(D160,'[5]Codes &amp; Descr. SFICS25'!B:C,2,FALSE)</f>
        <v>28</v>
      </c>
      <c r="D160" s="150" t="s">
        <v>3616</v>
      </c>
      <c r="E160" s="150">
        <f>+VLOOKUP(F160,'[5]Codes &amp; Descr. SFICS25'!D:E,2,FALSE)</f>
        <v>2809</v>
      </c>
      <c r="F160" s="150" t="s">
        <v>3826</v>
      </c>
      <c r="G160" s="150">
        <f>VLOOKUP(H160,'[5]Codes &amp; Descr. SFICS25'!F:H,2,FALSE)</f>
        <v>280901</v>
      </c>
      <c r="H160" s="150" t="s">
        <v>3827</v>
      </c>
      <c r="I160" s="150" t="s">
        <v>3828</v>
      </c>
      <c r="J160" s="150" t="s">
        <v>3829</v>
      </c>
      <c r="K160" s="157" t="s">
        <v>3830</v>
      </c>
      <c r="L160" s="151" t="s">
        <v>1161</v>
      </c>
      <c r="M160" s="152" t="s">
        <v>1402</v>
      </c>
      <c r="N160" s="152" t="s">
        <v>2738</v>
      </c>
      <c r="O160" s="152" t="s">
        <v>2738</v>
      </c>
      <c r="P160" s="31" t="s">
        <v>3311</v>
      </c>
      <c r="Q160" s="31" t="s">
        <v>3831</v>
      </c>
      <c r="R160" s="152" t="s">
        <v>2738</v>
      </c>
      <c r="S160" s="152" t="s">
        <v>2738</v>
      </c>
      <c r="T160" s="153" t="s">
        <v>3625</v>
      </c>
      <c r="U160" s="34">
        <v>0</v>
      </c>
      <c r="V160" s="34">
        <v>0</v>
      </c>
      <c r="W160" s="34">
        <v>0</v>
      </c>
      <c r="X160" s="34">
        <v>0</v>
      </c>
      <c r="Y160" s="154" t="s">
        <v>2741</v>
      </c>
      <c r="Z160" s="34">
        <v>0</v>
      </c>
      <c r="AA160" s="34">
        <f t="shared" si="2"/>
        <v>1</v>
      </c>
      <c r="AB160" s="34">
        <v>0</v>
      </c>
      <c r="AC160" s="163"/>
    </row>
    <row r="161" spans="1:29" ht="39.75" customHeight="1">
      <c r="A161" s="148"/>
      <c r="B161" s="148">
        <v>158</v>
      </c>
      <c r="C161" s="149">
        <f>VLOOKUP(D161,'[5]Codes &amp; Descr. SFICS25'!B:C,2,FALSE)</f>
        <v>28</v>
      </c>
      <c r="D161" s="150" t="s">
        <v>3616</v>
      </c>
      <c r="E161" s="150">
        <f>+VLOOKUP(F161,'[5]Codes &amp; Descr. SFICS25'!D:E,2,FALSE)</f>
        <v>2809</v>
      </c>
      <c r="F161" s="150" t="s">
        <v>3826</v>
      </c>
      <c r="G161" s="150">
        <f>VLOOKUP(H161,'[5]Codes &amp; Descr. SFICS25'!F:H,2,FALSE)</f>
        <v>280902</v>
      </c>
      <c r="H161" s="150" t="s">
        <v>3832</v>
      </c>
      <c r="I161" s="150" t="s">
        <v>3833</v>
      </c>
      <c r="J161" s="150" t="s">
        <v>3834</v>
      </c>
      <c r="K161" s="158" t="s">
        <v>3835</v>
      </c>
      <c r="L161" s="151" t="s">
        <v>1168</v>
      </c>
      <c r="M161" s="152" t="s">
        <v>1402</v>
      </c>
      <c r="N161" s="152" t="s">
        <v>2738</v>
      </c>
      <c r="O161" s="152" t="s">
        <v>2738</v>
      </c>
      <c r="P161" s="31" t="s">
        <v>3311</v>
      </c>
      <c r="Q161" s="31" t="s">
        <v>3836</v>
      </c>
      <c r="R161" s="152" t="s">
        <v>2738</v>
      </c>
      <c r="S161" s="152" t="s">
        <v>2738</v>
      </c>
      <c r="T161" s="153" t="s">
        <v>3625</v>
      </c>
      <c r="U161" s="34">
        <v>0</v>
      </c>
      <c r="V161" s="34">
        <v>0</v>
      </c>
      <c r="W161" s="34">
        <v>0</v>
      </c>
      <c r="X161" s="34">
        <v>0</v>
      </c>
      <c r="Y161" s="154" t="s">
        <v>2741</v>
      </c>
      <c r="Z161" s="34">
        <v>0</v>
      </c>
      <c r="AA161" s="34">
        <f t="shared" si="2"/>
        <v>1</v>
      </c>
      <c r="AB161" s="34">
        <v>0</v>
      </c>
      <c r="AC161" s="163"/>
    </row>
    <row r="162" spans="1:29" ht="39.75" customHeight="1">
      <c r="A162" s="148"/>
      <c r="B162" s="148">
        <v>159</v>
      </c>
      <c r="C162" s="149">
        <f>VLOOKUP(D162,'[5]Codes &amp; Descr. SFICS25'!B:C,2,FALSE)</f>
        <v>28</v>
      </c>
      <c r="D162" s="150" t="s">
        <v>3616</v>
      </c>
      <c r="E162" s="150">
        <f>+VLOOKUP(F162,'[5]Codes &amp; Descr. SFICS25'!D:E,2,FALSE)</f>
        <v>2804</v>
      </c>
      <c r="F162" s="150" t="s">
        <v>3837</v>
      </c>
      <c r="G162" s="150" t="str">
        <f>VLOOKUP(H162,'[5]Codes &amp; Descr. SFICS25'!F:H,2,FALSE)</f>
        <v>-</v>
      </c>
      <c r="H162" s="150" t="s">
        <v>507</v>
      </c>
      <c r="I162" s="150" t="s">
        <v>507</v>
      </c>
      <c r="J162" s="150" t="s">
        <v>3837</v>
      </c>
      <c r="K162" s="158" t="s">
        <v>3838</v>
      </c>
      <c r="L162" s="151" t="s">
        <v>1174</v>
      </c>
      <c r="M162" s="152" t="s">
        <v>1402</v>
      </c>
      <c r="N162" s="152" t="s">
        <v>3839</v>
      </c>
      <c r="O162" s="152" t="s">
        <v>3840</v>
      </c>
      <c r="P162" s="31" t="s">
        <v>2738</v>
      </c>
      <c r="Q162" s="31" t="s">
        <v>3841</v>
      </c>
      <c r="R162" s="152" t="s">
        <v>2738</v>
      </c>
      <c r="S162" s="152" t="s">
        <v>2738</v>
      </c>
      <c r="T162" s="153" t="s">
        <v>3625</v>
      </c>
      <c r="U162" s="154" t="s">
        <v>2880</v>
      </c>
      <c r="V162" s="154" t="s">
        <v>2741</v>
      </c>
      <c r="W162" s="34">
        <v>0</v>
      </c>
      <c r="X162" s="34">
        <v>0</v>
      </c>
      <c r="Y162" s="34">
        <v>0</v>
      </c>
      <c r="Z162" s="34">
        <v>0</v>
      </c>
      <c r="AA162" s="34">
        <f t="shared" si="2"/>
        <v>1</v>
      </c>
      <c r="AB162" s="34">
        <v>0</v>
      </c>
      <c r="AC162" s="163"/>
    </row>
    <row r="163" spans="1:29" ht="39.75" customHeight="1">
      <c r="A163" s="156"/>
      <c r="B163" s="148">
        <v>160</v>
      </c>
      <c r="C163" s="149">
        <f>VLOOKUP(D163,'[5]Codes &amp; Descr. SFICS25'!B:C,2,FALSE)</f>
        <v>29</v>
      </c>
      <c r="D163" s="150" t="s">
        <v>3842</v>
      </c>
      <c r="E163" s="150">
        <f>+VLOOKUP(F163,'[5]Codes &amp; Descr. SFICS25'!D:E,2,FALSE)</f>
        <v>2901</v>
      </c>
      <c r="F163" s="150" t="s">
        <v>3843</v>
      </c>
      <c r="G163" s="150" t="str">
        <f>VLOOKUP(H163,'[5]Codes &amp; Descr. SFICS25'!F:H,2,FALSE)</f>
        <v>-</v>
      </c>
      <c r="H163" s="150" t="s">
        <v>507</v>
      </c>
      <c r="I163" s="150" t="s">
        <v>507</v>
      </c>
      <c r="J163" s="150" t="s">
        <v>3844</v>
      </c>
      <c r="K163" s="158" t="s">
        <v>3845</v>
      </c>
      <c r="L163" s="151" t="s">
        <v>1181</v>
      </c>
      <c r="M163" s="152" t="s">
        <v>1402</v>
      </c>
      <c r="N163" s="152" t="s">
        <v>3846</v>
      </c>
      <c r="O163" s="152" t="s">
        <v>3847</v>
      </c>
      <c r="P163" s="193" t="s">
        <v>3848</v>
      </c>
      <c r="Q163" s="31" t="s">
        <v>3849</v>
      </c>
      <c r="R163" s="152" t="s">
        <v>2738</v>
      </c>
      <c r="S163" s="152" t="s">
        <v>2738</v>
      </c>
      <c r="T163" s="153" t="s">
        <v>507</v>
      </c>
      <c r="U163" s="34">
        <f>IFERROR(VLOOKUP($L163,[2]Adaptation!A:C,2,FALSE),0)</f>
        <v>0</v>
      </c>
      <c r="V163" s="34">
        <f>IFERROR(VLOOKUP($L163,[2]Adaptation!B:D,2,FALSE),0)</f>
        <v>0</v>
      </c>
      <c r="W163" s="34">
        <f>+IFERROR(VLOOKUP($L163,[2]Water!B:D,2,0),0)</f>
        <v>0</v>
      </c>
      <c r="X163" s="34">
        <f>IFERROR(VLOOKUP($L163,'[2]Circ. Economy'!B:D,2,FALSE),0)</f>
        <v>0</v>
      </c>
      <c r="Y163" s="34">
        <f>IFERROR(VLOOKUP($L163,[2]Pollution!B:D,2,FALSE),0)</f>
        <v>0</v>
      </c>
      <c r="Z163" s="154" t="s">
        <v>2741</v>
      </c>
      <c r="AA163" s="34">
        <f t="shared" si="2"/>
        <v>1</v>
      </c>
      <c r="AB163" s="34">
        <v>0</v>
      </c>
      <c r="AC163" s="159"/>
    </row>
    <row r="164" spans="1:29" ht="39.75" customHeight="1">
      <c r="A164" s="148"/>
      <c r="B164" s="148">
        <v>161</v>
      </c>
      <c r="C164" s="149">
        <f>VLOOKUP(D164,'[5]Codes &amp; Descr. SFICS25'!B:C,2,FALSE)</f>
        <v>30</v>
      </c>
      <c r="D164" s="150" t="s">
        <v>3850</v>
      </c>
      <c r="E164" s="150">
        <f>+VLOOKUP(F164,'[5]Codes &amp; Descr. SFICS25'!D:E,2,FALSE)</f>
        <v>3002</v>
      </c>
      <c r="F164" s="150" t="s">
        <v>3851</v>
      </c>
      <c r="G164" s="150">
        <f>VLOOKUP(H164,'[5]Codes &amp; Descr. SFICS25'!F:H,2,FALSE)</f>
        <v>300201</v>
      </c>
      <c r="H164" s="150" t="s">
        <v>3852</v>
      </c>
      <c r="I164" s="150" t="s">
        <v>3853</v>
      </c>
      <c r="J164" s="150" t="s">
        <v>3854</v>
      </c>
      <c r="K164" s="157" t="s">
        <v>3855</v>
      </c>
      <c r="L164" s="151" t="s">
        <v>1191</v>
      </c>
      <c r="M164" s="152" t="s">
        <v>1402</v>
      </c>
      <c r="N164" s="152" t="s">
        <v>3856</v>
      </c>
      <c r="O164" s="152" t="s">
        <v>3857</v>
      </c>
      <c r="P164" s="31" t="s">
        <v>3858</v>
      </c>
      <c r="Q164" s="31" t="s">
        <v>3859</v>
      </c>
      <c r="R164" s="152" t="s">
        <v>2738</v>
      </c>
      <c r="S164" s="152" t="s">
        <v>2738</v>
      </c>
      <c r="T164" s="153" t="s">
        <v>3860</v>
      </c>
      <c r="U164" s="154" t="s">
        <v>2880</v>
      </c>
      <c r="V164" s="34">
        <f>IFERROR(VLOOKUP($L164,[2]Adaptation!B:D,2,FALSE),0)</f>
        <v>0</v>
      </c>
      <c r="W164" s="34">
        <v>0</v>
      </c>
      <c r="X164" s="34">
        <v>0</v>
      </c>
      <c r="Y164" s="34">
        <v>0</v>
      </c>
      <c r="Z164" s="34">
        <v>0</v>
      </c>
      <c r="AA164" s="34">
        <f t="shared" si="2"/>
        <v>1</v>
      </c>
      <c r="AB164" s="34">
        <v>0</v>
      </c>
      <c r="AC164" s="163"/>
    </row>
    <row r="165" spans="1:29" ht="39.75" customHeight="1">
      <c r="A165" s="148"/>
      <c r="B165" s="148">
        <v>162</v>
      </c>
      <c r="C165" s="149">
        <f>VLOOKUP(D165,'[5]Codes &amp; Descr. SFICS25'!B:C,2,FALSE)</f>
        <v>30</v>
      </c>
      <c r="D165" s="150" t="s">
        <v>3850</v>
      </c>
      <c r="E165" s="150">
        <f>+VLOOKUP(F165,'[5]Codes &amp; Descr. SFICS25'!D:E,2,FALSE)</f>
        <v>3002</v>
      </c>
      <c r="F165" s="150" t="s">
        <v>3851</v>
      </c>
      <c r="G165" s="150">
        <f>VLOOKUP(H165,'[5]Codes &amp; Descr. SFICS25'!F:H,2,FALSE)</f>
        <v>300202</v>
      </c>
      <c r="H165" s="150" t="s">
        <v>3861</v>
      </c>
      <c r="I165" s="150" t="s">
        <v>3862</v>
      </c>
      <c r="J165" s="150" t="s">
        <v>3863</v>
      </c>
      <c r="K165" s="149" t="s">
        <v>3864</v>
      </c>
      <c r="L165" s="151" t="s">
        <v>1200</v>
      </c>
      <c r="M165" s="152" t="s">
        <v>1402</v>
      </c>
      <c r="N165" s="152" t="s">
        <v>3865</v>
      </c>
      <c r="O165" s="152" t="s">
        <v>3866</v>
      </c>
      <c r="P165" s="31" t="s">
        <v>3867</v>
      </c>
      <c r="Q165" s="31" t="s">
        <v>3868</v>
      </c>
      <c r="R165" s="152" t="s">
        <v>2738</v>
      </c>
      <c r="S165" s="152" t="s">
        <v>2738</v>
      </c>
      <c r="T165" s="153" t="s">
        <v>3860</v>
      </c>
      <c r="U165" s="34">
        <f>IFERROR(VLOOKUP($L165,[2]Adaptation!A:C,2,FALSE),0)</f>
        <v>0</v>
      </c>
      <c r="V165" s="154" t="s">
        <v>2880</v>
      </c>
      <c r="W165" s="34">
        <v>0</v>
      </c>
      <c r="X165" s="34">
        <v>0</v>
      </c>
      <c r="Y165" s="34">
        <v>0</v>
      </c>
      <c r="Z165" s="34">
        <v>0</v>
      </c>
      <c r="AA165" s="34">
        <f t="shared" si="2"/>
        <v>1</v>
      </c>
      <c r="AB165" s="34">
        <v>0</v>
      </c>
      <c r="AC165" s="163"/>
    </row>
    <row r="166" spans="1:29" ht="39.75" customHeight="1">
      <c r="A166" s="148"/>
      <c r="B166" s="148">
        <v>163</v>
      </c>
      <c r="C166" s="149">
        <f>VLOOKUP(D166,'[5]Codes &amp; Descr. SFICS25'!B:C,2,FALSE)</f>
        <v>30</v>
      </c>
      <c r="D166" s="150" t="s">
        <v>3850</v>
      </c>
      <c r="E166" s="150">
        <f>+VLOOKUP(F166,'[5]Codes &amp; Descr. SFICS25'!D:E,2,FALSE)</f>
        <v>3002</v>
      </c>
      <c r="F166" s="150" t="s">
        <v>3851</v>
      </c>
      <c r="G166" s="150">
        <f>VLOOKUP(H166,'[5]Codes &amp; Descr. SFICS25'!F:H,2,FALSE)</f>
        <v>300203</v>
      </c>
      <c r="H166" s="150" t="s">
        <v>3869</v>
      </c>
      <c r="I166" s="150" t="s">
        <v>3870</v>
      </c>
      <c r="J166" s="150" t="s">
        <v>3871</v>
      </c>
      <c r="K166" s="157" t="s">
        <v>3872</v>
      </c>
      <c r="L166" s="151" t="s">
        <v>1208</v>
      </c>
      <c r="M166" s="152" t="s">
        <v>1402</v>
      </c>
      <c r="N166" s="152" t="s">
        <v>3873</v>
      </c>
      <c r="O166" s="152" t="s">
        <v>3874</v>
      </c>
      <c r="P166" s="31" t="s">
        <v>3311</v>
      </c>
      <c r="Q166" s="31" t="s">
        <v>3875</v>
      </c>
      <c r="R166" s="152" t="s">
        <v>2738</v>
      </c>
      <c r="S166" s="152" t="s">
        <v>2738</v>
      </c>
      <c r="T166" s="153" t="s">
        <v>3860</v>
      </c>
      <c r="U166" s="34">
        <f>IFERROR(VLOOKUP($L166,[2]Adaptation!A:C,2,FALSE),0)</f>
        <v>0</v>
      </c>
      <c r="V166" s="34">
        <f>IFERROR(VLOOKUP($L166,[2]Adaptation!B:D,2,FALSE),0)</f>
        <v>0</v>
      </c>
      <c r="W166" s="154" t="s">
        <v>2880</v>
      </c>
      <c r="X166" s="34">
        <v>0</v>
      </c>
      <c r="Y166" s="34">
        <v>0</v>
      </c>
      <c r="Z166" s="34">
        <v>0</v>
      </c>
      <c r="AA166" s="34">
        <f t="shared" si="2"/>
        <v>1</v>
      </c>
      <c r="AB166" s="34">
        <v>0</v>
      </c>
      <c r="AC166" s="163"/>
    </row>
    <row r="167" spans="1:29" ht="39.75" customHeight="1">
      <c r="A167" s="148"/>
      <c r="B167" s="148">
        <v>164</v>
      </c>
      <c r="C167" s="149">
        <f>VLOOKUP(D167,'[5]Codes &amp; Descr. SFICS25'!B:C,2,FALSE)</f>
        <v>30</v>
      </c>
      <c r="D167" s="150" t="s">
        <v>3850</v>
      </c>
      <c r="E167" s="150">
        <f>+VLOOKUP(F167,'[5]Codes &amp; Descr. SFICS25'!D:E,2,FALSE)</f>
        <v>3002</v>
      </c>
      <c r="F167" s="150" t="s">
        <v>3851</v>
      </c>
      <c r="G167" s="150">
        <f>VLOOKUP(H167,'[5]Codes &amp; Descr. SFICS25'!F:H,2,FALSE)</f>
        <v>300204</v>
      </c>
      <c r="H167" s="150" t="s">
        <v>3876</v>
      </c>
      <c r="I167" s="150" t="s">
        <v>3877</v>
      </c>
      <c r="J167" s="150" t="s">
        <v>3878</v>
      </c>
      <c r="K167" s="158" t="s">
        <v>3879</v>
      </c>
      <c r="L167" s="151" t="s">
        <v>1215</v>
      </c>
      <c r="M167" s="152" t="s">
        <v>1402</v>
      </c>
      <c r="N167" s="152" t="s">
        <v>3880</v>
      </c>
      <c r="O167" s="152" t="s">
        <v>3881</v>
      </c>
      <c r="P167" s="31" t="s">
        <v>3882</v>
      </c>
      <c r="Q167" s="31" t="s">
        <v>3883</v>
      </c>
      <c r="R167" s="152" t="s">
        <v>2738</v>
      </c>
      <c r="S167" s="152" t="s">
        <v>2738</v>
      </c>
      <c r="T167" s="153" t="s">
        <v>3860</v>
      </c>
      <c r="U167" s="34">
        <f>IFERROR(VLOOKUP($L167,[2]Adaptation!A:C,2,FALSE),0)</f>
        <v>0</v>
      </c>
      <c r="V167" s="34">
        <f>IFERROR(VLOOKUP($L167,[2]Adaptation!B:D,2,FALSE),0)</f>
        <v>0</v>
      </c>
      <c r="W167" s="34">
        <v>0</v>
      </c>
      <c r="X167" s="154" t="s">
        <v>2880</v>
      </c>
      <c r="Y167" s="34">
        <v>0</v>
      </c>
      <c r="Z167" s="34">
        <v>0</v>
      </c>
      <c r="AA167" s="34">
        <f t="shared" si="2"/>
        <v>1</v>
      </c>
      <c r="AB167" s="34">
        <v>0</v>
      </c>
      <c r="AC167" s="163"/>
    </row>
    <row r="168" spans="1:29" ht="39.75" customHeight="1">
      <c r="A168" s="148"/>
      <c r="B168" s="148">
        <v>165</v>
      </c>
      <c r="C168" s="149">
        <f>VLOOKUP(D168,'[5]Codes &amp; Descr. SFICS25'!B:C,2,FALSE)</f>
        <v>30</v>
      </c>
      <c r="D168" s="150" t="s">
        <v>3850</v>
      </c>
      <c r="E168" s="150">
        <f>+VLOOKUP(F168,'[5]Codes &amp; Descr. SFICS25'!D:E,2,FALSE)</f>
        <v>3001</v>
      </c>
      <c r="F168" s="150" t="s">
        <v>3884</v>
      </c>
      <c r="G168" s="150" t="str">
        <f>VLOOKUP(H168,'[5]Codes &amp; Descr. SFICS25'!F:H,2,FALSE)</f>
        <v>-</v>
      </c>
      <c r="H168" s="150" t="s">
        <v>507</v>
      </c>
      <c r="I168" s="150" t="s">
        <v>507</v>
      </c>
      <c r="J168" s="150" t="s">
        <v>3885</v>
      </c>
      <c r="K168" s="158" t="s">
        <v>3886</v>
      </c>
      <c r="L168" s="151" t="s">
        <v>1221</v>
      </c>
      <c r="M168" s="152" t="s">
        <v>1402</v>
      </c>
      <c r="N168" s="152" t="s">
        <v>3887</v>
      </c>
      <c r="O168" s="152" t="s">
        <v>3888</v>
      </c>
      <c r="P168" s="31" t="s">
        <v>3889</v>
      </c>
      <c r="Q168" s="31" t="s">
        <v>3890</v>
      </c>
      <c r="R168" s="152" t="s">
        <v>2738</v>
      </c>
      <c r="S168" s="152" t="s">
        <v>2738</v>
      </c>
      <c r="T168" s="153" t="s">
        <v>3860</v>
      </c>
      <c r="U168" s="154" t="s">
        <v>2930</v>
      </c>
      <c r="V168" s="154" t="s">
        <v>2741</v>
      </c>
      <c r="W168" s="34">
        <v>0</v>
      </c>
      <c r="X168" s="34">
        <v>0</v>
      </c>
      <c r="Y168" s="34">
        <v>0</v>
      </c>
      <c r="Z168" s="34">
        <v>0</v>
      </c>
      <c r="AA168" s="34">
        <f t="shared" si="2"/>
        <v>1</v>
      </c>
      <c r="AB168" s="34">
        <v>0</v>
      </c>
      <c r="AC168" s="163"/>
    </row>
    <row r="169" spans="1:29" ht="39.75" customHeight="1">
      <c r="A169" s="148"/>
      <c r="B169" s="148">
        <v>166</v>
      </c>
      <c r="C169" s="149">
        <f>VLOOKUP(D169,'[5]Codes &amp; Descr. SFICS25'!B:C,2,FALSE)</f>
        <v>30</v>
      </c>
      <c r="D169" s="150" t="s">
        <v>3850</v>
      </c>
      <c r="E169" s="150">
        <f>+VLOOKUP(F169,'[5]Codes &amp; Descr. SFICS25'!D:E,2,FALSE)</f>
        <v>3003</v>
      </c>
      <c r="F169" s="150" t="s">
        <v>3891</v>
      </c>
      <c r="G169" s="150" t="str">
        <f>VLOOKUP(H169,'[5]Codes &amp; Descr. SFICS25'!F:H,2,FALSE)</f>
        <v>-</v>
      </c>
      <c r="H169" s="150" t="s">
        <v>507</v>
      </c>
      <c r="I169" s="150" t="s">
        <v>507</v>
      </c>
      <c r="J169" s="150" t="s">
        <v>3892</v>
      </c>
      <c r="K169" s="158" t="s">
        <v>3893</v>
      </c>
      <c r="L169" s="151" t="s">
        <v>1229</v>
      </c>
      <c r="M169" s="152" t="s">
        <v>1402</v>
      </c>
      <c r="N169" s="152" t="s">
        <v>3894</v>
      </c>
      <c r="O169" s="152" t="s">
        <v>3895</v>
      </c>
      <c r="P169" s="31" t="s">
        <v>3896</v>
      </c>
      <c r="Q169" s="31" t="s">
        <v>3897</v>
      </c>
      <c r="R169" s="152" t="s">
        <v>2738</v>
      </c>
      <c r="S169" s="152" t="s">
        <v>2738</v>
      </c>
      <c r="T169" s="153" t="s">
        <v>3860</v>
      </c>
      <c r="U169" s="154" t="s">
        <v>2880</v>
      </c>
      <c r="V169" s="154" t="s">
        <v>2880</v>
      </c>
      <c r="W169" s="34">
        <v>0</v>
      </c>
      <c r="X169" s="34">
        <v>0</v>
      </c>
      <c r="Y169" s="34">
        <v>0</v>
      </c>
      <c r="Z169" s="34">
        <v>0</v>
      </c>
      <c r="AA169" s="34">
        <f t="shared" si="2"/>
        <v>1</v>
      </c>
      <c r="AB169" s="34">
        <v>0</v>
      </c>
      <c r="AC169" s="163"/>
    </row>
    <row r="170" spans="1:29" ht="39.75" customHeight="1">
      <c r="A170" s="148"/>
      <c r="B170" s="148">
        <v>167</v>
      </c>
      <c r="C170" s="149">
        <f>VLOOKUP(D170,'[5]Codes &amp; Descr. SFICS25'!B:C,2,FALSE)</f>
        <v>28</v>
      </c>
      <c r="D170" s="150" t="s">
        <v>3616</v>
      </c>
      <c r="E170" s="150">
        <f>+VLOOKUP(F170,'[5]Codes &amp; Descr. SFICS25'!D:E,2,FALSE)</f>
        <v>2810</v>
      </c>
      <c r="F170" s="150" t="s">
        <v>3898</v>
      </c>
      <c r="G170" s="150">
        <f>VLOOKUP(H170,'[5]Codes &amp; Descr. SFICS25'!F:H,2,FALSE)</f>
        <v>281001</v>
      </c>
      <c r="H170" s="150" t="s">
        <v>3899</v>
      </c>
      <c r="I170" s="150" t="s">
        <v>3900</v>
      </c>
      <c r="J170" s="150" t="s">
        <v>3901</v>
      </c>
      <c r="K170" s="157" t="s">
        <v>3902</v>
      </c>
      <c r="L170" s="160" t="s">
        <v>1238</v>
      </c>
      <c r="M170" s="152" t="s">
        <v>1402</v>
      </c>
      <c r="N170" s="152" t="s">
        <v>3903</v>
      </c>
      <c r="O170" s="152" t="s">
        <v>3904</v>
      </c>
      <c r="P170" s="31" t="s">
        <v>3905</v>
      </c>
      <c r="Q170" s="31" t="s">
        <v>3906</v>
      </c>
      <c r="R170" s="152" t="s">
        <v>2738</v>
      </c>
      <c r="S170" s="152" t="s">
        <v>2738</v>
      </c>
      <c r="T170" s="153" t="s">
        <v>3625</v>
      </c>
      <c r="U170" s="154" t="s">
        <v>2880</v>
      </c>
      <c r="V170" s="34">
        <v>0</v>
      </c>
      <c r="W170" s="34">
        <v>0</v>
      </c>
      <c r="X170" s="34">
        <v>0</v>
      </c>
      <c r="Y170" s="34">
        <v>0</v>
      </c>
      <c r="Z170" s="34">
        <v>0</v>
      </c>
      <c r="AA170" s="34">
        <f t="shared" si="2"/>
        <v>1</v>
      </c>
      <c r="AB170" s="34">
        <v>0</v>
      </c>
      <c r="AC170" s="163"/>
    </row>
    <row r="171" spans="1:29" ht="39.75" customHeight="1">
      <c r="A171" s="148"/>
      <c r="B171" s="148">
        <v>168</v>
      </c>
      <c r="C171" s="149">
        <f>VLOOKUP(D171,'[5]Codes &amp; Descr. SFICS25'!B:C,2,FALSE)</f>
        <v>24</v>
      </c>
      <c r="D171" s="150" t="s">
        <v>3907</v>
      </c>
      <c r="E171" s="150">
        <v>2401</v>
      </c>
      <c r="F171" s="150" t="s">
        <v>3908</v>
      </c>
      <c r="G171" s="150" t="str">
        <f>VLOOKUP(H171,'[5]Codes &amp; Descr. SFICS25'!F:H,2,FALSE)</f>
        <v>-</v>
      </c>
      <c r="H171" s="150" t="s">
        <v>507</v>
      </c>
      <c r="I171" s="150" t="s">
        <v>507</v>
      </c>
      <c r="J171" s="150" t="s">
        <v>3909</v>
      </c>
      <c r="K171" s="149" t="s">
        <v>3910</v>
      </c>
      <c r="L171" s="151" t="s">
        <v>1246</v>
      </c>
      <c r="M171" s="152" t="s">
        <v>1402</v>
      </c>
      <c r="N171" s="152" t="s">
        <v>3911</v>
      </c>
      <c r="O171" s="152" t="s">
        <v>3912</v>
      </c>
      <c r="P171" s="31" t="s">
        <v>2738</v>
      </c>
      <c r="Q171" s="31" t="s">
        <v>3913</v>
      </c>
      <c r="R171" s="152" t="s">
        <v>2738</v>
      </c>
      <c r="S171" s="152" t="s">
        <v>2738</v>
      </c>
      <c r="T171" s="153" t="s">
        <v>507</v>
      </c>
      <c r="U171" s="154" t="s">
        <v>2880</v>
      </c>
      <c r="V171" s="34">
        <v>0</v>
      </c>
      <c r="W171" s="34">
        <v>0</v>
      </c>
      <c r="X171" s="34">
        <v>0</v>
      </c>
      <c r="Y171" s="34">
        <v>0</v>
      </c>
      <c r="Z171" s="34">
        <v>0</v>
      </c>
      <c r="AA171" s="34">
        <f t="shared" si="2"/>
        <v>1</v>
      </c>
      <c r="AB171" s="34">
        <v>0</v>
      </c>
      <c r="AC171" s="163"/>
    </row>
    <row r="172" spans="1:29" ht="39.75" customHeight="1">
      <c r="A172" s="148"/>
      <c r="B172" s="148">
        <v>169</v>
      </c>
      <c r="C172" s="149">
        <f>VLOOKUP(D172,'[5]Codes &amp; Descr. SFICS25'!B:C,2,FALSE)</f>
        <v>25</v>
      </c>
      <c r="D172" s="150" t="s">
        <v>3914</v>
      </c>
      <c r="E172" s="150">
        <v>2501</v>
      </c>
      <c r="F172" s="150" t="s">
        <v>3915</v>
      </c>
      <c r="G172" s="150" t="str">
        <f>VLOOKUP(H172,'[5]Codes &amp; Descr. SFICS25'!F:H,2,FALSE)</f>
        <v>-</v>
      </c>
      <c r="H172" s="150" t="s">
        <v>507</v>
      </c>
      <c r="I172" s="150" t="s">
        <v>507</v>
      </c>
      <c r="J172" s="150" t="s">
        <v>3916</v>
      </c>
      <c r="K172" s="157" t="s">
        <v>3917</v>
      </c>
      <c r="L172" s="151" t="s">
        <v>1254</v>
      </c>
      <c r="M172" s="152" t="s">
        <v>1402</v>
      </c>
      <c r="N172" s="152" t="s">
        <v>3918</v>
      </c>
      <c r="O172" s="152" t="s">
        <v>3919</v>
      </c>
      <c r="P172" s="31" t="s">
        <v>3920</v>
      </c>
      <c r="Q172" s="31" t="s">
        <v>3921</v>
      </c>
      <c r="R172" s="152" t="s">
        <v>2738</v>
      </c>
      <c r="S172" s="152" t="s">
        <v>2738</v>
      </c>
      <c r="T172" s="153" t="s">
        <v>507</v>
      </c>
      <c r="U172" s="34">
        <v>0</v>
      </c>
      <c r="V172" s="34">
        <v>0</v>
      </c>
      <c r="W172" s="154" t="s">
        <v>2741</v>
      </c>
      <c r="X172" s="34">
        <v>0</v>
      </c>
      <c r="Y172" s="34">
        <v>0</v>
      </c>
      <c r="Z172" s="34">
        <v>0</v>
      </c>
      <c r="AA172" s="34">
        <f t="shared" si="2"/>
        <v>1</v>
      </c>
      <c r="AB172" s="34">
        <v>0</v>
      </c>
      <c r="AC172" s="163"/>
    </row>
    <row r="173" spans="1:29" ht="39.75" customHeight="1">
      <c r="A173" s="156"/>
      <c r="B173" s="148">
        <v>170</v>
      </c>
      <c r="C173" s="149">
        <f>VLOOKUP(D173,'[5]Codes &amp; Descr. SFICS25'!B:C,2,FALSE)</f>
        <v>25</v>
      </c>
      <c r="D173" s="150" t="s">
        <v>3914</v>
      </c>
      <c r="E173" s="150">
        <v>2502</v>
      </c>
      <c r="F173" s="150" t="s">
        <v>3922</v>
      </c>
      <c r="G173" s="150" t="str">
        <f>VLOOKUP(H173,'[5]Codes &amp; Descr. SFICS25'!F:H,2,FALSE)</f>
        <v>-</v>
      </c>
      <c r="H173" s="150" t="s">
        <v>507</v>
      </c>
      <c r="I173" s="150" t="s">
        <v>507</v>
      </c>
      <c r="J173" s="150" t="s">
        <v>3922</v>
      </c>
      <c r="K173" s="155" t="s">
        <v>3923</v>
      </c>
      <c r="L173" s="151" t="s">
        <v>1261</v>
      </c>
      <c r="M173" s="152" t="s">
        <v>1402</v>
      </c>
      <c r="N173" s="152" t="s">
        <v>2738</v>
      </c>
      <c r="O173" s="152" t="s">
        <v>3924</v>
      </c>
      <c r="P173" s="198" t="s">
        <v>3925</v>
      </c>
      <c r="Q173" s="31" t="s">
        <v>3926</v>
      </c>
      <c r="R173" s="152" t="s">
        <v>2738</v>
      </c>
      <c r="S173" s="152" t="s">
        <v>2738</v>
      </c>
      <c r="T173" s="153" t="s">
        <v>507</v>
      </c>
      <c r="U173" s="34">
        <v>0</v>
      </c>
      <c r="V173" s="154" t="s">
        <v>2880</v>
      </c>
      <c r="W173" s="34">
        <v>0</v>
      </c>
      <c r="X173" s="33">
        <v>0</v>
      </c>
      <c r="Y173" s="34">
        <v>0</v>
      </c>
      <c r="Z173" s="34">
        <v>0</v>
      </c>
      <c r="AA173" s="45">
        <f t="shared" si="2"/>
        <v>1</v>
      </c>
      <c r="AB173" s="34">
        <v>0</v>
      </c>
      <c r="AC173" s="163"/>
    </row>
    <row r="174" spans="1:29" ht="39.75" customHeight="1">
      <c r="A174" s="148"/>
      <c r="B174" s="148">
        <v>171</v>
      </c>
      <c r="C174" s="149">
        <f>VLOOKUP(D174,'[5]Codes &amp; Descr. SFICS25'!B:C,2,FALSE)</f>
        <v>25</v>
      </c>
      <c r="D174" s="150" t="s">
        <v>3914</v>
      </c>
      <c r="E174" s="150">
        <v>2503</v>
      </c>
      <c r="F174" s="150" t="s">
        <v>3927</v>
      </c>
      <c r="G174" s="150" t="str">
        <f>VLOOKUP(H174,'[5]Codes &amp; Descr. SFICS25'!F:H,2,FALSE)</f>
        <v>-</v>
      </c>
      <c r="H174" s="150" t="s">
        <v>507</v>
      </c>
      <c r="I174" s="150" t="s">
        <v>507</v>
      </c>
      <c r="J174" s="150" t="s">
        <v>3928</v>
      </c>
      <c r="K174" s="158" t="s">
        <v>3929</v>
      </c>
      <c r="L174" s="151" t="s">
        <v>1268</v>
      </c>
      <c r="M174" s="152" t="s">
        <v>1402</v>
      </c>
      <c r="N174" s="152" t="s">
        <v>3930</v>
      </c>
      <c r="O174" s="152" t="s">
        <v>3931</v>
      </c>
      <c r="P174" s="31" t="s">
        <v>2738</v>
      </c>
      <c r="Q174" s="31" t="s">
        <v>3932</v>
      </c>
      <c r="R174" s="152" t="s">
        <v>2738</v>
      </c>
      <c r="S174" s="152" t="s">
        <v>2738</v>
      </c>
      <c r="T174" s="153" t="s">
        <v>507</v>
      </c>
      <c r="U174" s="34">
        <v>0</v>
      </c>
      <c r="V174" s="154" t="s">
        <v>2880</v>
      </c>
      <c r="W174" s="34">
        <v>0</v>
      </c>
      <c r="X174" s="33">
        <v>0</v>
      </c>
      <c r="Y174" s="34">
        <v>0</v>
      </c>
      <c r="Z174" s="34">
        <v>0</v>
      </c>
      <c r="AA174" s="34">
        <f t="shared" si="2"/>
        <v>1</v>
      </c>
      <c r="AB174" s="34">
        <v>0</v>
      </c>
      <c r="AC174" s="163"/>
    </row>
    <row r="175" spans="1:29" ht="39.75" customHeight="1">
      <c r="A175" s="148"/>
      <c r="B175" s="148">
        <v>172</v>
      </c>
      <c r="C175" s="149">
        <f>VLOOKUP(D175,'[5]Codes &amp; Descr. SFICS25'!B:C,2,FALSE)</f>
        <v>31</v>
      </c>
      <c r="D175" s="150" t="s">
        <v>3933</v>
      </c>
      <c r="E175" s="150">
        <f>+VLOOKUP(F175,'[5]Codes &amp; Descr. SFICS25'!D:E,2,FALSE)</f>
        <v>3102</v>
      </c>
      <c r="F175" s="150" t="s">
        <v>3934</v>
      </c>
      <c r="G175" s="150" t="str">
        <f>VLOOKUP(H175,'[5]Codes &amp; Descr. SFICS25'!F:H,2,FALSE)</f>
        <v>-</v>
      </c>
      <c r="H175" s="150" t="s">
        <v>507</v>
      </c>
      <c r="I175" s="150" t="s">
        <v>507</v>
      </c>
      <c r="J175" s="150" t="s">
        <v>3935</v>
      </c>
      <c r="K175" s="158" t="s">
        <v>3936</v>
      </c>
      <c r="L175" s="151" t="s">
        <v>1273</v>
      </c>
      <c r="M175" s="152" t="s">
        <v>1402</v>
      </c>
      <c r="N175" s="152" t="s">
        <v>2738</v>
      </c>
      <c r="O175" s="152" t="s">
        <v>3937</v>
      </c>
      <c r="P175" s="31" t="s">
        <v>2738</v>
      </c>
      <c r="Q175" s="31" t="s">
        <v>3938</v>
      </c>
      <c r="R175" s="152" t="s">
        <v>2738</v>
      </c>
      <c r="S175" s="152" t="s">
        <v>2738</v>
      </c>
      <c r="T175" s="153" t="s">
        <v>3939</v>
      </c>
      <c r="U175" s="34">
        <v>0</v>
      </c>
      <c r="V175" s="154" t="s">
        <v>2880</v>
      </c>
      <c r="W175" s="34">
        <v>0</v>
      </c>
      <c r="X175" s="34">
        <v>0</v>
      </c>
      <c r="Y175" s="34">
        <v>0</v>
      </c>
      <c r="Z175" s="34">
        <v>0</v>
      </c>
      <c r="AA175" s="34">
        <f t="shared" si="2"/>
        <v>1</v>
      </c>
      <c r="AB175" s="34">
        <v>0</v>
      </c>
      <c r="AC175" s="159"/>
    </row>
    <row r="176" spans="1:29" ht="39.75" customHeight="1">
      <c r="A176" s="148"/>
      <c r="B176" s="148">
        <v>173</v>
      </c>
      <c r="C176" s="149">
        <f>VLOOKUP(D176,'[5]Codes &amp; Descr. SFICS25'!B:C,2,FALSE)</f>
        <v>31</v>
      </c>
      <c r="D176" s="150" t="s">
        <v>3933</v>
      </c>
      <c r="E176" s="150">
        <f>+VLOOKUP(F176,'[5]Codes &amp; Descr. SFICS25'!D:E,2,FALSE)</f>
        <v>3103</v>
      </c>
      <c r="F176" s="150" t="s">
        <v>3940</v>
      </c>
      <c r="G176" s="150" t="str">
        <f>VLOOKUP(H176,'[5]Codes &amp; Descr. SFICS25'!F:H,2,FALSE)</f>
        <v>-</v>
      </c>
      <c r="H176" s="150" t="s">
        <v>507</v>
      </c>
      <c r="I176" s="150" t="s">
        <v>507</v>
      </c>
      <c r="J176" s="150" t="s">
        <v>3941</v>
      </c>
      <c r="K176" s="157" t="s">
        <v>3942</v>
      </c>
      <c r="L176" s="151" t="s">
        <v>1279</v>
      </c>
      <c r="M176" s="152" t="s">
        <v>1402</v>
      </c>
      <c r="N176" s="152" t="s">
        <v>3943</v>
      </c>
      <c r="O176" s="152" t="s">
        <v>3944</v>
      </c>
      <c r="P176" s="31" t="s">
        <v>2738</v>
      </c>
      <c r="Q176" s="31" t="s">
        <v>3945</v>
      </c>
      <c r="R176" s="152" t="s">
        <v>2738</v>
      </c>
      <c r="S176" s="152" t="s">
        <v>2738</v>
      </c>
      <c r="T176" s="153" t="s">
        <v>3939</v>
      </c>
      <c r="U176" s="34">
        <v>0</v>
      </c>
      <c r="V176" s="154" t="s">
        <v>2880</v>
      </c>
      <c r="W176" s="34">
        <v>0</v>
      </c>
      <c r="X176" s="34">
        <v>0</v>
      </c>
      <c r="Y176" s="34">
        <v>0</v>
      </c>
      <c r="Z176" s="34">
        <v>0</v>
      </c>
      <c r="AA176" s="34">
        <f t="shared" si="2"/>
        <v>1</v>
      </c>
      <c r="AB176" s="34">
        <v>0</v>
      </c>
      <c r="AC176" s="159"/>
    </row>
    <row r="177" spans="1:29" ht="39.75" customHeight="1">
      <c r="A177" s="148"/>
      <c r="B177" s="148">
        <v>174</v>
      </c>
      <c r="C177" s="149">
        <f>VLOOKUP(D177,'[5]Codes &amp; Descr. SFICS25'!B:C,2,FALSE)</f>
        <v>31</v>
      </c>
      <c r="D177" s="150" t="s">
        <v>3933</v>
      </c>
      <c r="E177" s="150">
        <f>+VLOOKUP(F177,'[5]Codes &amp; Descr. SFICS25'!D:E,2,FALSE)</f>
        <v>3101</v>
      </c>
      <c r="F177" s="150" t="s">
        <v>3946</v>
      </c>
      <c r="G177" s="150" t="str">
        <f>VLOOKUP(H177,'[5]Codes &amp; Descr. SFICS25'!F:H,2,FALSE)</f>
        <v>-</v>
      </c>
      <c r="H177" s="150" t="s">
        <v>507</v>
      </c>
      <c r="I177" s="150" t="s">
        <v>507</v>
      </c>
      <c r="J177" s="150" t="s">
        <v>3946</v>
      </c>
      <c r="K177" s="155" t="s">
        <v>3947</v>
      </c>
      <c r="L177" s="151" t="s">
        <v>281</v>
      </c>
      <c r="M177" s="152" t="s">
        <v>1402</v>
      </c>
      <c r="N177" s="152" t="s">
        <v>3948</v>
      </c>
      <c r="O177" s="152" t="s">
        <v>3949</v>
      </c>
      <c r="P177" s="31" t="s">
        <v>3950</v>
      </c>
      <c r="Q177" s="31" t="s">
        <v>2738</v>
      </c>
      <c r="R177" s="152" t="s">
        <v>2738</v>
      </c>
      <c r="S177" s="152" t="s">
        <v>2738</v>
      </c>
      <c r="T177" s="153" t="s">
        <v>3939</v>
      </c>
      <c r="U177" s="34">
        <v>0</v>
      </c>
      <c r="V177" s="34">
        <v>0</v>
      </c>
      <c r="W177" s="34">
        <v>0</v>
      </c>
      <c r="X177" s="34">
        <v>0</v>
      </c>
      <c r="Y177" s="34">
        <v>0</v>
      </c>
      <c r="Z177" s="34">
        <v>0</v>
      </c>
      <c r="AA177" s="34">
        <f t="shared" si="2"/>
        <v>1</v>
      </c>
      <c r="AB177" s="34">
        <v>0</v>
      </c>
      <c r="AC177" s="163"/>
    </row>
    <row r="178" spans="1:29" ht="39.75" customHeight="1">
      <c r="A178" s="148"/>
      <c r="B178" s="148">
        <v>175</v>
      </c>
      <c r="C178" s="149">
        <f>VLOOKUP(D178,'[5]Codes &amp; Descr. SFICS25'!B:C,2,FALSE)</f>
        <v>31</v>
      </c>
      <c r="D178" s="150" t="s">
        <v>3933</v>
      </c>
      <c r="E178" s="150">
        <f>+VLOOKUP(F178,'[5]Codes &amp; Descr. SFICS25'!D:E,2,FALSE)</f>
        <v>3104</v>
      </c>
      <c r="F178" s="150" t="s">
        <v>3951</v>
      </c>
      <c r="G178" s="150" t="str">
        <f>VLOOKUP(H178,'[5]Codes &amp; Descr. SFICS25'!F:H,2,FALSE)</f>
        <v>-</v>
      </c>
      <c r="H178" s="150" t="s">
        <v>507</v>
      </c>
      <c r="I178" s="150" t="s">
        <v>507</v>
      </c>
      <c r="J178" s="150" t="s">
        <v>3951</v>
      </c>
      <c r="K178" s="155" t="s">
        <v>3952</v>
      </c>
      <c r="L178" s="151" t="s">
        <v>281</v>
      </c>
      <c r="M178" s="152" t="s">
        <v>1402</v>
      </c>
      <c r="N178" s="152" t="s">
        <v>3953</v>
      </c>
      <c r="O178" s="152" t="s">
        <v>3954</v>
      </c>
      <c r="P178" s="31" t="s">
        <v>3955</v>
      </c>
      <c r="Q178" s="31" t="s">
        <v>3956</v>
      </c>
      <c r="R178" s="152" t="s">
        <v>2738</v>
      </c>
      <c r="S178" s="152" t="s">
        <v>2738</v>
      </c>
      <c r="T178" s="153" t="s">
        <v>3939</v>
      </c>
      <c r="U178" s="34">
        <v>0</v>
      </c>
      <c r="V178" s="154" t="s">
        <v>2741</v>
      </c>
      <c r="W178" s="34">
        <v>0</v>
      </c>
      <c r="X178" s="34">
        <v>0</v>
      </c>
      <c r="Y178" s="34">
        <v>0</v>
      </c>
      <c r="Z178" s="34">
        <v>0</v>
      </c>
      <c r="AA178" s="34">
        <f>IF(P178="Not applicable",0,1)</f>
        <v>1</v>
      </c>
      <c r="AB178" s="34">
        <v>0</v>
      </c>
      <c r="AC178" s="163"/>
    </row>
    <row r="179" spans="1:29" ht="39.75" customHeight="1">
      <c r="A179" s="156"/>
      <c r="B179" s="148">
        <v>176</v>
      </c>
      <c r="C179" s="170">
        <f>VLOOKUP(D179,'[5]Codes &amp; Descr. SFICS25'!B:C,2,FALSE)</f>
        <v>31</v>
      </c>
      <c r="D179" s="170" t="s">
        <v>3933</v>
      </c>
      <c r="E179" s="170">
        <v>3105</v>
      </c>
      <c r="F179" s="171" t="s">
        <v>3957</v>
      </c>
      <c r="G179" s="155" t="s">
        <v>3958</v>
      </c>
      <c r="H179" s="155" t="s">
        <v>507</v>
      </c>
      <c r="I179" s="155" t="s">
        <v>507</v>
      </c>
      <c r="J179" s="172" t="s">
        <v>3957</v>
      </c>
      <c r="K179" s="155"/>
      <c r="L179" s="151"/>
      <c r="M179" s="152" t="s">
        <v>1402</v>
      </c>
      <c r="N179" s="173" t="s">
        <v>3959</v>
      </c>
      <c r="O179" s="152" t="s">
        <v>3960</v>
      </c>
      <c r="P179" s="66" t="s">
        <v>3961</v>
      </c>
      <c r="Q179" s="66" t="s">
        <v>2738</v>
      </c>
      <c r="R179" s="152" t="s">
        <v>2738</v>
      </c>
      <c r="S179" s="152" t="s">
        <v>2738</v>
      </c>
      <c r="T179" s="174" t="s">
        <v>3939</v>
      </c>
      <c r="U179" s="34">
        <v>0</v>
      </c>
      <c r="V179" s="34">
        <v>0</v>
      </c>
      <c r="W179" s="34">
        <v>0</v>
      </c>
      <c r="X179" s="34">
        <v>0</v>
      </c>
      <c r="Y179" s="34">
        <v>0</v>
      </c>
      <c r="Z179" s="34">
        <v>0</v>
      </c>
      <c r="AA179" s="69">
        <f>IF(P179="Not applicable",0,1)</f>
        <v>1</v>
      </c>
      <c r="AB179" s="34">
        <v>0</v>
      </c>
      <c r="AC179" s="163"/>
    </row>
    <row r="180" spans="1:29" ht="14.25" customHeight="1">
      <c r="A180" s="148"/>
      <c r="B180" s="148"/>
      <c r="C180" s="120"/>
      <c r="D180" s="120"/>
      <c r="E180" s="120"/>
      <c r="F180" s="120"/>
      <c r="G180" s="120"/>
      <c r="H180" s="121"/>
      <c r="I180" s="121"/>
      <c r="J180" s="121"/>
      <c r="K180" s="120"/>
      <c r="L180" s="120"/>
      <c r="M180" s="120"/>
      <c r="N180" s="120"/>
      <c r="O180" s="120"/>
      <c r="P180" s="121"/>
      <c r="Q180" s="121"/>
      <c r="R180" s="120"/>
      <c r="S180" s="120"/>
      <c r="T180" s="120"/>
      <c r="U180" s="120"/>
      <c r="V180" s="120"/>
      <c r="W180" s="120"/>
      <c r="X180" s="120"/>
      <c r="Y180" s="120"/>
      <c r="Z180" s="120"/>
      <c r="AA180" s="120"/>
      <c r="AB180" s="120"/>
      <c r="AC180" s="163"/>
    </row>
    <row r="181" spans="1:29" ht="14.25" customHeight="1">
      <c r="A181" s="175"/>
      <c r="B181" s="175">
        <v>177</v>
      </c>
      <c r="C181" s="84" t="str">
        <f>VLOOKUP(D181,'[5]Codes &amp; Descr. SFICS25'!B:C,2,FALSE)</f>
        <v>35</v>
      </c>
      <c r="D181" s="115" t="s">
        <v>3962</v>
      </c>
      <c r="E181" s="26">
        <f>+VLOOKUP(F181,'[5]Codes &amp; Descr. SFICS25'!D:E,2,FALSE)</f>
        <v>3501</v>
      </c>
      <c r="F181" s="111" t="s">
        <v>3963</v>
      </c>
      <c r="G181" s="149" t="s">
        <v>1301</v>
      </c>
      <c r="H181" s="176" t="s">
        <v>1301</v>
      </c>
      <c r="I181" s="176"/>
      <c r="J181" s="176"/>
      <c r="K181" s="177" t="s">
        <v>1301</v>
      </c>
      <c r="L181" s="177" t="s">
        <v>281</v>
      </c>
      <c r="M181" s="178" t="s">
        <v>30</v>
      </c>
      <c r="N181" s="152" t="s">
        <v>2738</v>
      </c>
      <c r="O181" s="152"/>
      <c r="P181" s="152" t="s">
        <v>2738</v>
      </c>
      <c r="Q181" s="152" t="s">
        <v>2738</v>
      </c>
      <c r="R181" s="179" t="s">
        <v>3964</v>
      </c>
      <c r="S181" s="179" t="s">
        <v>3965</v>
      </c>
      <c r="T181" s="153" t="s">
        <v>3966</v>
      </c>
      <c r="U181" s="83">
        <f>IFERROR(VLOOKUP(L181,[2]Mitigation!B:D,2,FALSE),0)</f>
        <v>0</v>
      </c>
      <c r="V181" s="83">
        <f>IFERROR(VLOOKUP($L181,[2]Adaptation!B:D,2,FALSE),0)</f>
        <v>0</v>
      </c>
      <c r="W181" s="83">
        <f>+IFERROR(VLOOKUP($L181,[2]Water!B:D,2,0),0)</f>
        <v>0</v>
      </c>
      <c r="X181" s="83">
        <f>IFERROR(VLOOKUP($L181,'[2]Circ. Economy'!B:D,2,FALSE),0)</f>
        <v>0</v>
      </c>
      <c r="Y181" s="83">
        <f>IFERROR(VLOOKUP($L181,[2]Pollution!B:D,2,FALSE),0)</f>
        <v>0</v>
      </c>
      <c r="Z181" s="83">
        <f>IFERROR(VLOOKUP($L181,[2]Biodiversity!B:D,2,FALSE),0)</f>
        <v>0</v>
      </c>
      <c r="AA181" s="83">
        <f>IFERROR(VLOOKUP($L181,[2]Biodiversity!C:E,2,FALSE),0)</f>
        <v>0</v>
      </c>
      <c r="AB181" s="83">
        <v>1</v>
      </c>
      <c r="AC181" s="163"/>
    </row>
    <row r="182" spans="1:29" ht="14.25" customHeight="1">
      <c r="A182" s="175"/>
      <c r="B182" s="175">
        <v>178</v>
      </c>
      <c r="C182" s="84" t="str">
        <f>VLOOKUP(D182,'[5]Codes &amp; Descr. SFICS25'!B:C,2,FALSE)</f>
        <v>35</v>
      </c>
      <c r="D182" s="115" t="s">
        <v>3962</v>
      </c>
      <c r="E182" s="26">
        <f>+VLOOKUP(F182,'[5]Codes &amp; Descr. SFICS25'!D:E,2,FALSE)</f>
        <v>3502</v>
      </c>
      <c r="F182" s="111" t="s">
        <v>3967</v>
      </c>
      <c r="G182" s="149" t="s">
        <v>1301</v>
      </c>
      <c r="H182" s="176" t="s">
        <v>1301</v>
      </c>
      <c r="I182" s="176"/>
      <c r="J182" s="176"/>
      <c r="K182" s="177" t="s">
        <v>1301</v>
      </c>
      <c r="L182" s="177" t="s">
        <v>281</v>
      </c>
      <c r="M182" s="178" t="s">
        <v>30</v>
      </c>
      <c r="N182" s="152" t="s">
        <v>2738</v>
      </c>
      <c r="O182" s="152"/>
      <c r="P182" s="152" t="s">
        <v>2738</v>
      </c>
      <c r="Q182" s="152" t="s">
        <v>2738</v>
      </c>
      <c r="R182" s="179" t="s">
        <v>3964</v>
      </c>
      <c r="S182" s="179" t="s">
        <v>3965</v>
      </c>
      <c r="T182" s="153" t="s">
        <v>3966</v>
      </c>
      <c r="U182" s="83">
        <f>IFERROR(VLOOKUP(L182,[2]Mitigation!B:D,2,FALSE),0)</f>
        <v>0</v>
      </c>
      <c r="V182" s="83">
        <f>IFERROR(VLOOKUP($L182,[2]Adaptation!B:D,2,FALSE),0)</f>
        <v>0</v>
      </c>
      <c r="W182" s="83">
        <f>+IFERROR(VLOOKUP($L182,[2]Water!B:D,2,0),0)</f>
        <v>0</v>
      </c>
      <c r="X182" s="83">
        <f>IFERROR(VLOOKUP($L182,'[2]Circ. Economy'!B:D,2,FALSE),0)</f>
        <v>0</v>
      </c>
      <c r="Y182" s="83">
        <f>IFERROR(VLOOKUP($L182,[2]Pollution!B:D,2,FALSE),0)</f>
        <v>0</v>
      </c>
      <c r="Z182" s="83">
        <f>IFERROR(VLOOKUP($L182,[2]Biodiversity!B:D,2,FALSE),0)</f>
        <v>0</v>
      </c>
      <c r="AA182" s="83">
        <f>IFERROR(VLOOKUP($L182,[2]Biodiversity!C:E,2,FALSE),0)</f>
        <v>0</v>
      </c>
      <c r="AB182" s="83">
        <v>2</v>
      </c>
      <c r="AC182" s="163"/>
    </row>
    <row r="183" spans="1:29" ht="14.25" customHeight="1">
      <c r="A183" s="175"/>
      <c r="B183" s="175">
        <v>179</v>
      </c>
      <c r="C183" s="84" t="str">
        <f>VLOOKUP(D183,'[5]Codes &amp; Descr. SFICS25'!B:C,2,FALSE)</f>
        <v>35</v>
      </c>
      <c r="D183" s="115" t="s">
        <v>3962</v>
      </c>
      <c r="E183" s="26">
        <f>+VLOOKUP(F183,'[5]Codes &amp; Descr. SFICS25'!D:E,2,FALSE)</f>
        <v>3503</v>
      </c>
      <c r="F183" s="111" t="s">
        <v>3968</v>
      </c>
      <c r="G183" s="149" t="s">
        <v>1301</v>
      </c>
      <c r="H183" s="176" t="s">
        <v>1301</v>
      </c>
      <c r="I183" s="176"/>
      <c r="J183" s="176"/>
      <c r="K183" s="177" t="s">
        <v>1301</v>
      </c>
      <c r="L183" s="177" t="s">
        <v>281</v>
      </c>
      <c r="M183" s="178" t="s">
        <v>30</v>
      </c>
      <c r="N183" s="152" t="s">
        <v>2738</v>
      </c>
      <c r="O183" s="152"/>
      <c r="P183" s="152" t="s">
        <v>2738</v>
      </c>
      <c r="Q183" s="152" t="s">
        <v>2738</v>
      </c>
      <c r="R183" s="179" t="s">
        <v>3964</v>
      </c>
      <c r="S183" s="179" t="s">
        <v>3965</v>
      </c>
      <c r="T183" s="153" t="s">
        <v>3966</v>
      </c>
      <c r="U183" s="83">
        <f>IFERROR(VLOOKUP(L183,[2]Mitigation!B:D,2,FALSE),0)</f>
        <v>0</v>
      </c>
      <c r="V183" s="83">
        <f>IFERROR(VLOOKUP($L183,[2]Adaptation!B:D,2,FALSE),0)</f>
        <v>0</v>
      </c>
      <c r="W183" s="83">
        <f>+IFERROR(VLOOKUP($L183,[2]Water!B:D,2,0),0)</f>
        <v>0</v>
      </c>
      <c r="X183" s="83">
        <f>IFERROR(VLOOKUP($L183,'[2]Circ. Economy'!B:D,2,FALSE),0)</f>
        <v>0</v>
      </c>
      <c r="Y183" s="83">
        <f>IFERROR(VLOOKUP($L183,[2]Pollution!B:D,2,FALSE),0)</f>
        <v>0</v>
      </c>
      <c r="Z183" s="83">
        <f>IFERROR(VLOOKUP($L183,[2]Biodiversity!B:D,2,FALSE),0)</f>
        <v>0</v>
      </c>
      <c r="AA183" s="83">
        <f>IFERROR(VLOOKUP($L183,[2]Biodiversity!C:E,2,FALSE),0)</f>
        <v>0</v>
      </c>
      <c r="AB183" s="83">
        <v>3</v>
      </c>
      <c r="AC183" s="163"/>
    </row>
    <row r="184" spans="1:29" ht="14.25" customHeight="1">
      <c r="A184" s="175"/>
      <c r="B184" s="175">
        <v>180</v>
      </c>
      <c r="C184" s="84" t="str">
        <f>VLOOKUP(D184,'[5]Codes &amp; Descr. SFICS25'!B:C,2,FALSE)</f>
        <v>35</v>
      </c>
      <c r="D184" s="115" t="s">
        <v>3962</v>
      </c>
      <c r="E184" s="26">
        <f>+VLOOKUP(F184,'[5]Codes &amp; Descr. SFICS25'!D:E,2,FALSE)</f>
        <v>3504</v>
      </c>
      <c r="F184" s="111" t="s">
        <v>3969</v>
      </c>
      <c r="G184" s="149" t="s">
        <v>1301</v>
      </c>
      <c r="H184" s="176" t="s">
        <v>1301</v>
      </c>
      <c r="I184" s="176"/>
      <c r="J184" s="176"/>
      <c r="K184" s="177" t="s">
        <v>1301</v>
      </c>
      <c r="L184" s="177" t="s">
        <v>281</v>
      </c>
      <c r="M184" s="178" t="s">
        <v>30</v>
      </c>
      <c r="N184" s="152" t="s">
        <v>2738</v>
      </c>
      <c r="O184" s="152"/>
      <c r="P184" s="152" t="s">
        <v>2738</v>
      </c>
      <c r="Q184" s="152" t="s">
        <v>2738</v>
      </c>
      <c r="R184" s="179" t="s">
        <v>3970</v>
      </c>
      <c r="S184" s="179" t="s">
        <v>3971</v>
      </c>
      <c r="T184" s="153" t="s">
        <v>3966</v>
      </c>
      <c r="U184" s="83">
        <f>IFERROR(VLOOKUP(L184,[2]Mitigation!B:D,2,FALSE),0)</f>
        <v>0</v>
      </c>
      <c r="V184" s="83">
        <f>IFERROR(VLOOKUP($L184,[2]Adaptation!B:D,2,FALSE),0)</f>
        <v>0</v>
      </c>
      <c r="W184" s="83">
        <f>+IFERROR(VLOOKUP($L184,[2]Water!B:D,2,0),0)</f>
        <v>0</v>
      </c>
      <c r="X184" s="83">
        <f>IFERROR(VLOOKUP($L184,'[2]Circ. Economy'!B:D,2,FALSE),0)</f>
        <v>0</v>
      </c>
      <c r="Y184" s="83">
        <f>IFERROR(VLOOKUP($L184,[2]Pollution!B:D,2,FALSE),0)</f>
        <v>0</v>
      </c>
      <c r="Z184" s="83">
        <f>IFERROR(VLOOKUP($L184,[2]Biodiversity!B:D,2,FALSE),0)</f>
        <v>0</v>
      </c>
      <c r="AA184" s="83">
        <f>IFERROR(VLOOKUP($L184,[2]Biodiversity!C:E,2,FALSE),0)</f>
        <v>0</v>
      </c>
      <c r="AB184" s="83">
        <v>4</v>
      </c>
      <c r="AC184" s="163"/>
    </row>
    <row r="185" spans="1:29" ht="14.25" customHeight="1">
      <c r="A185" s="175"/>
      <c r="B185" s="175">
        <v>181</v>
      </c>
      <c r="C185" s="84" t="str">
        <f>VLOOKUP(D185,'[5]Codes &amp; Descr. SFICS25'!B:C,2,FALSE)</f>
        <v>35</v>
      </c>
      <c r="D185" s="115" t="s">
        <v>3962</v>
      </c>
      <c r="E185" s="26">
        <f>+VLOOKUP(F185,'[5]Codes &amp; Descr. SFICS25'!D:E,2,FALSE)</f>
        <v>3505</v>
      </c>
      <c r="F185" s="111" t="s">
        <v>3972</v>
      </c>
      <c r="G185" s="149" t="s">
        <v>1301</v>
      </c>
      <c r="H185" s="176" t="s">
        <v>1301</v>
      </c>
      <c r="I185" s="176"/>
      <c r="J185" s="176"/>
      <c r="K185" s="177" t="s">
        <v>1301</v>
      </c>
      <c r="L185" s="177" t="s">
        <v>281</v>
      </c>
      <c r="M185" s="178" t="s">
        <v>30</v>
      </c>
      <c r="N185" s="152" t="s">
        <v>2738</v>
      </c>
      <c r="O185" s="152"/>
      <c r="P185" s="152" t="s">
        <v>2738</v>
      </c>
      <c r="Q185" s="152" t="s">
        <v>2738</v>
      </c>
      <c r="R185" s="179" t="s">
        <v>3973</v>
      </c>
      <c r="S185" s="179" t="s">
        <v>3974</v>
      </c>
      <c r="T185" s="153" t="s">
        <v>3966</v>
      </c>
      <c r="U185" s="83">
        <f>IFERROR(VLOOKUP(L185,[2]Mitigation!B:D,2,FALSE),0)</f>
        <v>0</v>
      </c>
      <c r="V185" s="83">
        <f>IFERROR(VLOOKUP($L185,[2]Adaptation!B:D,2,FALSE),0)</f>
        <v>0</v>
      </c>
      <c r="W185" s="83">
        <f>+IFERROR(VLOOKUP($L185,[2]Water!B:D,2,0),0)</f>
        <v>0</v>
      </c>
      <c r="X185" s="83">
        <f>IFERROR(VLOOKUP($L185,'[2]Circ. Economy'!B:D,2,FALSE),0)</f>
        <v>0</v>
      </c>
      <c r="Y185" s="83">
        <f>IFERROR(VLOOKUP($L185,[2]Pollution!B:D,2,FALSE),0)</f>
        <v>0</v>
      </c>
      <c r="Z185" s="83">
        <f>IFERROR(VLOOKUP($L185,[2]Biodiversity!B:D,2,FALSE),0)</f>
        <v>0</v>
      </c>
      <c r="AA185" s="83">
        <f>IFERROR(VLOOKUP($L185,[2]Biodiversity!C:E,2,FALSE),0)</f>
        <v>0</v>
      </c>
      <c r="AB185" s="83">
        <v>5</v>
      </c>
      <c r="AC185" s="163"/>
    </row>
    <row r="186" spans="1:29" ht="14.25" customHeight="1">
      <c r="A186" s="175"/>
      <c r="B186" s="175">
        <v>182</v>
      </c>
      <c r="C186" s="84" t="str">
        <f>VLOOKUP(D186,'[5]Codes &amp; Descr. SFICS25'!B:C,2,FALSE)</f>
        <v>36</v>
      </c>
      <c r="D186" s="115" t="s">
        <v>3975</v>
      </c>
      <c r="E186" s="26">
        <f>+VLOOKUP(F186,'[5]Codes &amp; Descr. SFICS25'!D:E,2,FALSE)</f>
        <v>3601</v>
      </c>
      <c r="F186" s="111" t="s">
        <v>3976</v>
      </c>
      <c r="G186" s="149" t="s">
        <v>1301</v>
      </c>
      <c r="H186" s="176" t="s">
        <v>1301</v>
      </c>
      <c r="I186" s="176"/>
      <c r="J186" s="176"/>
      <c r="K186" s="177" t="s">
        <v>1301</v>
      </c>
      <c r="L186" s="177" t="s">
        <v>281</v>
      </c>
      <c r="M186" s="178" t="s">
        <v>30</v>
      </c>
      <c r="N186" s="152" t="s">
        <v>2738</v>
      </c>
      <c r="O186" s="152"/>
      <c r="P186" s="152" t="s">
        <v>2738</v>
      </c>
      <c r="Q186" s="152" t="s">
        <v>2738</v>
      </c>
      <c r="R186" s="179" t="s">
        <v>3964</v>
      </c>
      <c r="S186" s="179" t="s">
        <v>3977</v>
      </c>
      <c r="T186" s="153" t="s">
        <v>3978</v>
      </c>
      <c r="U186" s="83">
        <f>IFERROR(VLOOKUP(L186,[2]Mitigation!B:D,2,FALSE),0)</f>
        <v>0</v>
      </c>
      <c r="V186" s="83">
        <f>IFERROR(VLOOKUP($L186,[2]Adaptation!B:D,2,FALSE),0)</f>
        <v>0</v>
      </c>
      <c r="W186" s="83">
        <f>+IFERROR(VLOOKUP($L186,[2]Water!B:D,2,0),0)</f>
        <v>0</v>
      </c>
      <c r="X186" s="83">
        <f>IFERROR(VLOOKUP($L186,'[2]Circ. Economy'!B:D,2,FALSE),0)</f>
        <v>0</v>
      </c>
      <c r="Y186" s="83">
        <f>IFERROR(VLOOKUP($L186,[2]Pollution!B:D,2,FALSE),0)</f>
        <v>0</v>
      </c>
      <c r="Z186" s="83">
        <f>IFERROR(VLOOKUP($L186,[2]Biodiversity!B:D,2,FALSE),0)</f>
        <v>0</v>
      </c>
      <c r="AA186" s="83">
        <f>IFERROR(VLOOKUP($L186,[2]Biodiversity!C:E,2,FALSE),0)</f>
        <v>0</v>
      </c>
      <c r="AB186" s="83">
        <v>6</v>
      </c>
      <c r="AC186" s="163"/>
    </row>
    <row r="187" spans="1:29" ht="14.25" customHeight="1">
      <c r="A187" s="180"/>
      <c r="B187" s="175">
        <v>183</v>
      </c>
      <c r="C187" s="149" t="str">
        <f>VLOOKUP(D187,'[5]Codes &amp; Descr. SFICS25'!B:C,2,FALSE)</f>
        <v>36</v>
      </c>
      <c r="D187" s="176" t="s">
        <v>3975</v>
      </c>
      <c r="E187" s="149">
        <v>3602</v>
      </c>
      <c r="F187" s="162" t="s">
        <v>3979</v>
      </c>
      <c r="G187" s="149" t="s">
        <v>1301</v>
      </c>
      <c r="H187" s="176" t="s">
        <v>1301</v>
      </c>
      <c r="I187" s="176"/>
      <c r="J187" s="176"/>
      <c r="K187" s="177" t="s">
        <v>1301</v>
      </c>
      <c r="L187" s="177" t="s">
        <v>281</v>
      </c>
      <c r="M187" s="178" t="s">
        <v>30</v>
      </c>
      <c r="N187" s="152" t="s">
        <v>2738</v>
      </c>
      <c r="O187" s="152"/>
      <c r="P187" s="152" t="s">
        <v>2738</v>
      </c>
      <c r="Q187" s="152" t="s">
        <v>2738</v>
      </c>
      <c r="R187" s="179" t="s">
        <v>3964</v>
      </c>
      <c r="S187" s="179" t="s">
        <v>3980</v>
      </c>
      <c r="T187" s="153" t="s">
        <v>3978</v>
      </c>
      <c r="U187" s="83">
        <f>IFERROR(VLOOKUP(L187,[2]Mitigation!B:D,2,FALSE),0)</f>
        <v>0</v>
      </c>
      <c r="V187" s="83">
        <f>IFERROR(VLOOKUP($L187,[2]Adaptation!B:D,2,FALSE),0)</f>
        <v>0</v>
      </c>
      <c r="W187" s="83">
        <f>+IFERROR(VLOOKUP($L187,[2]Water!B:D,2,0),0)</f>
        <v>0</v>
      </c>
      <c r="X187" s="83">
        <f>IFERROR(VLOOKUP($L187,'[2]Circ. Economy'!B:D,2,FALSE),0)</f>
        <v>0</v>
      </c>
      <c r="Y187" s="83">
        <f>IFERROR(VLOOKUP($L187,[2]Pollution!B:D,2,FALSE),0)</f>
        <v>0</v>
      </c>
      <c r="Z187" s="83">
        <f>IFERROR(VLOOKUP($L187,[2]Biodiversity!B:D,2,FALSE),0)</f>
        <v>0</v>
      </c>
      <c r="AA187" s="83">
        <f>IFERROR(VLOOKUP($L187,[2]Biodiversity!C:E,2,FALSE),0)</f>
        <v>0</v>
      </c>
      <c r="AB187" s="83">
        <v>7</v>
      </c>
      <c r="AC187" s="163"/>
    </row>
    <row r="188" spans="1:29" ht="14.25" customHeight="1">
      <c r="A188" s="175"/>
      <c r="B188" s="175">
        <v>184</v>
      </c>
      <c r="C188" s="84" t="str">
        <f>VLOOKUP(D188,'[5]Codes &amp; Descr. SFICS25'!B:C,2,FALSE)</f>
        <v>36</v>
      </c>
      <c r="D188" s="115" t="s">
        <v>3975</v>
      </c>
      <c r="E188" s="26">
        <f>+VLOOKUP(F188,'[5]Codes &amp; Descr. SFICS25'!D:E,2,FALSE)</f>
        <v>3603</v>
      </c>
      <c r="F188" s="111" t="s">
        <v>3981</v>
      </c>
      <c r="G188" s="149" t="s">
        <v>1301</v>
      </c>
      <c r="H188" s="176" t="s">
        <v>1301</v>
      </c>
      <c r="I188" s="176"/>
      <c r="J188" s="176"/>
      <c r="K188" s="177" t="s">
        <v>1301</v>
      </c>
      <c r="L188" s="177" t="s">
        <v>281</v>
      </c>
      <c r="M188" s="178" t="s">
        <v>30</v>
      </c>
      <c r="N188" s="152" t="s">
        <v>2738</v>
      </c>
      <c r="O188" s="152"/>
      <c r="P188" s="152" t="s">
        <v>2738</v>
      </c>
      <c r="Q188" s="152" t="s">
        <v>2738</v>
      </c>
      <c r="R188" s="179" t="s">
        <v>3964</v>
      </c>
      <c r="S188" s="179" t="s">
        <v>3980</v>
      </c>
      <c r="T188" s="153" t="s">
        <v>3978</v>
      </c>
      <c r="U188" s="83">
        <f>IFERROR(VLOOKUP(L188,[2]Mitigation!B:D,2,FALSE),0)</f>
        <v>0</v>
      </c>
      <c r="V188" s="83">
        <f>IFERROR(VLOOKUP($L188,[2]Adaptation!B:D,2,FALSE),0)</f>
        <v>0</v>
      </c>
      <c r="W188" s="83">
        <f>+IFERROR(VLOOKUP($L188,[2]Water!B:D,2,0),0)</f>
        <v>0</v>
      </c>
      <c r="X188" s="83">
        <f>IFERROR(VLOOKUP($L188,'[2]Circ. Economy'!B:D,2,FALSE),0)</f>
        <v>0</v>
      </c>
      <c r="Y188" s="83">
        <f>IFERROR(VLOOKUP($L188,[2]Pollution!B:D,2,FALSE),0)</f>
        <v>0</v>
      </c>
      <c r="Z188" s="83">
        <f>IFERROR(VLOOKUP($L188,[2]Biodiversity!B:D,2,FALSE),0)</f>
        <v>0</v>
      </c>
      <c r="AA188" s="83">
        <f>IFERROR(VLOOKUP($L188,[2]Biodiversity!C:E,2,FALSE),0)</f>
        <v>0</v>
      </c>
      <c r="AB188" s="83">
        <v>8</v>
      </c>
      <c r="AC188" s="163"/>
    </row>
    <row r="189" spans="1:29" ht="14.25" customHeight="1">
      <c r="A189" s="175"/>
      <c r="B189" s="175">
        <v>185</v>
      </c>
      <c r="C189" s="84">
        <f>VLOOKUP(D189,'[5]Codes &amp; Descr. SFICS25'!B:C,2,FALSE)</f>
        <v>22</v>
      </c>
      <c r="D189" s="115" t="s">
        <v>1641</v>
      </c>
      <c r="E189" s="26">
        <f>+VLOOKUP(F189,'[5]Codes &amp; Descr. SFICS25'!D:E,2,FALSE)</f>
        <v>3701</v>
      </c>
      <c r="F189" s="111" t="s">
        <v>3982</v>
      </c>
      <c r="G189" s="149" t="s">
        <v>1301</v>
      </c>
      <c r="H189" s="176" t="s">
        <v>1301</v>
      </c>
      <c r="I189" s="176"/>
      <c r="J189" s="176"/>
      <c r="K189" s="177" t="s">
        <v>1301</v>
      </c>
      <c r="L189" s="177" t="s">
        <v>281</v>
      </c>
      <c r="M189" s="178" t="s">
        <v>30</v>
      </c>
      <c r="N189" s="152" t="s">
        <v>2738</v>
      </c>
      <c r="O189" s="152"/>
      <c r="P189" s="152" t="s">
        <v>2738</v>
      </c>
      <c r="Q189" s="152" t="s">
        <v>2738</v>
      </c>
      <c r="R189" s="179" t="s">
        <v>3983</v>
      </c>
      <c r="S189" s="179" t="s">
        <v>3984</v>
      </c>
      <c r="T189" s="153" t="s">
        <v>2979</v>
      </c>
      <c r="U189" s="83">
        <f>IFERROR(VLOOKUP(L189,[2]Mitigation!B:D,2,FALSE),0)</f>
        <v>0</v>
      </c>
      <c r="V189" s="83">
        <f>IFERROR(VLOOKUP($L189,[2]Adaptation!B:D,2,FALSE),0)</f>
        <v>0</v>
      </c>
      <c r="W189" s="83">
        <f>+IFERROR(VLOOKUP($L189,[2]Water!B:D,2,0),0)</f>
        <v>0</v>
      </c>
      <c r="X189" s="83">
        <f>IFERROR(VLOOKUP($L189,'[2]Circ. Economy'!B:D,2,FALSE),0)</f>
        <v>0</v>
      </c>
      <c r="Y189" s="83">
        <f>IFERROR(VLOOKUP($L189,[2]Pollution!B:D,2,FALSE),0)</f>
        <v>0</v>
      </c>
      <c r="Z189" s="83">
        <f>IFERROR(VLOOKUP($L189,[2]Biodiversity!B:D,2,FALSE),0)</f>
        <v>0</v>
      </c>
      <c r="AA189" s="83">
        <f>IFERROR(VLOOKUP($L189,[2]Biodiversity!C:E,2,FALSE),0)</f>
        <v>0</v>
      </c>
      <c r="AB189" s="83">
        <v>9</v>
      </c>
      <c r="AC189" s="163"/>
    </row>
    <row r="190" spans="1:29" ht="14.25" customHeight="1">
      <c r="A190" s="175"/>
      <c r="B190" s="175">
        <v>186</v>
      </c>
      <c r="C190" s="84">
        <f>VLOOKUP(D190,'[5]Codes &amp; Descr. SFICS25'!B:C,2,FALSE)</f>
        <v>22</v>
      </c>
      <c r="D190" s="115" t="s">
        <v>1641</v>
      </c>
      <c r="E190" s="26">
        <f>+VLOOKUP(F190,'[5]Codes &amp; Descr. SFICS25'!D:E,2,FALSE)</f>
        <v>3702</v>
      </c>
      <c r="F190" s="111" t="s">
        <v>3985</v>
      </c>
      <c r="G190" s="149" t="s">
        <v>1301</v>
      </c>
      <c r="H190" s="176" t="s">
        <v>1301</v>
      </c>
      <c r="I190" s="176"/>
      <c r="J190" s="176"/>
      <c r="K190" s="177" t="s">
        <v>1301</v>
      </c>
      <c r="L190" s="177" t="s">
        <v>281</v>
      </c>
      <c r="M190" s="178" t="s">
        <v>30</v>
      </c>
      <c r="N190" s="152" t="s">
        <v>2738</v>
      </c>
      <c r="O190" s="152"/>
      <c r="P190" s="152" t="s">
        <v>2738</v>
      </c>
      <c r="Q190" s="152" t="s">
        <v>2738</v>
      </c>
      <c r="R190" s="179" t="s">
        <v>3983</v>
      </c>
      <c r="S190" s="179" t="s">
        <v>3986</v>
      </c>
      <c r="T190" s="153" t="s">
        <v>2979</v>
      </c>
      <c r="U190" s="83">
        <f>IFERROR(VLOOKUP(L190,[2]Mitigation!B:D,2,FALSE),0)</f>
        <v>0</v>
      </c>
      <c r="V190" s="83">
        <f>IFERROR(VLOOKUP($L190,[2]Adaptation!B:D,2,FALSE),0)</f>
        <v>0</v>
      </c>
      <c r="W190" s="83">
        <f>+IFERROR(VLOOKUP($L190,[2]Water!B:D,2,0),0)</f>
        <v>0</v>
      </c>
      <c r="X190" s="83">
        <f>IFERROR(VLOOKUP($L190,'[2]Circ. Economy'!B:D,2,FALSE),0)</f>
        <v>0</v>
      </c>
      <c r="Y190" s="83">
        <f>IFERROR(VLOOKUP($L190,[2]Pollution!B:D,2,FALSE),0)</f>
        <v>0</v>
      </c>
      <c r="Z190" s="83">
        <f>IFERROR(VLOOKUP($L190,[2]Biodiversity!B:D,2,FALSE),0)</f>
        <v>0</v>
      </c>
      <c r="AA190" s="83">
        <f>IFERROR(VLOOKUP($L190,[2]Biodiversity!C:E,2,FALSE),0)</f>
        <v>0</v>
      </c>
      <c r="AB190" s="83">
        <v>10</v>
      </c>
      <c r="AC190" s="163"/>
    </row>
    <row r="191" spans="1:29" ht="14.25" customHeight="1">
      <c r="A191" s="175"/>
      <c r="B191" s="175">
        <v>187</v>
      </c>
      <c r="C191" s="84">
        <f>VLOOKUP(D191,'[5]Codes &amp; Descr. SFICS25'!B:C,2,FALSE)</f>
        <v>22</v>
      </c>
      <c r="D191" s="115" t="s">
        <v>1641</v>
      </c>
      <c r="E191" s="26">
        <f>+VLOOKUP(F191,'[5]Codes &amp; Descr. SFICS25'!D:E,2,FALSE)</f>
        <v>3703</v>
      </c>
      <c r="F191" s="111" t="s">
        <v>3987</v>
      </c>
      <c r="G191" s="149" t="s">
        <v>1301</v>
      </c>
      <c r="H191" s="176" t="s">
        <v>1301</v>
      </c>
      <c r="I191" s="176"/>
      <c r="J191" s="176"/>
      <c r="K191" s="177" t="s">
        <v>1301</v>
      </c>
      <c r="L191" s="177" t="s">
        <v>281</v>
      </c>
      <c r="M191" s="178" t="s">
        <v>30</v>
      </c>
      <c r="N191" s="152" t="s">
        <v>2738</v>
      </c>
      <c r="O191" s="152"/>
      <c r="P191" s="152" t="s">
        <v>2738</v>
      </c>
      <c r="Q191" s="152" t="s">
        <v>2738</v>
      </c>
      <c r="R191" s="179" t="s">
        <v>3964</v>
      </c>
      <c r="S191" s="179" t="s">
        <v>3988</v>
      </c>
      <c r="T191" s="153" t="s">
        <v>2979</v>
      </c>
      <c r="U191" s="83">
        <f>IFERROR(VLOOKUP(L191,[2]Mitigation!B:D,2,FALSE),0)</f>
        <v>0</v>
      </c>
      <c r="V191" s="83">
        <f>IFERROR(VLOOKUP($L191,[2]Adaptation!B:D,2,FALSE),0)</f>
        <v>0</v>
      </c>
      <c r="W191" s="83">
        <f>+IFERROR(VLOOKUP($L191,[2]Water!B:D,2,0),0)</f>
        <v>0</v>
      </c>
      <c r="X191" s="83">
        <f>IFERROR(VLOOKUP($L191,'[2]Circ. Economy'!B:D,2,FALSE),0)</f>
        <v>0</v>
      </c>
      <c r="Y191" s="83">
        <f>IFERROR(VLOOKUP($L191,[2]Pollution!B:D,2,FALSE),0)</f>
        <v>0</v>
      </c>
      <c r="Z191" s="83">
        <f>IFERROR(VLOOKUP($L191,[2]Biodiversity!B:D,2,FALSE),0)</f>
        <v>0</v>
      </c>
      <c r="AA191" s="83">
        <f>IFERROR(VLOOKUP($L191,[2]Biodiversity!C:E,2,FALSE),0)</f>
        <v>0</v>
      </c>
      <c r="AB191" s="83">
        <v>10</v>
      </c>
      <c r="AC191" s="163"/>
    </row>
    <row r="192" spans="1:29" ht="14.25" customHeight="1">
      <c r="A192" s="175"/>
      <c r="B192" s="175">
        <v>188</v>
      </c>
      <c r="C192" s="84">
        <f>VLOOKUP(D192,'[5]Codes &amp; Descr. SFICS25'!B:C,2,FALSE)</f>
        <v>21</v>
      </c>
      <c r="D192" s="115" t="s">
        <v>2730</v>
      </c>
      <c r="E192" s="26">
        <f>+VLOOKUP(F192,'[5]Codes &amp; Descr. SFICS25'!D:E,2,FALSE)</f>
        <v>3801</v>
      </c>
      <c r="F192" s="111" t="s">
        <v>3989</v>
      </c>
      <c r="G192" s="149" t="s">
        <v>1301</v>
      </c>
      <c r="H192" s="176" t="s">
        <v>1301</v>
      </c>
      <c r="I192" s="176"/>
      <c r="J192" s="176"/>
      <c r="K192" s="177" t="s">
        <v>1301</v>
      </c>
      <c r="L192" s="177" t="s">
        <v>281</v>
      </c>
      <c r="M192" s="178" t="s">
        <v>30</v>
      </c>
      <c r="N192" s="152" t="s">
        <v>2738</v>
      </c>
      <c r="O192" s="152"/>
      <c r="P192" s="152" t="s">
        <v>2738</v>
      </c>
      <c r="Q192" s="152" t="s">
        <v>2738</v>
      </c>
      <c r="R192" s="179" t="s">
        <v>3983</v>
      </c>
      <c r="S192" s="179" t="s">
        <v>3990</v>
      </c>
      <c r="T192" s="153" t="s">
        <v>3991</v>
      </c>
      <c r="U192" s="83">
        <f>IFERROR(VLOOKUP(L192,[2]Mitigation!B:D,2,FALSE),0)</f>
        <v>0</v>
      </c>
      <c r="V192" s="83">
        <f>IFERROR(VLOOKUP($L192,[2]Adaptation!B:D,2,FALSE),0)</f>
        <v>0</v>
      </c>
      <c r="W192" s="83">
        <f>+IFERROR(VLOOKUP($L192,[2]Water!B:D,2,0),0)</f>
        <v>0</v>
      </c>
      <c r="X192" s="83">
        <f>IFERROR(VLOOKUP($L192,'[2]Circ. Economy'!B:D,2,FALSE),0)</f>
        <v>0</v>
      </c>
      <c r="Y192" s="83">
        <f>IFERROR(VLOOKUP($L192,[2]Pollution!B:D,2,FALSE),0)</f>
        <v>0</v>
      </c>
      <c r="Z192" s="83">
        <f>IFERROR(VLOOKUP($L192,[2]Biodiversity!B:D,2,FALSE),0)</f>
        <v>0</v>
      </c>
      <c r="AA192" s="83">
        <f>IFERROR(VLOOKUP($L192,[2]Biodiversity!C:E,2,FALSE),0)</f>
        <v>0</v>
      </c>
      <c r="AB192" s="83">
        <v>1</v>
      </c>
      <c r="AC192" s="163"/>
    </row>
    <row r="193" spans="1:29" ht="14.25" customHeight="1">
      <c r="A193" s="175"/>
      <c r="B193" s="175">
        <v>189</v>
      </c>
      <c r="C193" s="84">
        <f>VLOOKUP(D193,'[5]Codes &amp; Descr. SFICS25'!B:C,2,FALSE)</f>
        <v>26</v>
      </c>
      <c r="D193" s="115" t="s">
        <v>3313</v>
      </c>
      <c r="E193" s="26">
        <f>+VLOOKUP(F193,'[5]Codes &amp; Descr. SFICS25'!D:E,2,FALSE)</f>
        <v>3901</v>
      </c>
      <c r="F193" s="111" t="s">
        <v>3992</v>
      </c>
      <c r="G193" s="149" t="s">
        <v>1301</v>
      </c>
      <c r="H193" s="176" t="s">
        <v>1301</v>
      </c>
      <c r="I193" s="176"/>
      <c r="J193" s="176"/>
      <c r="K193" s="177" t="s">
        <v>1301</v>
      </c>
      <c r="L193" s="177" t="s">
        <v>281</v>
      </c>
      <c r="M193" s="178" t="s">
        <v>30</v>
      </c>
      <c r="N193" s="152" t="s">
        <v>2738</v>
      </c>
      <c r="O193" s="152"/>
      <c r="P193" s="152" t="s">
        <v>2738</v>
      </c>
      <c r="Q193" s="152" t="s">
        <v>2738</v>
      </c>
      <c r="R193" s="179" t="s">
        <v>3983</v>
      </c>
      <c r="S193" s="179" t="s">
        <v>3990</v>
      </c>
      <c r="T193" s="153" t="s">
        <v>3993</v>
      </c>
      <c r="U193" s="83">
        <f>IFERROR(VLOOKUP(L193,[2]Mitigation!B:D,2,FALSE),0)</f>
        <v>0</v>
      </c>
      <c r="V193" s="83">
        <f>IFERROR(VLOOKUP($L193,[2]Adaptation!B:D,2,FALSE),0)</f>
        <v>0</v>
      </c>
      <c r="W193" s="83">
        <f>+IFERROR(VLOOKUP($L193,[2]Water!B:D,2,0),0)</f>
        <v>0</v>
      </c>
      <c r="X193" s="83">
        <f>IFERROR(VLOOKUP($L193,'[2]Circ. Economy'!B:D,2,FALSE),0)</f>
        <v>0</v>
      </c>
      <c r="Y193" s="83">
        <f>IFERROR(VLOOKUP($L193,[2]Pollution!B:D,2,FALSE),0)</f>
        <v>0</v>
      </c>
      <c r="Z193" s="83">
        <f>IFERROR(VLOOKUP($L193,[2]Biodiversity!B:D,2,FALSE),0)</f>
        <v>0</v>
      </c>
      <c r="AA193" s="83">
        <f>IFERROR(VLOOKUP($L193,[2]Biodiversity!C:E,2,FALSE),0)</f>
        <v>0</v>
      </c>
      <c r="AB193" s="83">
        <v>1</v>
      </c>
      <c r="AC193" s="163"/>
    </row>
    <row r="194" spans="1:29" ht="14.25" customHeight="1">
      <c r="A194" s="175"/>
      <c r="B194" s="175">
        <v>190</v>
      </c>
      <c r="C194" s="84">
        <f>VLOOKUP(D194,'[5]Codes &amp; Descr. SFICS25'!B:C,2,FALSE)</f>
        <v>26</v>
      </c>
      <c r="D194" s="115" t="s">
        <v>3313</v>
      </c>
      <c r="E194" s="26">
        <f>+VLOOKUP(F194,'[5]Codes &amp; Descr. SFICS25'!D:E,2,FALSE)</f>
        <v>3902</v>
      </c>
      <c r="F194" s="111" t="s">
        <v>3994</v>
      </c>
      <c r="G194" s="149" t="s">
        <v>1301</v>
      </c>
      <c r="H194" s="176" t="s">
        <v>1301</v>
      </c>
      <c r="I194" s="176"/>
      <c r="J194" s="176"/>
      <c r="K194" s="177" t="s">
        <v>1301</v>
      </c>
      <c r="L194" s="177" t="s">
        <v>281</v>
      </c>
      <c r="M194" s="178" t="s">
        <v>30</v>
      </c>
      <c r="N194" s="152" t="s">
        <v>2738</v>
      </c>
      <c r="O194" s="152"/>
      <c r="P194" s="152" t="s">
        <v>2738</v>
      </c>
      <c r="Q194" s="152" t="s">
        <v>2738</v>
      </c>
      <c r="R194" s="179" t="s">
        <v>3983</v>
      </c>
      <c r="S194" s="179" t="s">
        <v>3990</v>
      </c>
      <c r="T194" s="153" t="s">
        <v>3993</v>
      </c>
      <c r="U194" s="83">
        <f>IFERROR(VLOOKUP(L194,[2]Mitigation!B:D,2,FALSE),0)</f>
        <v>0</v>
      </c>
      <c r="V194" s="83">
        <f>IFERROR(VLOOKUP($L194,[2]Adaptation!B:D,2,FALSE),0)</f>
        <v>0</v>
      </c>
      <c r="W194" s="83">
        <f>+IFERROR(VLOOKUP($L194,[2]Water!B:D,2,0),0)</f>
        <v>0</v>
      </c>
      <c r="X194" s="83">
        <f>IFERROR(VLOOKUP($L194,'[2]Circ. Economy'!B:D,2,FALSE),0)</f>
        <v>0</v>
      </c>
      <c r="Y194" s="83">
        <f>IFERROR(VLOOKUP($L194,[2]Pollution!B:D,2,FALSE),0)</f>
        <v>0</v>
      </c>
      <c r="Z194" s="83">
        <f>IFERROR(VLOOKUP($L194,[2]Biodiversity!B:D,2,FALSE),0)</f>
        <v>0</v>
      </c>
      <c r="AA194" s="83">
        <f>IFERROR(VLOOKUP($L194,[2]Biodiversity!C:E,2,FALSE),0)</f>
        <v>0</v>
      </c>
      <c r="AB194" s="83">
        <v>2</v>
      </c>
      <c r="AC194" s="163"/>
    </row>
    <row r="195" spans="1:29" ht="14.25" customHeight="1">
      <c r="A195" s="175"/>
      <c r="B195" s="175">
        <v>191</v>
      </c>
      <c r="C195" s="84">
        <f>VLOOKUP(D195,'[5]Codes &amp; Descr. SFICS25'!B:C,2,FALSE)</f>
        <v>26</v>
      </c>
      <c r="D195" s="115" t="s">
        <v>3313</v>
      </c>
      <c r="E195" s="26">
        <f>+VLOOKUP(F195,'[5]Codes &amp; Descr. SFICS25'!D:E,2,FALSE)</f>
        <v>3903</v>
      </c>
      <c r="F195" s="111" t="s">
        <v>3995</v>
      </c>
      <c r="G195" s="149" t="s">
        <v>1301</v>
      </c>
      <c r="H195" s="176" t="s">
        <v>1301</v>
      </c>
      <c r="I195" s="176"/>
      <c r="J195" s="176"/>
      <c r="K195" s="177" t="s">
        <v>1301</v>
      </c>
      <c r="L195" s="177" t="s">
        <v>281</v>
      </c>
      <c r="M195" s="178" t="s">
        <v>30</v>
      </c>
      <c r="N195" s="152" t="s">
        <v>2738</v>
      </c>
      <c r="O195" s="152"/>
      <c r="P195" s="152" t="s">
        <v>2738</v>
      </c>
      <c r="Q195" s="152" t="s">
        <v>2738</v>
      </c>
      <c r="R195" s="179" t="s">
        <v>3983</v>
      </c>
      <c r="S195" s="179" t="s">
        <v>3996</v>
      </c>
      <c r="T195" s="153" t="s">
        <v>3993</v>
      </c>
      <c r="U195" s="83">
        <f>IFERROR(VLOOKUP(L195,[2]Mitigation!B:D,2,FALSE),0)</f>
        <v>0</v>
      </c>
      <c r="V195" s="83">
        <f>IFERROR(VLOOKUP($L195,[2]Adaptation!B:D,2,FALSE),0)</f>
        <v>0</v>
      </c>
      <c r="W195" s="83">
        <f>+IFERROR(VLOOKUP($L195,[2]Water!B:D,2,0),0)</f>
        <v>0</v>
      </c>
      <c r="X195" s="83">
        <f>IFERROR(VLOOKUP($L195,'[2]Circ. Economy'!B:D,2,FALSE),0)</f>
        <v>0</v>
      </c>
      <c r="Y195" s="83">
        <f>IFERROR(VLOOKUP($L195,[2]Pollution!B:D,2,FALSE),0)</f>
        <v>0</v>
      </c>
      <c r="Z195" s="83">
        <f>IFERROR(VLOOKUP($L195,[2]Biodiversity!B:D,2,FALSE),0)</f>
        <v>0</v>
      </c>
      <c r="AA195" s="83">
        <f>IFERROR(VLOOKUP($L195,[2]Biodiversity!C:E,2,FALSE),0)</f>
        <v>0</v>
      </c>
      <c r="AB195" s="83">
        <v>3</v>
      </c>
      <c r="AC195" s="163"/>
    </row>
    <row r="196" spans="1:29" ht="14.25" customHeight="1">
      <c r="A196" s="175"/>
      <c r="B196" s="175">
        <v>192</v>
      </c>
      <c r="C196" s="84">
        <f>VLOOKUP(D196,'[5]Codes &amp; Descr. SFICS25'!B:C,2,FALSE)</f>
        <v>23</v>
      </c>
      <c r="D196" s="115" t="s">
        <v>3123</v>
      </c>
      <c r="E196" s="26">
        <v>4001</v>
      </c>
      <c r="F196" s="111" t="s">
        <v>3997</v>
      </c>
      <c r="G196" s="149" t="s">
        <v>1301</v>
      </c>
      <c r="H196" s="176" t="s">
        <v>1301</v>
      </c>
      <c r="I196" s="176"/>
      <c r="J196" s="176"/>
      <c r="K196" s="177"/>
      <c r="L196" s="177" t="s">
        <v>281</v>
      </c>
      <c r="M196" s="178" t="s">
        <v>30</v>
      </c>
      <c r="N196" s="152" t="s">
        <v>2738</v>
      </c>
      <c r="O196" s="152"/>
      <c r="P196" s="152" t="s">
        <v>2738</v>
      </c>
      <c r="Q196" s="152" t="s">
        <v>2738</v>
      </c>
      <c r="R196" s="179" t="s">
        <v>3998</v>
      </c>
      <c r="S196" s="179" t="s">
        <v>3999</v>
      </c>
      <c r="T196" s="153" t="s">
        <v>4000</v>
      </c>
      <c r="U196" s="83">
        <f>IFERROR(VLOOKUP(L196,[2]Mitigation!B:D,2,FALSE),0)</f>
        <v>0</v>
      </c>
      <c r="V196" s="83">
        <f>IFERROR(VLOOKUP($L196,[2]Adaptation!B:D,2,FALSE),0)</f>
        <v>0</v>
      </c>
      <c r="W196" s="83">
        <f>+IFERROR(VLOOKUP($L196,[2]Water!B:D,2,0),0)</f>
        <v>0</v>
      </c>
      <c r="X196" s="83">
        <f>IFERROR(VLOOKUP($L196,'[2]Circ. Economy'!B:D,2,FALSE),0)</f>
        <v>0</v>
      </c>
      <c r="Y196" s="83">
        <f>IFERROR(VLOOKUP($L196,[2]Pollution!B:D,2,FALSE),0)</f>
        <v>0</v>
      </c>
      <c r="Z196" s="83">
        <f>IFERROR(VLOOKUP($L196,[2]Biodiversity!B:D,2,FALSE),0)</f>
        <v>0</v>
      </c>
      <c r="AA196" s="83">
        <f>IFERROR(VLOOKUP($L196,[2]Biodiversity!C:E,2,FALSE),0)</f>
        <v>0</v>
      </c>
      <c r="AB196" s="83">
        <v>4</v>
      </c>
      <c r="AC196" s="163"/>
    </row>
    <row r="197" spans="1:29" ht="14.25" customHeight="1">
      <c r="A197" s="175"/>
      <c r="B197" s="175">
        <v>193</v>
      </c>
      <c r="C197" s="84">
        <f>VLOOKUP(D197,'[5]Codes &amp; Descr. SFICS25'!B:C,2,FALSE)</f>
        <v>23</v>
      </c>
      <c r="D197" s="115" t="s">
        <v>3123</v>
      </c>
      <c r="E197" s="26">
        <f>+VLOOKUP(F197,'[5]Codes &amp; Descr. SFICS25'!D:E,2,FALSE)</f>
        <v>4002</v>
      </c>
      <c r="F197" s="111" t="s">
        <v>4001</v>
      </c>
      <c r="G197" s="149" t="s">
        <v>1301</v>
      </c>
      <c r="H197" s="176" t="s">
        <v>1301</v>
      </c>
      <c r="I197" s="176"/>
      <c r="J197" s="176"/>
      <c r="K197" s="177" t="s">
        <v>1301</v>
      </c>
      <c r="L197" s="177" t="s">
        <v>281</v>
      </c>
      <c r="M197" s="178" t="s">
        <v>30</v>
      </c>
      <c r="N197" s="152" t="s">
        <v>2738</v>
      </c>
      <c r="O197" s="152"/>
      <c r="P197" s="152" t="s">
        <v>2738</v>
      </c>
      <c r="Q197" s="152" t="s">
        <v>2738</v>
      </c>
      <c r="R197" s="179" t="s">
        <v>4002</v>
      </c>
      <c r="S197" s="179" t="s">
        <v>4003</v>
      </c>
      <c r="T197" s="153" t="s">
        <v>4000</v>
      </c>
      <c r="U197" s="83">
        <f>IFERROR(VLOOKUP(L197,[2]Mitigation!B:D,2,FALSE),0)</f>
        <v>0</v>
      </c>
      <c r="V197" s="83">
        <f>IFERROR(VLOOKUP($L197,[2]Adaptation!B:D,2,FALSE),0)</f>
        <v>0</v>
      </c>
      <c r="W197" s="83">
        <f>+IFERROR(VLOOKUP($L197,[2]Water!B:D,2,0),0)</f>
        <v>0</v>
      </c>
      <c r="X197" s="83">
        <f>IFERROR(VLOOKUP($L197,'[2]Circ. Economy'!B:D,2,FALSE),0)</f>
        <v>0</v>
      </c>
      <c r="Y197" s="83">
        <f>IFERROR(VLOOKUP($L197,[2]Pollution!B:D,2,FALSE),0)</f>
        <v>0</v>
      </c>
      <c r="Z197" s="83">
        <f>IFERROR(VLOOKUP($L197,[2]Biodiversity!B:D,2,FALSE),0)</f>
        <v>0</v>
      </c>
      <c r="AA197" s="83">
        <f>IFERROR(VLOOKUP($L197,[2]Biodiversity!C:E,2,FALSE),0)</f>
        <v>0</v>
      </c>
      <c r="AB197" s="83">
        <v>5</v>
      </c>
      <c r="AC197" s="163"/>
    </row>
    <row r="198" spans="1:29" ht="30">
      <c r="A198" s="180"/>
      <c r="B198" s="175">
        <v>194</v>
      </c>
      <c r="C198" s="149" t="str">
        <f>VLOOKUP(D198,'[5]Codes &amp; Descr. SFICS25'!B:C,2,FALSE)</f>
        <v>41</v>
      </c>
      <c r="D198" s="115" t="s">
        <v>4004</v>
      </c>
      <c r="E198" s="149">
        <v>4101</v>
      </c>
      <c r="F198" s="181" t="s">
        <v>4005</v>
      </c>
      <c r="G198" s="181" t="s">
        <v>1301</v>
      </c>
      <c r="H198" s="176" t="s">
        <v>1301</v>
      </c>
      <c r="I198" s="176"/>
      <c r="J198" s="176"/>
      <c r="K198" s="177" t="s">
        <v>1301</v>
      </c>
      <c r="L198" s="177" t="s">
        <v>281</v>
      </c>
      <c r="M198" s="178" t="s">
        <v>30</v>
      </c>
      <c r="N198" s="152" t="s">
        <v>2738</v>
      </c>
      <c r="O198" s="152"/>
      <c r="P198" s="152" t="s">
        <v>2738</v>
      </c>
      <c r="Q198" s="152" t="s">
        <v>2738</v>
      </c>
      <c r="R198" s="199" t="s">
        <v>4034</v>
      </c>
      <c r="S198" s="179" t="s">
        <v>4006</v>
      </c>
      <c r="T198" s="153" t="s">
        <v>4007</v>
      </c>
      <c r="U198" s="83">
        <f>IFERROR(VLOOKUP(L198,[2]Mitigation!B:D,2,FALSE),0)</f>
        <v>0</v>
      </c>
      <c r="V198" s="83">
        <f>IFERROR(VLOOKUP($L198,[2]Adaptation!B:D,2,FALSE),0)</f>
        <v>0</v>
      </c>
      <c r="W198" s="83">
        <f>+IFERROR(VLOOKUP($L198,[2]Water!B:D,2,0),0)</f>
        <v>0</v>
      </c>
      <c r="X198" s="83">
        <f>IFERROR(VLOOKUP($L198,'[2]Circ. Economy'!B:D,2,FALSE),0)</f>
        <v>0</v>
      </c>
      <c r="Y198" s="83">
        <f>IFERROR(VLOOKUP($L198,[2]Pollution!B:D,2,FALSE),0)</f>
        <v>0</v>
      </c>
      <c r="Z198" s="83">
        <f>IFERROR(VLOOKUP($L198,[2]Biodiversity!B:D,2,FALSE),0)</f>
        <v>0</v>
      </c>
      <c r="AA198" s="83">
        <f>IFERROR(VLOOKUP($L198,[2]Biodiversity!C:E,2,FALSE),0)</f>
        <v>0</v>
      </c>
      <c r="AB198" s="83">
        <v>1</v>
      </c>
      <c r="AC198" s="163"/>
    </row>
    <row r="199" spans="1:29" ht="14.25" customHeight="1">
      <c r="A199" s="175"/>
      <c r="B199" s="175">
        <v>195</v>
      </c>
      <c r="C199" s="149" t="str">
        <f>VLOOKUP(D199,'[5]Codes &amp; Descr. SFICS25'!B:C,2,FALSE)</f>
        <v>41</v>
      </c>
      <c r="D199" s="115" t="s">
        <v>4004</v>
      </c>
      <c r="E199" s="149">
        <f>+VLOOKUP(F199,'[5]Codes &amp; Descr. SFICS25'!D:E,2,FALSE)</f>
        <v>4102</v>
      </c>
      <c r="F199" s="111" t="s">
        <v>4008</v>
      </c>
      <c r="G199" s="149" t="s">
        <v>1301</v>
      </c>
      <c r="H199" s="176" t="s">
        <v>1301</v>
      </c>
      <c r="I199" s="176"/>
      <c r="J199" s="176"/>
      <c r="K199" s="177" t="s">
        <v>1301</v>
      </c>
      <c r="L199" s="177" t="s">
        <v>281</v>
      </c>
      <c r="M199" s="178" t="s">
        <v>30</v>
      </c>
      <c r="N199" s="152" t="s">
        <v>2738</v>
      </c>
      <c r="O199" s="152"/>
      <c r="P199" s="152" t="s">
        <v>2738</v>
      </c>
      <c r="Q199" s="152" t="s">
        <v>2738</v>
      </c>
      <c r="R199" s="179" t="s">
        <v>4009</v>
      </c>
      <c r="S199" s="179" t="s">
        <v>4006</v>
      </c>
      <c r="T199" s="153" t="s">
        <v>4007</v>
      </c>
      <c r="U199" s="83">
        <f>IFERROR(VLOOKUP(L199,[2]Mitigation!B:D,2,FALSE),0)</f>
        <v>0</v>
      </c>
      <c r="V199" s="83">
        <f>IFERROR(VLOOKUP($L199,[2]Adaptation!B:D,2,FALSE),0)</f>
        <v>0</v>
      </c>
      <c r="W199" s="83">
        <f>+IFERROR(VLOOKUP($L199,[2]Water!B:D,2,0),0)</f>
        <v>0</v>
      </c>
      <c r="X199" s="83">
        <f>IFERROR(VLOOKUP($L199,'[2]Circ. Economy'!B:D,2,FALSE),0)</f>
        <v>0</v>
      </c>
      <c r="Y199" s="83">
        <f>IFERROR(VLOOKUP($L199,[2]Pollution!B:D,2,FALSE),0)</f>
        <v>0</v>
      </c>
      <c r="Z199" s="83">
        <f>IFERROR(VLOOKUP($L199,[2]Biodiversity!B:D,2,FALSE),0)</f>
        <v>0</v>
      </c>
      <c r="AA199" s="83">
        <f>IFERROR(VLOOKUP($L199,[2]Biodiversity!C:E,2,FALSE),0)</f>
        <v>0</v>
      </c>
      <c r="AB199" s="83">
        <v>2</v>
      </c>
      <c r="AC199" s="163"/>
    </row>
    <row r="200" spans="1:29" ht="14.25" customHeight="1">
      <c r="A200" s="175"/>
      <c r="B200" s="175">
        <v>196</v>
      </c>
      <c r="C200" s="149">
        <f>VLOOKUP(D200,'[5]Codes &amp; Descr. SFICS25'!B:C,2,FALSE)</f>
        <v>30</v>
      </c>
      <c r="D200" s="115" t="s">
        <v>3850</v>
      </c>
      <c r="E200" s="149">
        <f>+VLOOKUP(F200,'[5]Codes &amp; Descr. SFICS25'!D:E,2,FALSE)</f>
        <v>4201</v>
      </c>
      <c r="F200" s="111" t="s">
        <v>4010</v>
      </c>
      <c r="G200" s="149" t="s">
        <v>1301</v>
      </c>
      <c r="H200" s="176" t="s">
        <v>1301</v>
      </c>
      <c r="I200" s="176"/>
      <c r="J200" s="176"/>
      <c r="K200" s="177" t="s">
        <v>1301</v>
      </c>
      <c r="L200" s="177" t="s">
        <v>281</v>
      </c>
      <c r="M200" s="178" t="s">
        <v>30</v>
      </c>
      <c r="N200" s="152" t="s">
        <v>2738</v>
      </c>
      <c r="O200" s="152"/>
      <c r="P200" s="152" t="s">
        <v>2738</v>
      </c>
      <c r="Q200" s="152" t="s">
        <v>2738</v>
      </c>
      <c r="R200" s="179" t="s">
        <v>4011</v>
      </c>
      <c r="S200" s="179" t="s">
        <v>4012</v>
      </c>
      <c r="T200" s="153" t="s">
        <v>4013</v>
      </c>
      <c r="U200" s="83">
        <f>IFERROR(VLOOKUP(L200,[2]Mitigation!B:D,2,FALSE),0)</f>
        <v>0</v>
      </c>
      <c r="V200" s="83">
        <f>IFERROR(VLOOKUP($L200,[2]Adaptation!B:D,2,FALSE),0)</f>
        <v>0</v>
      </c>
      <c r="W200" s="83">
        <f>+IFERROR(VLOOKUP($L200,[2]Water!B:D,2,0),0)</f>
        <v>0</v>
      </c>
      <c r="X200" s="83">
        <f>IFERROR(VLOOKUP($L200,'[2]Circ. Economy'!B:D,2,FALSE),0)</f>
        <v>0</v>
      </c>
      <c r="Y200" s="83">
        <f>IFERROR(VLOOKUP($L200,[2]Pollution!B:D,2,FALSE),0)</f>
        <v>0</v>
      </c>
      <c r="Z200" s="83">
        <f>IFERROR(VLOOKUP($L200,[2]Biodiversity!B:D,2,FALSE),0)</f>
        <v>0</v>
      </c>
      <c r="AA200" s="83">
        <f>IFERROR(VLOOKUP($L200,[2]Biodiversity!C:E,2,FALSE),0)</f>
        <v>0</v>
      </c>
      <c r="AB200" s="83">
        <v>1</v>
      </c>
      <c r="AC200" s="163"/>
    </row>
    <row r="201" spans="1:29" ht="14.25" customHeight="1">
      <c r="A201" s="175"/>
      <c r="B201" s="175">
        <v>197</v>
      </c>
      <c r="C201" s="149" t="str">
        <f>VLOOKUP(D201,'[5]Codes &amp; Descr. SFICS25'!B:C,2,FALSE)</f>
        <v>43</v>
      </c>
      <c r="D201" s="115" t="s">
        <v>4014</v>
      </c>
      <c r="E201" s="149">
        <f>+VLOOKUP(F201,'[5]Codes &amp; Descr. SFICS25'!D:E,2,FALSE)</f>
        <v>4301</v>
      </c>
      <c r="F201" s="111" t="s">
        <v>4015</v>
      </c>
      <c r="G201" s="149" t="s">
        <v>1301</v>
      </c>
      <c r="H201" s="176" t="s">
        <v>1301</v>
      </c>
      <c r="I201" s="176"/>
      <c r="J201" s="176"/>
      <c r="K201" s="177" t="s">
        <v>1301</v>
      </c>
      <c r="L201" s="177" t="s">
        <v>281</v>
      </c>
      <c r="M201" s="178" t="s">
        <v>30</v>
      </c>
      <c r="N201" s="152" t="s">
        <v>2738</v>
      </c>
      <c r="O201" s="152"/>
      <c r="P201" s="152" t="s">
        <v>2738</v>
      </c>
      <c r="Q201" s="152" t="s">
        <v>2738</v>
      </c>
      <c r="R201" s="179" t="s">
        <v>4016</v>
      </c>
      <c r="S201" s="179" t="s">
        <v>4017</v>
      </c>
      <c r="T201" s="153" t="s">
        <v>4018</v>
      </c>
      <c r="U201" s="83">
        <f>IFERROR(VLOOKUP(L201,[2]Mitigation!B:D,2,FALSE),0)</f>
        <v>0</v>
      </c>
      <c r="V201" s="83">
        <f>IFERROR(VLOOKUP($L201,[2]Adaptation!B:D,2,FALSE),0)</f>
        <v>0</v>
      </c>
      <c r="W201" s="83">
        <f>+IFERROR(VLOOKUP($L201,[2]Water!B:D,2,0),0)</f>
        <v>0</v>
      </c>
      <c r="X201" s="83">
        <f>IFERROR(VLOOKUP($L201,'[2]Circ. Economy'!B:D,2,FALSE),0)</f>
        <v>0</v>
      </c>
      <c r="Y201" s="83">
        <f>IFERROR(VLOOKUP($L201,[2]Pollution!B:D,2,FALSE),0)</f>
        <v>0</v>
      </c>
      <c r="Z201" s="83">
        <f>IFERROR(VLOOKUP($L201,[2]Biodiversity!B:D,2,FALSE),0)</f>
        <v>0</v>
      </c>
      <c r="AA201" s="83">
        <f>IFERROR(VLOOKUP($L201,[2]Biodiversity!C:E,2,FALSE),0)</f>
        <v>0</v>
      </c>
      <c r="AB201" s="83">
        <v>1</v>
      </c>
      <c r="AC201" s="163"/>
    </row>
    <row r="202" spans="1:29" ht="14.25" customHeight="1">
      <c r="A202" s="175"/>
      <c r="B202" s="175">
        <v>198</v>
      </c>
      <c r="C202" s="149" t="str">
        <f>VLOOKUP(D202,'[5]Codes &amp; Descr. SFICS25'!B:C,2,FALSE)</f>
        <v>44</v>
      </c>
      <c r="D202" s="115" t="s">
        <v>4019</v>
      </c>
      <c r="E202" s="149">
        <f>+VLOOKUP(F202,'[5]Codes &amp; Descr. SFICS25'!D:E,2,FALSE)</f>
        <v>4401</v>
      </c>
      <c r="F202" s="111" t="s">
        <v>4020</v>
      </c>
      <c r="G202" s="149" t="s">
        <v>1301</v>
      </c>
      <c r="H202" s="176" t="s">
        <v>1301</v>
      </c>
      <c r="I202" s="176"/>
      <c r="J202" s="176"/>
      <c r="K202" s="177"/>
      <c r="L202" s="177"/>
      <c r="M202" s="178" t="s">
        <v>30</v>
      </c>
      <c r="N202" s="152" t="s">
        <v>2738</v>
      </c>
      <c r="O202" s="152"/>
      <c r="P202" s="152" t="s">
        <v>2738</v>
      </c>
      <c r="Q202" s="152" t="s">
        <v>2738</v>
      </c>
      <c r="R202" s="182" t="s">
        <v>4019</v>
      </c>
      <c r="S202" s="182" t="s">
        <v>4021</v>
      </c>
      <c r="T202" s="183" t="s">
        <v>4022</v>
      </c>
      <c r="U202" s="83">
        <f>IFERROR(VLOOKUP(L202,[2]Mitigation!B:D,2,FALSE),0)</f>
        <v>0</v>
      </c>
      <c r="V202" s="83">
        <f>IFERROR(VLOOKUP($L202,[2]Adaptation!B:D,2,FALSE),0)</f>
        <v>0</v>
      </c>
      <c r="W202" s="83">
        <f>+IFERROR(VLOOKUP($L202,[2]Water!B:D,2,0),0)</f>
        <v>0</v>
      </c>
      <c r="X202" s="83">
        <f>IFERROR(VLOOKUP($L202,'[2]Circ. Economy'!B:D,2,FALSE),0)</f>
        <v>0</v>
      </c>
      <c r="Y202" s="83">
        <f>IFERROR(VLOOKUP($L202,[2]Pollution!B:D,2,FALSE),0)</f>
        <v>0</v>
      </c>
      <c r="Z202" s="83">
        <f>IFERROR(VLOOKUP($L202,[2]Biodiversity!B:D,2,FALSE),0)</f>
        <v>0</v>
      </c>
      <c r="AA202" s="83">
        <f>IFERROR(VLOOKUP($L202,[2]Biodiversity!C:E,2,FALSE),0)</f>
        <v>0</v>
      </c>
      <c r="AB202" s="83">
        <v>1</v>
      </c>
      <c r="AC202" s="163"/>
    </row>
    <row r="203" spans="1:29" ht="32.25" customHeight="1">
      <c r="A203" s="184"/>
      <c r="B203" s="175">
        <v>199</v>
      </c>
      <c r="C203" s="185">
        <v>45</v>
      </c>
      <c r="D203" s="185" t="s">
        <v>4023</v>
      </c>
      <c r="E203" s="185">
        <v>4501</v>
      </c>
      <c r="F203" s="185" t="s">
        <v>4024</v>
      </c>
      <c r="G203" s="186" t="s">
        <v>1301</v>
      </c>
      <c r="H203" s="187" t="s">
        <v>1301</v>
      </c>
      <c r="I203" s="187"/>
      <c r="J203" s="187"/>
      <c r="K203" s="187"/>
      <c r="L203" s="187"/>
      <c r="M203" s="178" t="s">
        <v>30</v>
      </c>
      <c r="N203" s="152" t="s">
        <v>2738</v>
      </c>
      <c r="O203" s="152"/>
      <c r="P203" s="152" t="s">
        <v>2738</v>
      </c>
      <c r="Q203" s="152" t="s">
        <v>2738</v>
      </c>
      <c r="R203" s="185" t="s">
        <v>4025</v>
      </c>
      <c r="S203" s="185" t="s">
        <v>4026</v>
      </c>
      <c r="T203" s="188" t="s">
        <v>4027</v>
      </c>
      <c r="U203" s="83">
        <f>IFERROR(VLOOKUP(L203,[2]Mitigation!B:D,2,FALSE),0)</f>
        <v>0</v>
      </c>
      <c r="V203" s="83">
        <f>IFERROR(VLOOKUP($L203,[2]Adaptation!B:D,2,FALSE),0)</f>
        <v>0</v>
      </c>
      <c r="W203" s="83">
        <f>+IFERROR(VLOOKUP($L203,[2]Water!B:D,2,0),0)</f>
        <v>0</v>
      </c>
      <c r="X203" s="83">
        <f>IFERROR(VLOOKUP($L203,'[2]Circ. Economy'!B:D,2,FALSE),0)</f>
        <v>0</v>
      </c>
      <c r="Y203" s="83">
        <f>IFERROR(VLOOKUP($L203,[2]Pollution!B:D,2,FALSE),0)</f>
        <v>0</v>
      </c>
      <c r="Z203" s="83">
        <f>IFERROR(VLOOKUP($L203,[2]Biodiversity!B:D,2,FALSE),0)</f>
        <v>0</v>
      </c>
      <c r="AA203" s="83">
        <f>IFERROR(VLOOKUP($L203,[2]Biodiversity!C:E,2,FALSE),0)</f>
        <v>0</v>
      </c>
      <c r="AB203" s="83">
        <v>1</v>
      </c>
      <c r="AC203" s="189"/>
    </row>
    <row r="204" spans="1:29" ht="14.25" customHeight="1">
      <c r="A204" s="180"/>
      <c r="B204" s="180"/>
      <c r="C204" s="120"/>
      <c r="D204" s="121"/>
      <c r="E204" s="121"/>
      <c r="F204" s="120"/>
      <c r="G204" s="120"/>
      <c r="H204" s="121"/>
      <c r="I204" s="121"/>
      <c r="J204" s="121"/>
      <c r="K204" s="120"/>
      <c r="L204" s="120"/>
      <c r="M204" s="122"/>
      <c r="N204" s="121"/>
      <c r="O204" s="121"/>
      <c r="P204" s="121"/>
      <c r="Q204" s="121"/>
      <c r="R204" s="120"/>
      <c r="S204" s="120"/>
      <c r="T204" s="120"/>
      <c r="U204" s="190"/>
      <c r="V204" s="190"/>
      <c r="W204" s="190"/>
      <c r="X204" s="190"/>
      <c r="Y204" s="190"/>
      <c r="Z204" s="190"/>
      <c r="AA204" s="120"/>
      <c r="AB204" s="120"/>
      <c r="AC204" s="163"/>
    </row>
    <row r="205" spans="1:29" ht="14.25" customHeight="1">
      <c r="A205" s="120"/>
      <c r="B205" s="120"/>
      <c r="C205" s="120"/>
      <c r="D205" s="121"/>
      <c r="E205" s="121"/>
      <c r="F205" s="120"/>
      <c r="G205" s="120"/>
      <c r="H205" s="121"/>
      <c r="I205" s="121"/>
      <c r="J205" s="121"/>
      <c r="K205" s="120"/>
      <c r="L205" s="120"/>
      <c r="M205" s="122"/>
      <c r="N205" s="121"/>
      <c r="O205" s="121"/>
      <c r="P205" s="121"/>
      <c r="Q205" s="121"/>
      <c r="R205" s="120"/>
      <c r="S205" s="120"/>
      <c r="T205" s="120"/>
      <c r="U205" s="190"/>
      <c r="V205" s="190"/>
      <c r="W205" s="190"/>
      <c r="X205" s="190"/>
      <c r="Y205" s="190"/>
      <c r="Z205" s="190"/>
      <c r="AA205" s="120"/>
      <c r="AB205" s="120"/>
      <c r="AC205" s="163"/>
    </row>
    <row r="206" spans="1:29" ht="14.25" customHeight="1">
      <c r="A206" s="120"/>
      <c r="B206" s="120"/>
      <c r="C206" s="120"/>
      <c r="D206" s="121"/>
      <c r="E206" s="120"/>
      <c r="F206" s="120"/>
      <c r="G206" s="120"/>
      <c r="H206" s="121"/>
      <c r="I206" s="121"/>
      <c r="J206" s="121"/>
      <c r="K206" s="120"/>
      <c r="L206" s="120"/>
      <c r="M206" s="122"/>
      <c r="N206" s="121"/>
      <c r="O206" s="121"/>
      <c r="P206" s="121"/>
      <c r="Q206" s="121"/>
      <c r="R206" s="120"/>
      <c r="S206" s="120"/>
      <c r="T206" s="120"/>
      <c r="U206" s="190"/>
      <c r="V206" s="190"/>
      <c r="W206" s="190"/>
      <c r="X206" s="190"/>
      <c r="Y206" s="190"/>
      <c r="Z206" s="190"/>
      <c r="AA206" s="120"/>
      <c r="AB206" s="120"/>
      <c r="AC206" s="163"/>
    </row>
    <row r="207" spans="1:29" ht="14.25" customHeight="1">
      <c r="A207" s="120"/>
      <c r="B207" s="120"/>
      <c r="C207" s="120"/>
      <c r="D207" s="121"/>
      <c r="E207" s="121"/>
      <c r="F207" s="120"/>
      <c r="G207" s="120"/>
      <c r="H207" s="121"/>
      <c r="I207" s="121"/>
      <c r="J207" s="121"/>
      <c r="K207" s="120"/>
      <c r="L207" s="120"/>
      <c r="M207" s="122"/>
      <c r="N207" s="121"/>
      <c r="O207" s="121"/>
      <c r="P207" s="121"/>
      <c r="Q207" s="121"/>
      <c r="R207" s="120"/>
      <c r="S207" s="120"/>
      <c r="T207" s="120"/>
      <c r="U207" s="190"/>
      <c r="V207" s="190"/>
      <c r="W207" s="190"/>
      <c r="X207" s="190"/>
      <c r="Y207" s="190"/>
      <c r="Z207" s="190"/>
      <c r="AA207" s="120"/>
      <c r="AB207" s="120"/>
      <c r="AC207" s="163"/>
    </row>
    <row r="208" spans="1:29" ht="14.25" customHeight="1">
      <c r="A208" s="120"/>
      <c r="B208" s="120"/>
      <c r="C208" s="120"/>
      <c r="D208" s="121"/>
      <c r="E208" s="121"/>
      <c r="F208" s="120"/>
      <c r="G208" s="120"/>
      <c r="H208" s="121"/>
      <c r="I208" s="121"/>
      <c r="J208" s="121"/>
      <c r="K208" s="120"/>
      <c r="L208" s="120"/>
      <c r="M208" s="122"/>
      <c r="N208" s="121"/>
      <c r="O208" s="121"/>
      <c r="P208" s="121"/>
      <c r="Q208" s="121"/>
      <c r="R208" s="120"/>
      <c r="S208" s="120"/>
      <c r="T208" s="120"/>
      <c r="U208" s="190"/>
      <c r="V208" s="190"/>
      <c r="W208" s="190"/>
      <c r="X208" s="190"/>
      <c r="Y208" s="190"/>
      <c r="Z208" s="190"/>
      <c r="AA208" s="120"/>
      <c r="AB208" s="120"/>
      <c r="AC208" s="163"/>
    </row>
    <row r="209" spans="1:29" ht="14.25" customHeight="1">
      <c r="A209" s="120"/>
      <c r="B209" s="120"/>
      <c r="C209" s="120"/>
      <c r="D209" s="121"/>
      <c r="E209" s="121"/>
      <c r="F209" s="120"/>
      <c r="G209" s="120"/>
      <c r="H209" s="121"/>
      <c r="I209" s="121"/>
      <c r="J209" s="121"/>
      <c r="K209" s="120"/>
      <c r="L209" s="120"/>
      <c r="M209" s="122"/>
      <c r="N209" s="121"/>
      <c r="O209" s="121"/>
      <c r="P209" s="121"/>
      <c r="Q209" s="121"/>
      <c r="R209" s="120"/>
      <c r="S209" s="120"/>
      <c r="T209" s="120"/>
      <c r="U209" s="190"/>
      <c r="V209" s="190"/>
      <c r="W209" s="190"/>
      <c r="X209" s="190"/>
      <c r="Y209" s="190"/>
      <c r="Z209" s="190"/>
      <c r="AA209" s="120"/>
      <c r="AB209" s="120"/>
      <c r="AC209" s="163"/>
    </row>
    <row r="210" spans="1:29" ht="14.25" customHeight="1">
      <c r="A210" s="120"/>
      <c r="B210" s="120"/>
      <c r="C210" s="120"/>
      <c r="D210" s="121"/>
      <c r="E210" s="121"/>
      <c r="F210" s="120"/>
      <c r="G210" s="120"/>
      <c r="H210" s="121"/>
      <c r="I210" s="121"/>
      <c r="J210" s="121"/>
      <c r="K210" s="120"/>
      <c r="L210" s="120"/>
      <c r="M210" s="122"/>
      <c r="N210" s="121"/>
      <c r="O210" s="121"/>
      <c r="P210" s="121"/>
      <c r="Q210" s="121"/>
      <c r="R210" s="120"/>
      <c r="S210" s="120"/>
      <c r="T210" s="120"/>
      <c r="U210" s="190"/>
      <c r="V210" s="190"/>
      <c r="W210" s="190"/>
      <c r="X210" s="190"/>
      <c r="Y210" s="190"/>
      <c r="Z210" s="190"/>
      <c r="AA210" s="120"/>
      <c r="AB210" s="120"/>
      <c r="AC210" s="163"/>
    </row>
    <row r="211" spans="1:29" ht="14.25" customHeight="1">
      <c r="A211" s="120"/>
      <c r="B211" s="120"/>
      <c r="C211" s="120"/>
      <c r="D211" s="121"/>
      <c r="E211" s="121"/>
      <c r="F211" s="120"/>
      <c r="G211" s="120"/>
      <c r="H211" s="121"/>
      <c r="I211" s="121"/>
      <c r="J211" s="121"/>
      <c r="K211" s="120"/>
      <c r="L211" s="120"/>
      <c r="M211" s="122"/>
      <c r="N211" s="121"/>
      <c r="O211" s="121"/>
      <c r="P211" s="121"/>
      <c r="Q211" s="121"/>
      <c r="R211" s="120"/>
      <c r="S211" s="120"/>
      <c r="T211" s="120"/>
      <c r="U211" s="190"/>
      <c r="V211" s="190"/>
      <c r="W211" s="190"/>
      <c r="X211" s="190"/>
      <c r="Y211" s="190"/>
      <c r="Z211" s="190"/>
      <c r="AA211" s="120"/>
      <c r="AB211" s="120"/>
      <c r="AC211" s="163"/>
    </row>
    <row r="212" spans="1:29" ht="14.25" customHeight="1">
      <c r="A212" s="120"/>
      <c r="B212" s="120"/>
      <c r="C212" s="120"/>
      <c r="D212" s="121"/>
      <c r="E212" s="121"/>
      <c r="F212" s="120"/>
      <c r="G212" s="120"/>
      <c r="H212" s="121"/>
      <c r="I212" s="121"/>
      <c r="J212" s="121"/>
      <c r="K212" s="120"/>
      <c r="L212" s="120"/>
      <c r="M212" s="122"/>
      <c r="N212" s="121"/>
      <c r="O212" s="121"/>
      <c r="P212" s="121"/>
      <c r="Q212" s="121"/>
      <c r="R212" s="120"/>
      <c r="S212" s="120"/>
      <c r="T212" s="120"/>
      <c r="U212" s="190"/>
      <c r="V212" s="190"/>
      <c r="W212" s="190"/>
      <c r="X212" s="190"/>
      <c r="Y212" s="190"/>
      <c r="Z212" s="190"/>
      <c r="AA212" s="120"/>
      <c r="AB212" s="120"/>
      <c r="AC212" s="163"/>
    </row>
    <row r="213" spans="1:29" ht="14.25" customHeight="1">
      <c r="A213" s="120"/>
      <c r="B213" s="120"/>
      <c r="C213" s="120"/>
      <c r="D213" s="121"/>
      <c r="E213" s="121"/>
      <c r="F213" s="120"/>
      <c r="G213" s="120"/>
      <c r="H213" s="121"/>
      <c r="I213" s="121"/>
      <c r="J213" s="121"/>
      <c r="K213" s="120"/>
      <c r="L213" s="120"/>
      <c r="M213" s="122"/>
      <c r="N213" s="121"/>
      <c r="O213" s="121"/>
      <c r="P213" s="121"/>
      <c r="Q213" s="121"/>
      <c r="R213" s="120"/>
      <c r="S213" s="120"/>
      <c r="T213" s="120"/>
      <c r="U213" s="190"/>
      <c r="V213" s="190"/>
      <c r="W213" s="190"/>
      <c r="X213" s="190"/>
      <c r="Y213" s="190"/>
      <c r="Z213" s="190"/>
      <c r="AA213" s="120"/>
      <c r="AB213" s="120"/>
      <c r="AC213" s="163"/>
    </row>
    <row r="214" spans="1:29" ht="14.25" customHeight="1">
      <c r="A214" s="120"/>
      <c r="B214" s="120"/>
      <c r="C214" s="120"/>
      <c r="D214" s="121"/>
      <c r="E214" s="121"/>
      <c r="F214" s="120"/>
      <c r="G214" s="120"/>
      <c r="H214" s="121"/>
      <c r="I214" s="121"/>
      <c r="J214" s="121"/>
      <c r="K214" s="120"/>
      <c r="L214" s="120"/>
      <c r="M214" s="122"/>
      <c r="N214" s="121"/>
      <c r="O214" s="121"/>
      <c r="P214" s="121"/>
      <c r="Q214" s="121"/>
      <c r="R214" s="120"/>
      <c r="S214" s="120"/>
      <c r="T214" s="120"/>
      <c r="U214" s="190"/>
      <c r="V214" s="190"/>
      <c r="W214" s="190"/>
      <c r="X214" s="190"/>
      <c r="Y214" s="190"/>
      <c r="Z214" s="190"/>
      <c r="AA214" s="120"/>
      <c r="AB214" s="120"/>
      <c r="AC214" s="163"/>
    </row>
    <row r="215" spans="1:29" ht="14.25" customHeight="1">
      <c r="A215" s="120"/>
      <c r="B215" s="120"/>
      <c r="C215" s="120"/>
      <c r="D215" s="121"/>
      <c r="E215" s="121"/>
      <c r="F215" s="120"/>
      <c r="G215" s="120"/>
      <c r="H215" s="121"/>
      <c r="I215" s="121"/>
      <c r="J215" s="121"/>
      <c r="K215" s="120"/>
      <c r="L215" s="120"/>
      <c r="M215" s="122"/>
      <c r="N215" s="121"/>
      <c r="O215" s="121"/>
      <c r="P215" s="121"/>
      <c r="Q215" s="121"/>
      <c r="R215" s="120"/>
      <c r="S215" s="120"/>
      <c r="T215" s="120"/>
      <c r="U215" s="190"/>
      <c r="V215" s="190"/>
      <c r="W215" s="190"/>
      <c r="X215" s="190"/>
      <c r="Y215" s="190"/>
      <c r="Z215" s="190"/>
      <c r="AA215" s="120"/>
      <c r="AB215" s="120"/>
      <c r="AC215" s="163"/>
    </row>
    <row r="216" spans="1:29" ht="14.25" customHeight="1">
      <c r="A216" s="120"/>
      <c r="B216" s="120"/>
      <c r="C216" s="120"/>
      <c r="D216" s="121"/>
      <c r="E216" s="121"/>
      <c r="F216" s="120"/>
      <c r="G216" s="120"/>
      <c r="H216" s="121"/>
      <c r="I216" s="121"/>
      <c r="J216" s="121"/>
      <c r="K216" s="120"/>
      <c r="L216" s="120"/>
      <c r="M216" s="122"/>
      <c r="N216" s="121"/>
      <c r="O216" s="121"/>
      <c r="P216" s="121"/>
      <c r="Q216" s="121"/>
      <c r="R216" s="120"/>
      <c r="S216" s="120"/>
      <c r="T216" s="120"/>
      <c r="U216" s="190"/>
      <c r="V216" s="190"/>
      <c r="W216" s="190"/>
      <c r="X216" s="190"/>
      <c r="Y216" s="190"/>
      <c r="Z216" s="190"/>
      <c r="AA216" s="120"/>
      <c r="AB216" s="120"/>
      <c r="AC216" s="120"/>
    </row>
    <row r="217" spans="1:29" ht="14.25" customHeight="1">
      <c r="A217" s="120"/>
      <c r="B217" s="120"/>
      <c r="C217" s="120"/>
      <c r="D217" s="121"/>
      <c r="E217" s="121"/>
      <c r="F217" s="120"/>
      <c r="G217" s="120"/>
      <c r="H217" s="121"/>
      <c r="I217" s="121"/>
      <c r="J217" s="121"/>
      <c r="K217" s="120"/>
      <c r="L217" s="120"/>
      <c r="M217" s="122"/>
      <c r="N217" s="121"/>
      <c r="O217" s="121"/>
      <c r="P217" s="121"/>
      <c r="Q217" s="121"/>
      <c r="R217" s="120"/>
      <c r="S217" s="120"/>
      <c r="T217" s="120"/>
      <c r="U217" s="190"/>
      <c r="V217" s="190"/>
      <c r="W217" s="190"/>
      <c r="X217" s="190"/>
      <c r="Y217" s="190"/>
      <c r="Z217" s="190"/>
      <c r="AA217" s="120"/>
      <c r="AB217" s="120"/>
      <c r="AC217" s="120"/>
    </row>
    <row r="218" spans="1:29" ht="14.25" customHeight="1">
      <c r="A218" s="120"/>
      <c r="B218" s="120"/>
      <c r="C218" s="120"/>
      <c r="D218" s="121"/>
      <c r="E218" s="121"/>
      <c r="F218" s="120"/>
      <c r="G218" s="120"/>
      <c r="H218" s="121"/>
      <c r="I218" s="121"/>
      <c r="J218" s="121"/>
      <c r="K218" s="120"/>
      <c r="L218" s="120"/>
      <c r="M218" s="122"/>
      <c r="N218" s="121"/>
      <c r="O218" s="121"/>
      <c r="P218" s="121"/>
      <c r="Q218" s="121"/>
      <c r="R218" s="120"/>
      <c r="S218" s="120"/>
      <c r="T218" s="120"/>
      <c r="U218" s="190"/>
      <c r="V218" s="190"/>
      <c r="W218" s="190"/>
      <c r="X218" s="190"/>
      <c r="Y218" s="190"/>
      <c r="Z218" s="190"/>
      <c r="AA218" s="120"/>
      <c r="AB218" s="120"/>
      <c r="AC218" s="120"/>
    </row>
    <row r="219" spans="1:29" ht="14.25" customHeight="1">
      <c r="A219" s="120"/>
      <c r="B219" s="120"/>
      <c r="C219" s="120"/>
      <c r="D219" s="121"/>
      <c r="E219" s="121"/>
      <c r="F219" s="120"/>
      <c r="G219" s="120"/>
      <c r="H219" s="121"/>
      <c r="I219" s="121"/>
      <c r="J219" s="121"/>
      <c r="K219" s="120"/>
      <c r="L219" s="120"/>
      <c r="M219" s="122"/>
      <c r="N219" s="121"/>
      <c r="O219" s="121"/>
      <c r="P219" s="121"/>
      <c r="Q219" s="121"/>
      <c r="R219" s="120"/>
      <c r="S219" s="120"/>
      <c r="T219" s="120"/>
      <c r="U219" s="190"/>
      <c r="V219" s="190"/>
      <c r="W219" s="190"/>
      <c r="X219" s="190"/>
      <c r="Y219" s="190"/>
      <c r="Z219" s="190"/>
      <c r="AA219" s="120"/>
      <c r="AB219" s="120"/>
      <c r="AC219" s="120"/>
    </row>
    <row r="220" spans="1:29" ht="14.25" customHeight="1">
      <c r="A220" s="120"/>
      <c r="B220" s="120"/>
      <c r="C220" s="120"/>
      <c r="D220" s="121"/>
      <c r="E220" s="121"/>
      <c r="F220" s="120"/>
      <c r="G220" s="120"/>
      <c r="H220" s="121"/>
      <c r="I220" s="121"/>
      <c r="J220" s="121"/>
      <c r="K220" s="120"/>
      <c r="L220" s="120"/>
      <c r="M220" s="122"/>
      <c r="N220" s="121"/>
      <c r="O220" s="121"/>
      <c r="P220" s="121"/>
      <c r="Q220" s="121"/>
      <c r="R220" s="120"/>
      <c r="S220" s="120"/>
      <c r="T220" s="120"/>
      <c r="U220" s="190"/>
      <c r="V220" s="190"/>
      <c r="W220" s="190"/>
      <c r="X220" s="190"/>
      <c r="Y220" s="190"/>
      <c r="Z220" s="190"/>
      <c r="AA220" s="120"/>
      <c r="AB220" s="120"/>
      <c r="AC220" s="120"/>
    </row>
    <row r="221" spans="1:29" ht="14.25" customHeight="1">
      <c r="A221" s="120"/>
      <c r="B221" s="120"/>
      <c r="C221" s="120"/>
      <c r="D221" s="121"/>
      <c r="E221" s="121"/>
      <c r="F221" s="120"/>
      <c r="G221" s="120"/>
      <c r="H221" s="121"/>
      <c r="I221" s="121"/>
      <c r="J221" s="121"/>
      <c r="K221" s="120"/>
      <c r="L221" s="120"/>
      <c r="M221" s="122"/>
      <c r="N221" s="121"/>
      <c r="O221" s="121"/>
      <c r="P221" s="121"/>
      <c r="Q221" s="121"/>
      <c r="R221" s="120"/>
      <c r="S221" s="120"/>
      <c r="T221" s="120"/>
      <c r="U221" s="190"/>
      <c r="V221" s="190"/>
      <c r="W221" s="190"/>
      <c r="X221" s="190"/>
      <c r="Y221" s="190"/>
      <c r="Z221" s="190"/>
      <c r="AA221" s="120"/>
      <c r="AB221" s="120"/>
      <c r="AC221" s="120"/>
    </row>
    <row r="222" spans="1:29" ht="14.25" customHeight="1">
      <c r="A222" s="120"/>
      <c r="B222" s="120"/>
      <c r="C222" s="120"/>
      <c r="D222" s="121"/>
      <c r="E222" s="121"/>
      <c r="F222" s="120"/>
      <c r="G222" s="120"/>
      <c r="H222" s="121"/>
      <c r="I222" s="121"/>
      <c r="J222" s="121"/>
      <c r="K222" s="120"/>
      <c r="L222" s="120"/>
      <c r="M222" s="122"/>
      <c r="N222" s="121"/>
      <c r="O222" s="121"/>
      <c r="P222" s="121"/>
      <c r="Q222" s="121"/>
      <c r="R222" s="120"/>
      <c r="S222" s="120"/>
      <c r="T222" s="120"/>
      <c r="U222" s="190"/>
      <c r="V222" s="190"/>
      <c r="W222" s="190"/>
      <c r="X222" s="190"/>
      <c r="Y222" s="190"/>
      <c r="Z222" s="190"/>
      <c r="AA222" s="120"/>
      <c r="AB222" s="120"/>
      <c r="AC222" s="120"/>
    </row>
    <row r="223" spans="1:29" ht="14.25" customHeight="1">
      <c r="A223" s="120"/>
      <c r="B223" s="120"/>
      <c r="C223" s="120"/>
      <c r="D223" s="121"/>
      <c r="E223" s="121"/>
      <c r="F223" s="120"/>
      <c r="G223" s="120"/>
      <c r="H223" s="121"/>
      <c r="I223" s="121"/>
      <c r="J223" s="121"/>
      <c r="K223" s="120"/>
      <c r="L223" s="120"/>
      <c r="M223" s="122"/>
      <c r="N223" s="121"/>
      <c r="O223" s="121"/>
      <c r="P223" s="121"/>
      <c r="Q223" s="121"/>
      <c r="R223" s="120"/>
      <c r="S223" s="120"/>
      <c r="T223" s="120"/>
      <c r="U223" s="190"/>
      <c r="V223" s="190"/>
      <c r="W223" s="190"/>
      <c r="X223" s="190"/>
      <c r="Y223" s="190"/>
      <c r="Z223" s="190"/>
      <c r="AA223" s="120"/>
      <c r="AB223" s="120"/>
      <c r="AC223" s="120"/>
    </row>
    <row r="224" spans="1:29" ht="14.25" customHeight="1">
      <c r="A224" s="120"/>
      <c r="B224" s="120"/>
      <c r="C224" s="120"/>
      <c r="D224" s="121"/>
      <c r="E224" s="121"/>
      <c r="F224" s="120"/>
      <c r="G224" s="120"/>
      <c r="H224" s="121"/>
      <c r="I224" s="121"/>
      <c r="J224" s="121"/>
      <c r="K224" s="120"/>
      <c r="L224" s="120"/>
      <c r="M224" s="122"/>
      <c r="N224" s="121"/>
      <c r="O224" s="121"/>
      <c r="P224" s="121"/>
      <c r="Q224" s="121"/>
      <c r="R224" s="120"/>
      <c r="S224" s="120"/>
      <c r="T224" s="120"/>
      <c r="U224" s="190"/>
      <c r="V224" s="190"/>
      <c r="W224" s="190"/>
      <c r="X224" s="190"/>
      <c r="Y224" s="190"/>
      <c r="Z224" s="190"/>
      <c r="AA224" s="120"/>
      <c r="AB224" s="120"/>
      <c r="AC224" s="120"/>
    </row>
    <row r="225" spans="1:29" ht="14.25" customHeight="1">
      <c r="A225" s="120"/>
      <c r="B225" s="120"/>
      <c r="C225" s="120"/>
      <c r="D225" s="121"/>
      <c r="E225" s="121"/>
      <c r="F225" s="120"/>
      <c r="G225" s="120"/>
      <c r="H225" s="121"/>
      <c r="I225" s="121"/>
      <c r="J225" s="121"/>
      <c r="K225" s="120"/>
      <c r="L225" s="120"/>
      <c r="M225" s="122"/>
      <c r="N225" s="121"/>
      <c r="O225" s="121"/>
      <c r="P225" s="121"/>
      <c r="Q225" s="121"/>
      <c r="R225" s="120"/>
      <c r="S225" s="120"/>
      <c r="T225" s="120"/>
      <c r="U225" s="190"/>
      <c r="V225" s="190"/>
      <c r="W225" s="190"/>
      <c r="X225" s="190"/>
      <c r="Y225" s="190"/>
      <c r="Z225" s="190"/>
      <c r="AA225" s="120"/>
      <c r="AB225" s="120"/>
      <c r="AC225" s="120"/>
    </row>
    <row r="226" spans="1:29" ht="14.25" customHeight="1">
      <c r="A226" s="120"/>
      <c r="B226" s="120"/>
      <c r="C226" s="120"/>
      <c r="D226" s="121"/>
      <c r="E226" s="121"/>
      <c r="F226" s="120"/>
      <c r="G226" s="120"/>
      <c r="H226" s="121"/>
      <c r="I226" s="121"/>
      <c r="J226" s="121"/>
      <c r="K226" s="120"/>
      <c r="L226" s="120"/>
      <c r="M226" s="122"/>
      <c r="N226" s="121"/>
      <c r="O226" s="121"/>
      <c r="P226" s="121"/>
      <c r="Q226" s="121"/>
      <c r="R226" s="120"/>
      <c r="S226" s="120"/>
      <c r="T226" s="120"/>
      <c r="U226" s="190"/>
      <c r="V226" s="190"/>
      <c r="W226" s="190"/>
      <c r="X226" s="190"/>
      <c r="Y226" s="190"/>
      <c r="Z226" s="190"/>
      <c r="AA226" s="120"/>
      <c r="AB226" s="120"/>
      <c r="AC226" s="120"/>
    </row>
    <row r="227" spans="1:29" ht="14.25" customHeight="1">
      <c r="A227" s="120"/>
      <c r="B227" s="120"/>
      <c r="C227" s="120"/>
      <c r="D227" s="121"/>
      <c r="E227" s="121"/>
      <c r="F227" s="120"/>
      <c r="G227" s="120"/>
      <c r="H227" s="121"/>
      <c r="I227" s="121"/>
      <c r="J227" s="121"/>
      <c r="K227" s="120"/>
      <c r="L227" s="120"/>
      <c r="M227" s="122"/>
      <c r="N227" s="121"/>
      <c r="O227" s="121"/>
      <c r="P227" s="121"/>
      <c r="Q227" s="121"/>
      <c r="R227" s="120"/>
      <c r="S227" s="120"/>
      <c r="T227" s="120"/>
      <c r="U227" s="190"/>
      <c r="V227" s="190"/>
      <c r="W227" s="190"/>
      <c r="X227" s="190"/>
      <c r="Y227" s="190"/>
      <c r="Z227" s="190"/>
      <c r="AA227" s="120"/>
      <c r="AB227" s="120"/>
      <c r="AC227" s="120"/>
    </row>
    <row r="228" spans="1:29" ht="14.25" customHeight="1">
      <c r="A228" s="120"/>
      <c r="B228" s="120"/>
      <c r="C228" s="120"/>
      <c r="D228" s="121"/>
      <c r="E228" s="121"/>
      <c r="F228" s="120"/>
      <c r="G228" s="120"/>
      <c r="H228" s="121"/>
      <c r="I228" s="121"/>
      <c r="J228" s="121"/>
      <c r="K228" s="120"/>
      <c r="L228" s="120"/>
      <c r="M228" s="122"/>
      <c r="N228" s="121"/>
      <c r="O228" s="121"/>
      <c r="P228" s="121"/>
      <c r="Q228" s="121"/>
      <c r="R228" s="120"/>
      <c r="S228" s="120"/>
      <c r="T228" s="120"/>
      <c r="U228" s="190"/>
      <c r="V228" s="190"/>
      <c r="W228" s="190"/>
      <c r="X228" s="190"/>
      <c r="Y228" s="190"/>
      <c r="Z228" s="190"/>
      <c r="AA228" s="120"/>
      <c r="AB228" s="120"/>
      <c r="AC228" s="120"/>
    </row>
    <row r="229" spans="1:29" ht="14.25" customHeight="1">
      <c r="A229" s="120"/>
      <c r="B229" s="120"/>
      <c r="C229" s="120"/>
      <c r="D229" s="121"/>
      <c r="E229" s="121"/>
      <c r="F229" s="120"/>
      <c r="G229" s="120"/>
      <c r="H229" s="121"/>
      <c r="I229" s="121"/>
      <c r="J229" s="121"/>
      <c r="K229" s="120"/>
      <c r="L229" s="120"/>
      <c r="M229" s="122"/>
      <c r="N229" s="121"/>
      <c r="O229" s="121"/>
      <c r="P229" s="121"/>
      <c r="Q229" s="121"/>
      <c r="R229" s="120"/>
      <c r="S229" s="120"/>
      <c r="T229" s="120"/>
      <c r="U229" s="190"/>
      <c r="V229" s="190"/>
      <c r="W229" s="190"/>
      <c r="X229" s="190"/>
      <c r="Y229" s="190"/>
      <c r="Z229" s="190"/>
      <c r="AA229" s="120"/>
      <c r="AB229" s="120"/>
      <c r="AC229" s="120"/>
    </row>
    <row r="230" spans="1:29" ht="14.25" customHeight="1">
      <c r="A230" s="120"/>
      <c r="B230" s="120"/>
      <c r="C230" s="120"/>
      <c r="D230" s="121"/>
      <c r="E230" s="121"/>
      <c r="F230" s="120"/>
      <c r="G230" s="120"/>
      <c r="H230" s="121"/>
      <c r="I230" s="121"/>
      <c r="J230" s="121"/>
      <c r="K230" s="120"/>
      <c r="L230" s="120"/>
      <c r="M230" s="122"/>
      <c r="N230" s="121"/>
      <c r="O230" s="121"/>
      <c r="P230" s="121"/>
      <c r="Q230" s="121"/>
      <c r="R230" s="120"/>
      <c r="S230" s="120"/>
      <c r="T230" s="120"/>
      <c r="U230" s="190"/>
      <c r="V230" s="190"/>
      <c r="W230" s="190"/>
      <c r="X230" s="190"/>
      <c r="Y230" s="190"/>
      <c r="Z230" s="190"/>
      <c r="AA230" s="120"/>
      <c r="AB230" s="120"/>
      <c r="AC230" s="120"/>
    </row>
    <row r="231" spans="1:29" ht="14.25" customHeight="1">
      <c r="A231" s="120"/>
      <c r="B231" s="120"/>
      <c r="C231" s="120"/>
      <c r="D231" s="121"/>
      <c r="E231" s="121"/>
      <c r="F231" s="120"/>
      <c r="G231" s="120"/>
      <c r="H231" s="121"/>
      <c r="I231" s="121"/>
      <c r="J231" s="121"/>
      <c r="K231" s="120"/>
      <c r="L231" s="120"/>
      <c r="M231" s="122"/>
      <c r="N231" s="121"/>
      <c r="O231" s="121"/>
      <c r="P231" s="121"/>
      <c r="Q231" s="121"/>
      <c r="R231" s="120"/>
      <c r="S231" s="120"/>
      <c r="T231" s="120"/>
      <c r="U231" s="190"/>
      <c r="V231" s="190"/>
      <c r="W231" s="190"/>
      <c r="X231" s="190"/>
      <c r="Y231" s="190"/>
      <c r="Z231" s="190"/>
      <c r="AA231" s="120"/>
      <c r="AB231" s="120"/>
      <c r="AC231" s="120"/>
    </row>
    <row r="232" spans="1:29" ht="14.25" customHeight="1">
      <c r="A232" s="120"/>
      <c r="B232" s="120"/>
      <c r="C232" s="120"/>
      <c r="D232" s="121"/>
      <c r="E232" s="121"/>
      <c r="F232" s="120"/>
      <c r="G232" s="120"/>
      <c r="H232" s="121"/>
      <c r="I232" s="121"/>
      <c r="J232" s="121"/>
      <c r="K232" s="120"/>
      <c r="L232" s="120"/>
      <c r="M232" s="122"/>
      <c r="N232" s="121"/>
      <c r="O232" s="121"/>
      <c r="P232" s="121"/>
      <c r="Q232" s="121"/>
      <c r="R232" s="120"/>
      <c r="S232" s="120"/>
      <c r="T232" s="120"/>
      <c r="U232" s="190"/>
      <c r="V232" s="190"/>
      <c r="W232" s="190"/>
      <c r="X232" s="190"/>
      <c r="Y232" s="190"/>
      <c r="Z232" s="190"/>
      <c r="AA232" s="120"/>
      <c r="AB232" s="120"/>
      <c r="AC232" s="120"/>
    </row>
    <row r="233" spans="1:29" ht="14.25" customHeight="1">
      <c r="A233" s="120"/>
      <c r="B233" s="120"/>
      <c r="C233" s="120"/>
      <c r="D233" s="121"/>
      <c r="E233" s="121"/>
      <c r="F233" s="120"/>
      <c r="G233" s="120"/>
      <c r="H233" s="121"/>
      <c r="I233" s="121"/>
      <c r="J233" s="121"/>
      <c r="K233" s="120"/>
      <c r="L233" s="120"/>
      <c r="M233" s="122"/>
      <c r="N233" s="121"/>
      <c r="O233" s="121"/>
      <c r="P233" s="121"/>
      <c r="Q233" s="121"/>
      <c r="R233" s="120"/>
      <c r="S233" s="120"/>
      <c r="T233" s="120"/>
      <c r="U233" s="190"/>
      <c r="V233" s="190"/>
      <c r="W233" s="190"/>
      <c r="X233" s="190"/>
      <c r="Y233" s="190"/>
      <c r="Z233" s="190"/>
      <c r="AA233" s="120"/>
      <c r="AB233" s="120"/>
      <c r="AC233" s="120"/>
    </row>
    <row r="234" spans="1:29" ht="14.25" customHeight="1">
      <c r="A234" s="120"/>
      <c r="B234" s="120"/>
      <c r="C234" s="120"/>
      <c r="D234" s="121"/>
      <c r="E234" s="121"/>
      <c r="F234" s="120"/>
      <c r="G234" s="120"/>
      <c r="H234" s="121"/>
      <c r="I234" s="121"/>
      <c r="J234" s="121"/>
      <c r="K234" s="120"/>
      <c r="L234" s="120"/>
      <c r="M234" s="122"/>
      <c r="N234" s="121"/>
      <c r="O234" s="121"/>
      <c r="P234" s="121"/>
      <c r="Q234" s="121"/>
      <c r="R234" s="120"/>
      <c r="S234" s="120"/>
      <c r="T234" s="120"/>
      <c r="U234" s="190"/>
      <c r="V234" s="190"/>
      <c r="W234" s="190"/>
      <c r="X234" s="190"/>
      <c r="Y234" s="190"/>
      <c r="Z234" s="190"/>
      <c r="AA234" s="120"/>
      <c r="AB234" s="120"/>
      <c r="AC234" s="120"/>
    </row>
    <row r="235" spans="1:29" ht="14.25" customHeight="1">
      <c r="A235" s="120"/>
      <c r="B235" s="120"/>
      <c r="C235" s="120"/>
      <c r="D235" s="121"/>
      <c r="E235" s="121"/>
      <c r="F235" s="120"/>
      <c r="G235" s="120"/>
      <c r="H235" s="121"/>
      <c r="I235" s="121"/>
      <c r="J235" s="121"/>
      <c r="K235" s="120"/>
      <c r="L235" s="120"/>
      <c r="M235" s="122"/>
      <c r="N235" s="121"/>
      <c r="O235" s="121"/>
      <c r="P235" s="121"/>
      <c r="Q235" s="121"/>
      <c r="R235" s="120"/>
      <c r="S235" s="120"/>
      <c r="T235" s="120"/>
      <c r="U235" s="190"/>
      <c r="V235" s="190"/>
      <c r="W235" s="190"/>
      <c r="X235" s="190"/>
      <c r="Y235" s="190"/>
      <c r="Z235" s="190"/>
      <c r="AA235" s="120"/>
      <c r="AB235" s="120"/>
      <c r="AC235" s="120"/>
    </row>
    <row r="236" spans="1:29" ht="14.25" customHeight="1">
      <c r="A236" s="120"/>
      <c r="B236" s="120"/>
      <c r="C236" s="120"/>
      <c r="D236" s="121"/>
      <c r="E236" s="121"/>
      <c r="F236" s="120"/>
      <c r="G236" s="120"/>
      <c r="H236" s="121"/>
      <c r="I236" s="121"/>
      <c r="J236" s="121"/>
      <c r="K236" s="120"/>
      <c r="L236" s="120"/>
      <c r="M236" s="122"/>
      <c r="N236" s="121"/>
      <c r="O236" s="121"/>
      <c r="P236" s="121"/>
      <c r="Q236" s="121"/>
      <c r="R236" s="120"/>
      <c r="S236" s="120"/>
      <c r="T236" s="120"/>
      <c r="U236" s="190"/>
      <c r="V236" s="190"/>
      <c r="W236" s="190"/>
      <c r="X236" s="190"/>
      <c r="Y236" s="190"/>
      <c r="Z236" s="190"/>
      <c r="AA236" s="120"/>
      <c r="AB236" s="120"/>
      <c r="AC236" s="120"/>
    </row>
    <row r="237" spans="1:29" ht="14.25" customHeight="1">
      <c r="A237" s="120"/>
      <c r="B237" s="120"/>
      <c r="C237" s="120"/>
      <c r="D237" s="121"/>
      <c r="E237" s="121"/>
      <c r="F237" s="120"/>
      <c r="G237" s="120"/>
      <c r="H237" s="121"/>
      <c r="I237" s="121"/>
      <c r="J237" s="121"/>
      <c r="K237" s="120"/>
      <c r="L237" s="120"/>
      <c r="M237" s="122"/>
      <c r="N237" s="121"/>
      <c r="O237" s="121"/>
      <c r="P237" s="121"/>
      <c r="Q237" s="121"/>
      <c r="R237" s="120"/>
      <c r="S237" s="120"/>
      <c r="T237" s="120"/>
      <c r="U237" s="190"/>
      <c r="V237" s="190"/>
      <c r="W237" s="190"/>
      <c r="X237" s="190"/>
      <c r="Y237" s="190"/>
      <c r="Z237" s="190"/>
      <c r="AA237" s="120"/>
      <c r="AB237" s="120"/>
      <c r="AC237" s="120"/>
    </row>
    <row r="238" spans="1:29" ht="14.25" customHeight="1">
      <c r="A238" s="120"/>
      <c r="B238" s="120"/>
      <c r="C238" s="120"/>
      <c r="D238" s="121"/>
      <c r="E238" s="121"/>
      <c r="F238" s="120"/>
      <c r="G238" s="120"/>
      <c r="H238" s="121"/>
      <c r="I238" s="121"/>
      <c r="J238" s="121"/>
      <c r="K238" s="120"/>
      <c r="L238" s="120"/>
      <c r="M238" s="122"/>
      <c r="N238" s="121"/>
      <c r="O238" s="121"/>
      <c r="P238" s="121"/>
      <c r="Q238" s="121"/>
      <c r="R238" s="120"/>
      <c r="S238" s="120"/>
      <c r="T238" s="120"/>
      <c r="U238" s="190"/>
      <c r="V238" s="190"/>
      <c r="W238" s="190"/>
      <c r="X238" s="190"/>
      <c r="Y238" s="190"/>
      <c r="Z238" s="190"/>
      <c r="AA238" s="120"/>
      <c r="AB238" s="120"/>
      <c r="AC238" s="120"/>
    </row>
    <row r="239" spans="1:29" ht="14.25" customHeight="1">
      <c r="A239" s="120"/>
      <c r="B239" s="120"/>
      <c r="C239" s="120"/>
      <c r="D239" s="121"/>
      <c r="E239" s="121"/>
      <c r="F239" s="120"/>
      <c r="G239" s="120"/>
      <c r="H239" s="121"/>
      <c r="I239" s="121"/>
      <c r="J239" s="121"/>
      <c r="K239" s="120"/>
      <c r="L239" s="120"/>
      <c r="M239" s="122"/>
      <c r="N239" s="121"/>
      <c r="O239" s="121"/>
      <c r="P239" s="121"/>
      <c r="Q239" s="121"/>
      <c r="R239" s="120"/>
      <c r="S239" s="120"/>
      <c r="T239" s="120"/>
      <c r="U239" s="190"/>
      <c r="V239" s="190"/>
      <c r="W239" s="190"/>
      <c r="X239" s="190"/>
      <c r="Y239" s="190"/>
      <c r="Z239" s="190"/>
      <c r="AA239" s="120"/>
      <c r="AB239" s="120"/>
      <c r="AC239" s="120"/>
    </row>
    <row r="240" spans="1:29" ht="14.25" customHeight="1">
      <c r="A240" s="120"/>
      <c r="B240" s="120"/>
      <c r="C240" s="120"/>
      <c r="D240" s="121"/>
      <c r="E240" s="121"/>
      <c r="F240" s="120"/>
      <c r="G240" s="120"/>
      <c r="H240" s="121"/>
      <c r="I240" s="121"/>
      <c r="J240" s="121"/>
      <c r="K240" s="120"/>
      <c r="L240" s="120"/>
      <c r="M240" s="122"/>
      <c r="N240" s="121"/>
      <c r="O240" s="121"/>
      <c r="P240" s="121"/>
      <c r="Q240" s="121"/>
      <c r="R240" s="120"/>
      <c r="S240" s="120"/>
      <c r="T240" s="120"/>
      <c r="U240" s="190"/>
      <c r="V240" s="190"/>
      <c r="W240" s="190"/>
      <c r="X240" s="190"/>
      <c r="Y240" s="190"/>
      <c r="Z240" s="190"/>
      <c r="AA240" s="120"/>
      <c r="AB240" s="120"/>
      <c r="AC240" s="120"/>
    </row>
    <row r="241" spans="1:29" ht="14.25" customHeight="1">
      <c r="A241" s="120"/>
      <c r="B241" s="120"/>
      <c r="C241" s="120"/>
      <c r="D241" s="121"/>
      <c r="E241" s="121"/>
      <c r="F241" s="120"/>
      <c r="G241" s="120"/>
      <c r="H241" s="121"/>
      <c r="I241" s="121"/>
      <c r="J241" s="121"/>
      <c r="K241" s="120"/>
      <c r="L241" s="120"/>
      <c r="M241" s="122"/>
      <c r="N241" s="121"/>
      <c r="O241" s="121"/>
      <c r="P241" s="121"/>
      <c r="Q241" s="121"/>
      <c r="R241" s="120"/>
      <c r="S241" s="120"/>
      <c r="T241" s="120"/>
      <c r="U241" s="190"/>
      <c r="V241" s="190"/>
      <c r="W241" s="190"/>
      <c r="X241" s="190"/>
      <c r="Y241" s="190"/>
      <c r="Z241" s="190"/>
      <c r="AA241" s="120"/>
      <c r="AB241" s="120"/>
      <c r="AC241" s="120"/>
    </row>
    <row r="242" spans="1:29" ht="14.25" customHeight="1">
      <c r="A242" s="120"/>
      <c r="B242" s="120"/>
      <c r="C242" s="120"/>
      <c r="D242" s="121"/>
      <c r="E242" s="121"/>
      <c r="F242" s="120"/>
      <c r="G242" s="120"/>
      <c r="H242" s="121"/>
      <c r="I242" s="121"/>
      <c r="J242" s="121"/>
      <c r="K242" s="120"/>
      <c r="L242" s="120"/>
      <c r="M242" s="122"/>
      <c r="N242" s="121"/>
      <c r="O242" s="121"/>
      <c r="P242" s="121"/>
      <c r="Q242" s="121"/>
      <c r="R242" s="120"/>
      <c r="S242" s="120"/>
      <c r="T242" s="120"/>
      <c r="U242" s="190"/>
      <c r="V242" s="190"/>
      <c r="W242" s="190"/>
      <c r="X242" s="190"/>
      <c r="Y242" s="190"/>
      <c r="Z242" s="190"/>
      <c r="AA242" s="120"/>
      <c r="AB242" s="120"/>
      <c r="AC242" s="120"/>
    </row>
    <row r="243" spans="1:29" ht="14.25" customHeight="1">
      <c r="A243" s="120"/>
      <c r="B243" s="120"/>
      <c r="C243" s="120"/>
      <c r="D243" s="121"/>
      <c r="E243" s="121"/>
      <c r="F243" s="120"/>
      <c r="G243" s="120"/>
      <c r="H243" s="121"/>
      <c r="I243" s="121"/>
      <c r="J243" s="121"/>
      <c r="K243" s="120"/>
      <c r="L243" s="120"/>
      <c r="M243" s="122"/>
      <c r="N243" s="121"/>
      <c r="O243" s="121"/>
      <c r="P243" s="121"/>
      <c r="Q243" s="121"/>
      <c r="R243" s="120"/>
      <c r="S243" s="120"/>
      <c r="T243" s="120"/>
      <c r="U243" s="190"/>
      <c r="V243" s="190"/>
      <c r="W243" s="190"/>
      <c r="X243" s="190"/>
      <c r="Y243" s="190"/>
      <c r="Z243" s="190"/>
      <c r="AA243" s="120"/>
      <c r="AB243" s="120"/>
      <c r="AC243" s="120"/>
    </row>
    <row r="244" spans="1:29" ht="14.25" customHeight="1">
      <c r="A244" s="120"/>
      <c r="B244" s="120"/>
      <c r="C244" s="120"/>
      <c r="D244" s="121"/>
      <c r="E244" s="121"/>
      <c r="F244" s="120"/>
      <c r="G244" s="120"/>
      <c r="H244" s="121"/>
      <c r="I244" s="121"/>
      <c r="J244" s="121"/>
      <c r="K244" s="120"/>
      <c r="L244" s="120"/>
      <c r="M244" s="122"/>
      <c r="N244" s="121"/>
      <c r="O244" s="121"/>
      <c r="P244" s="121"/>
      <c r="Q244" s="121"/>
      <c r="R244" s="120"/>
      <c r="S244" s="120"/>
      <c r="T244" s="120"/>
      <c r="U244" s="190"/>
      <c r="V244" s="190"/>
      <c r="W244" s="190"/>
      <c r="X244" s="190"/>
      <c r="Y244" s="190"/>
      <c r="Z244" s="190"/>
      <c r="AA244" s="120"/>
      <c r="AB244" s="120"/>
      <c r="AC244" s="120"/>
    </row>
    <row r="245" spans="1:29" ht="14.25" customHeight="1">
      <c r="A245" s="120"/>
      <c r="B245" s="120"/>
      <c r="C245" s="120"/>
      <c r="D245" s="121"/>
      <c r="E245" s="121"/>
      <c r="F245" s="120"/>
      <c r="G245" s="120"/>
      <c r="H245" s="121"/>
      <c r="I245" s="121"/>
      <c r="J245" s="121"/>
      <c r="K245" s="120"/>
      <c r="L245" s="120"/>
      <c r="M245" s="122"/>
      <c r="N245" s="121"/>
      <c r="O245" s="121"/>
      <c r="P245" s="121"/>
      <c r="Q245" s="121"/>
      <c r="R245" s="120"/>
      <c r="S245" s="120"/>
      <c r="T245" s="120"/>
      <c r="U245" s="190"/>
      <c r="V245" s="190"/>
      <c r="W245" s="190"/>
      <c r="X245" s="190"/>
      <c r="Y245" s="190"/>
      <c r="Z245" s="190"/>
      <c r="AA245" s="120"/>
      <c r="AB245" s="120"/>
      <c r="AC245" s="120"/>
    </row>
    <row r="246" spans="1:29" ht="14.25" customHeight="1">
      <c r="A246" s="120"/>
      <c r="B246" s="120"/>
      <c r="C246" s="120"/>
      <c r="D246" s="121"/>
      <c r="E246" s="121"/>
      <c r="F246" s="120"/>
      <c r="G246" s="120"/>
      <c r="H246" s="121"/>
      <c r="I246" s="121"/>
      <c r="J246" s="121"/>
      <c r="K246" s="120"/>
      <c r="L246" s="120"/>
      <c r="M246" s="122"/>
      <c r="N246" s="121"/>
      <c r="O246" s="121"/>
      <c r="P246" s="121"/>
      <c r="Q246" s="121"/>
      <c r="R246" s="120"/>
      <c r="S246" s="120"/>
      <c r="T246" s="120"/>
      <c r="U246" s="190"/>
      <c r="V246" s="190"/>
      <c r="W246" s="190"/>
      <c r="X246" s="190"/>
      <c r="Y246" s="190"/>
      <c r="Z246" s="190"/>
      <c r="AA246" s="120"/>
      <c r="AB246" s="120"/>
      <c r="AC246" s="120"/>
    </row>
    <row r="247" spans="1:29" ht="14.25" customHeight="1">
      <c r="A247" s="120"/>
      <c r="B247" s="120"/>
      <c r="C247" s="120"/>
      <c r="D247" s="121"/>
      <c r="E247" s="121"/>
      <c r="F247" s="120"/>
      <c r="G247" s="120"/>
      <c r="H247" s="121"/>
      <c r="I247" s="121"/>
      <c r="J247" s="121"/>
      <c r="K247" s="120"/>
      <c r="L247" s="120"/>
      <c r="M247" s="122"/>
      <c r="N247" s="121"/>
      <c r="O247" s="121"/>
      <c r="P247" s="121"/>
      <c r="Q247" s="121"/>
      <c r="R247" s="120"/>
      <c r="S247" s="120"/>
      <c r="T247" s="120"/>
      <c r="U247" s="190"/>
      <c r="V247" s="190"/>
      <c r="W247" s="190"/>
      <c r="X247" s="190"/>
      <c r="Y247" s="190"/>
      <c r="Z247" s="190"/>
      <c r="AA247" s="120"/>
      <c r="AB247" s="120"/>
      <c r="AC247" s="120"/>
    </row>
    <row r="248" spans="1:29" ht="14.25" customHeight="1">
      <c r="A248" s="120"/>
      <c r="B248" s="120"/>
      <c r="C248" s="120"/>
      <c r="D248" s="121"/>
      <c r="E248" s="121"/>
      <c r="F248" s="120"/>
      <c r="G248" s="120"/>
      <c r="H248" s="121"/>
      <c r="I248" s="121"/>
      <c r="J248" s="121"/>
      <c r="K248" s="120"/>
      <c r="L248" s="120"/>
      <c r="M248" s="122"/>
      <c r="N248" s="121"/>
      <c r="O248" s="121"/>
      <c r="P248" s="121"/>
      <c r="Q248" s="121"/>
      <c r="R248" s="120"/>
      <c r="S248" s="120"/>
      <c r="T248" s="120"/>
      <c r="U248" s="190"/>
      <c r="V248" s="190"/>
      <c r="W248" s="190"/>
      <c r="X248" s="190"/>
      <c r="Y248" s="190"/>
      <c r="Z248" s="190"/>
      <c r="AA248" s="120"/>
      <c r="AB248" s="120"/>
      <c r="AC248" s="120"/>
    </row>
    <row r="249" spans="1:29" ht="14.25" customHeight="1">
      <c r="A249" s="120"/>
      <c r="B249" s="120"/>
      <c r="C249" s="120"/>
      <c r="D249" s="121"/>
      <c r="E249" s="121"/>
      <c r="F249" s="120"/>
      <c r="G249" s="120"/>
      <c r="H249" s="121"/>
      <c r="I249" s="121"/>
      <c r="J249" s="121"/>
      <c r="K249" s="120"/>
      <c r="L249" s="120"/>
      <c r="M249" s="122"/>
      <c r="N249" s="121"/>
      <c r="O249" s="121"/>
      <c r="P249" s="121"/>
      <c r="Q249" s="121"/>
      <c r="R249" s="120"/>
      <c r="S249" s="120"/>
      <c r="T249" s="120"/>
      <c r="U249" s="190"/>
      <c r="V249" s="190"/>
      <c r="W249" s="190"/>
      <c r="X249" s="190"/>
      <c r="Y249" s="190"/>
      <c r="Z249" s="190"/>
      <c r="AA249" s="120"/>
      <c r="AB249" s="120"/>
      <c r="AC249" s="120"/>
    </row>
    <row r="250" spans="1:29" ht="14.25" customHeight="1">
      <c r="A250" s="120"/>
      <c r="B250" s="120"/>
      <c r="C250" s="120"/>
      <c r="D250" s="121"/>
      <c r="E250" s="121"/>
      <c r="F250" s="120"/>
      <c r="G250" s="120"/>
      <c r="H250" s="121"/>
      <c r="I250" s="121"/>
      <c r="J250" s="121"/>
      <c r="K250" s="120"/>
      <c r="L250" s="120"/>
      <c r="M250" s="122"/>
      <c r="N250" s="121"/>
      <c r="O250" s="121"/>
      <c r="P250" s="121"/>
      <c r="Q250" s="121"/>
      <c r="R250" s="120"/>
      <c r="S250" s="120"/>
      <c r="T250" s="120"/>
      <c r="U250" s="190"/>
      <c r="V250" s="190"/>
      <c r="W250" s="190"/>
      <c r="X250" s="190"/>
      <c r="Y250" s="190"/>
      <c r="Z250" s="190"/>
      <c r="AA250" s="120"/>
      <c r="AB250" s="120"/>
      <c r="AC250" s="120"/>
    </row>
    <row r="251" spans="1:29" ht="14.25" customHeight="1">
      <c r="A251" s="120"/>
      <c r="B251" s="120"/>
      <c r="C251" s="120"/>
      <c r="D251" s="121"/>
      <c r="E251" s="121"/>
      <c r="F251" s="120"/>
      <c r="G251" s="120"/>
      <c r="H251" s="121"/>
      <c r="I251" s="121"/>
      <c r="J251" s="121"/>
      <c r="K251" s="120"/>
      <c r="L251" s="120"/>
      <c r="M251" s="122"/>
      <c r="N251" s="121"/>
      <c r="O251" s="121"/>
      <c r="P251" s="121"/>
      <c r="Q251" s="121"/>
      <c r="R251" s="120"/>
      <c r="S251" s="120"/>
      <c r="T251" s="120"/>
      <c r="U251" s="190"/>
      <c r="V251" s="190"/>
      <c r="W251" s="190"/>
      <c r="X251" s="190"/>
      <c r="Y251" s="190"/>
      <c r="Z251" s="190"/>
      <c r="AA251" s="120"/>
      <c r="AB251" s="120"/>
      <c r="AC251" s="120"/>
    </row>
    <row r="252" spans="1:29" ht="14.25" customHeight="1">
      <c r="A252" s="120"/>
      <c r="B252" s="120"/>
      <c r="C252" s="120"/>
      <c r="D252" s="121"/>
      <c r="E252" s="121"/>
      <c r="F252" s="120"/>
      <c r="G252" s="120"/>
      <c r="H252" s="121"/>
      <c r="I252" s="121"/>
      <c r="J252" s="121"/>
      <c r="K252" s="120"/>
      <c r="L252" s="120"/>
      <c r="M252" s="122"/>
      <c r="N252" s="121"/>
      <c r="O252" s="121"/>
      <c r="P252" s="121"/>
      <c r="Q252" s="121"/>
      <c r="R252" s="120"/>
      <c r="S252" s="120"/>
      <c r="T252" s="120"/>
      <c r="U252" s="190"/>
      <c r="V252" s="190"/>
      <c r="W252" s="190"/>
      <c r="X252" s="190"/>
      <c r="Y252" s="190"/>
      <c r="Z252" s="190"/>
      <c r="AA252" s="120"/>
      <c r="AB252" s="120"/>
      <c r="AC252" s="120"/>
    </row>
    <row r="253" spans="1:29" ht="14.25" customHeight="1">
      <c r="A253" s="120"/>
      <c r="B253" s="120"/>
      <c r="C253" s="120"/>
      <c r="D253" s="121"/>
      <c r="E253" s="121"/>
      <c r="F253" s="120"/>
      <c r="G253" s="120"/>
      <c r="H253" s="121"/>
      <c r="I253" s="121"/>
      <c r="J253" s="121"/>
      <c r="K253" s="120"/>
      <c r="L253" s="120"/>
      <c r="M253" s="122"/>
      <c r="N253" s="121"/>
      <c r="O253" s="121"/>
      <c r="P253" s="121"/>
      <c r="Q253" s="121"/>
      <c r="R253" s="120"/>
      <c r="S253" s="120"/>
      <c r="T253" s="120"/>
      <c r="U253" s="190"/>
      <c r="V253" s="190"/>
      <c r="W253" s="190"/>
      <c r="X253" s="190"/>
      <c r="Y253" s="190"/>
      <c r="Z253" s="190"/>
      <c r="AA253" s="120"/>
      <c r="AB253" s="120"/>
      <c r="AC253" s="120"/>
    </row>
    <row r="254" spans="1:29" ht="14.25" customHeight="1">
      <c r="A254" s="120"/>
      <c r="B254" s="120"/>
      <c r="C254" s="120"/>
      <c r="D254" s="121"/>
      <c r="E254" s="121"/>
      <c r="F254" s="120"/>
      <c r="G254" s="120"/>
      <c r="H254" s="121"/>
      <c r="I254" s="121"/>
      <c r="J254" s="121"/>
      <c r="K254" s="120"/>
      <c r="L254" s="120"/>
      <c r="M254" s="122"/>
      <c r="N254" s="121"/>
      <c r="O254" s="121"/>
      <c r="P254" s="121"/>
      <c r="Q254" s="121"/>
      <c r="R254" s="120"/>
      <c r="S254" s="120"/>
      <c r="T254" s="120"/>
      <c r="U254" s="190"/>
      <c r="V254" s="190"/>
      <c r="W254" s="190"/>
      <c r="X254" s="190"/>
      <c r="Y254" s="190"/>
      <c r="Z254" s="190"/>
      <c r="AA254" s="120"/>
      <c r="AB254" s="120"/>
      <c r="AC254" s="120"/>
    </row>
    <row r="255" spans="1:29" ht="14.25" customHeight="1">
      <c r="A255" s="120"/>
      <c r="B255" s="120"/>
      <c r="C255" s="120"/>
      <c r="D255" s="121"/>
      <c r="E255" s="121"/>
      <c r="F255" s="120"/>
      <c r="G255" s="120"/>
      <c r="H255" s="121"/>
      <c r="I255" s="121"/>
      <c r="J255" s="121"/>
      <c r="K255" s="120"/>
      <c r="L255" s="120"/>
      <c r="M255" s="122"/>
      <c r="N255" s="121"/>
      <c r="O255" s="121"/>
      <c r="P255" s="121"/>
      <c r="Q255" s="121"/>
      <c r="R255" s="120"/>
      <c r="S255" s="120"/>
      <c r="T255" s="120"/>
      <c r="U255" s="190"/>
      <c r="V255" s="190"/>
      <c r="W255" s="190"/>
      <c r="X255" s="190"/>
      <c r="Y255" s="190"/>
      <c r="Z255" s="190"/>
      <c r="AA255" s="120"/>
      <c r="AB255" s="120"/>
      <c r="AC255" s="120"/>
    </row>
    <row r="256" spans="1:29" ht="14.25" customHeight="1">
      <c r="A256" s="120"/>
      <c r="B256" s="120"/>
      <c r="C256" s="120"/>
      <c r="D256" s="121"/>
      <c r="E256" s="121"/>
      <c r="F256" s="120"/>
      <c r="G256" s="120"/>
      <c r="H256" s="121"/>
      <c r="I256" s="121"/>
      <c r="J256" s="121"/>
      <c r="K256" s="120"/>
      <c r="L256" s="120"/>
      <c r="M256" s="122"/>
      <c r="N256" s="121"/>
      <c r="O256" s="121"/>
      <c r="P256" s="121"/>
      <c r="Q256" s="121"/>
      <c r="R256" s="120"/>
      <c r="S256" s="120"/>
      <c r="T256" s="120"/>
      <c r="U256" s="190"/>
      <c r="V256" s="190"/>
      <c r="W256" s="190"/>
      <c r="X256" s="190"/>
      <c r="Y256" s="190"/>
      <c r="Z256" s="190"/>
      <c r="AA256" s="120"/>
      <c r="AB256" s="120"/>
      <c r="AC256" s="120"/>
    </row>
    <row r="257" spans="1:29" ht="14.25" customHeight="1">
      <c r="A257" s="120"/>
      <c r="B257" s="120"/>
      <c r="C257" s="120"/>
      <c r="D257" s="121"/>
      <c r="E257" s="121"/>
      <c r="F257" s="120"/>
      <c r="G257" s="120"/>
      <c r="H257" s="121"/>
      <c r="I257" s="121"/>
      <c r="J257" s="121"/>
      <c r="K257" s="120"/>
      <c r="L257" s="120"/>
      <c r="M257" s="122"/>
      <c r="N257" s="121"/>
      <c r="O257" s="121"/>
      <c r="P257" s="121"/>
      <c r="Q257" s="121"/>
      <c r="R257" s="120"/>
      <c r="S257" s="120"/>
      <c r="T257" s="120"/>
      <c r="U257" s="190"/>
      <c r="V257" s="190"/>
      <c r="W257" s="190"/>
      <c r="X257" s="190"/>
      <c r="Y257" s="190"/>
      <c r="Z257" s="190"/>
      <c r="AA257" s="120"/>
      <c r="AB257" s="120"/>
      <c r="AC257" s="120"/>
    </row>
    <row r="258" spans="1:29" ht="14.25" customHeight="1">
      <c r="A258" s="120"/>
      <c r="B258" s="120"/>
      <c r="C258" s="120"/>
      <c r="D258" s="121"/>
      <c r="E258" s="121"/>
      <c r="F258" s="120"/>
      <c r="G258" s="120"/>
      <c r="H258" s="121"/>
      <c r="I258" s="121"/>
      <c r="J258" s="121"/>
      <c r="K258" s="120"/>
      <c r="L258" s="120"/>
      <c r="M258" s="122"/>
      <c r="N258" s="121"/>
      <c r="O258" s="121"/>
      <c r="P258" s="121"/>
      <c r="Q258" s="121"/>
      <c r="R258" s="120"/>
      <c r="S258" s="120"/>
      <c r="T258" s="120"/>
      <c r="U258" s="190"/>
      <c r="V258" s="190"/>
      <c r="W258" s="190"/>
      <c r="X258" s="190"/>
      <c r="Y258" s="190"/>
      <c r="Z258" s="190"/>
      <c r="AA258" s="120"/>
      <c r="AB258" s="120"/>
      <c r="AC258" s="120"/>
    </row>
    <row r="259" spans="1:29" ht="14.25" customHeight="1">
      <c r="A259" s="120"/>
      <c r="B259" s="120"/>
      <c r="C259" s="120"/>
      <c r="D259" s="121"/>
      <c r="E259" s="121"/>
      <c r="F259" s="120"/>
      <c r="G259" s="120"/>
      <c r="H259" s="121"/>
      <c r="I259" s="121"/>
      <c r="J259" s="121"/>
      <c r="K259" s="120"/>
      <c r="L259" s="120"/>
      <c r="M259" s="122"/>
      <c r="N259" s="121"/>
      <c r="O259" s="121"/>
      <c r="P259" s="121"/>
      <c r="Q259" s="121"/>
      <c r="R259" s="120"/>
      <c r="S259" s="120"/>
      <c r="T259" s="120"/>
      <c r="U259" s="190"/>
      <c r="V259" s="190"/>
      <c r="W259" s="190"/>
      <c r="X259" s="190"/>
      <c r="Y259" s="190"/>
      <c r="Z259" s="190"/>
      <c r="AA259" s="120"/>
      <c r="AB259" s="120"/>
      <c r="AC259" s="120"/>
    </row>
    <row r="260" spans="1:29" ht="14.25" customHeight="1">
      <c r="A260" s="120"/>
      <c r="B260" s="120"/>
      <c r="C260" s="120"/>
      <c r="D260" s="121"/>
      <c r="E260" s="121"/>
      <c r="F260" s="120"/>
      <c r="G260" s="120"/>
      <c r="H260" s="121"/>
      <c r="I260" s="121"/>
      <c r="J260" s="121"/>
      <c r="K260" s="120"/>
      <c r="L260" s="120"/>
      <c r="M260" s="122"/>
      <c r="N260" s="121"/>
      <c r="O260" s="121"/>
      <c r="P260" s="121"/>
      <c r="Q260" s="121"/>
      <c r="R260" s="120"/>
      <c r="S260" s="120"/>
      <c r="T260" s="120"/>
      <c r="U260" s="190"/>
      <c r="V260" s="190"/>
      <c r="W260" s="190"/>
      <c r="X260" s="190"/>
      <c r="Y260" s="190"/>
      <c r="Z260" s="190"/>
      <c r="AA260" s="120"/>
      <c r="AB260" s="120"/>
      <c r="AC260" s="120"/>
    </row>
    <row r="261" spans="1:29" ht="14.25" customHeight="1">
      <c r="A261" s="120"/>
      <c r="B261" s="120"/>
      <c r="C261" s="120"/>
      <c r="D261" s="121"/>
      <c r="E261" s="121"/>
      <c r="F261" s="120"/>
      <c r="G261" s="120"/>
      <c r="H261" s="121"/>
      <c r="I261" s="121"/>
      <c r="J261" s="121"/>
      <c r="K261" s="120"/>
      <c r="L261" s="120"/>
      <c r="M261" s="122"/>
      <c r="N261" s="121"/>
      <c r="O261" s="121"/>
      <c r="P261" s="121"/>
      <c r="Q261" s="121"/>
      <c r="R261" s="120"/>
      <c r="S261" s="120"/>
      <c r="T261" s="120"/>
      <c r="U261" s="190"/>
      <c r="V261" s="190"/>
      <c r="W261" s="190"/>
      <c r="X261" s="190"/>
      <c r="Y261" s="190"/>
      <c r="Z261" s="190"/>
      <c r="AA261" s="120"/>
      <c r="AB261" s="120"/>
      <c r="AC261" s="120"/>
    </row>
    <row r="262" spans="1:29" ht="14.25" customHeight="1">
      <c r="A262" s="120"/>
      <c r="B262" s="120"/>
      <c r="C262" s="120"/>
      <c r="D262" s="121"/>
      <c r="E262" s="121"/>
      <c r="F262" s="120"/>
      <c r="G262" s="120"/>
      <c r="H262" s="121"/>
      <c r="I262" s="121"/>
      <c r="J262" s="121"/>
      <c r="K262" s="120"/>
      <c r="L262" s="120"/>
      <c r="M262" s="122"/>
      <c r="N262" s="121"/>
      <c r="O262" s="121"/>
      <c r="P262" s="121"/>
      <c r="Q262" s="121"/>
      <c r="R262" s="120"/>
      <c r="S262" s="120"/>
      <c r="T262" s="120"/>
      <c r="U262" s="190"/>
      <c r="V262" s="190"/>
      <c r="W262" s="190"/>
      <c r="X262" s="190"/>
      <c r="Y262" s="190"/>
      <c r="Z262" s="190"/>
      <c r="AA262" s="120"/>
      <c r="AB262" s="120"/>
      <c r="AC262" s="120"/>
    </row>
    <row r="263" spans="1:29" ht="14.25" customHeight="1">
      <c r="A263" s="120"/>
      <c r="B263" s="120"/>
      <c r="C263" s="120"/>
      <c r="D263" s="121"/>
      <c r="E263" s="121"/>
      <c r="F263" s="120"/>
      <c r="G263" s="120"/>
      <c r="H263" s="121"/>
      <c r="I263" s="121"/>
      <c r="J263" s="121"/>
      <c r="K263" s="120"/>
      <c r="L263" s="120"/>
      <c r="M263" s="122"/>
      <c r="N263" s="121"/>
      <c r="O263" s="121"/>
      <c r="P263" s="121"/>
      <c r="Q263" s="121"/>
      <c r="R263" s="120"/>
      <c r="S263" s="120"/>
      <c r="T263" s="120"/>
      <c r="U263" s="190"/>
      <c r="V263" s="190"/>
      <c r="W263" s="190"/>
      <c r="X263" s="190"/>
      <c r="Y263" s="190"/>
      <c r="Z263" s="190"/>
      <c r="AA263" s="120"/>
      <c r="AB263" s="120"/>
      <c r="AC263" s="120"/>
    </row>
    <row r="264" spans="1:29" ht="14.25" customHeight="1">
      <c r="A264" s="120"/>
      <c r="B264" s="120"/>
      <c r="C264" s="120"/>
      <c r="D264" s="121"/>
      <c r="E264" s="121"/>
      <c r="F264" s="120"/>
      <c r="G264" s="120"/>
      <c r="H264" s="121"/>
      <c r="I264" s="121"/>
      <c r="J264" s="121"/>
      <c r="K264" s="120"/>
      <c r="L264" s="120"/>
      <c r="M264" s="122"/>
      <c r="N264" s="121"/>
      <c r="O264" s="121"/>
      <c r="P264" s="121"/>
      <c r="Q264" s="121"/>
      <c r="R264" s="120"/>
      <c r="S264" s="120"/>
      <c r="T264" s="120"/>
      <c r="U264" s="190"/>
      <c r="V264" s="190"/>
      <c r="W264" s="190"/>
      <c r="X264" s="190"/>
      <c r="Y264" s="190"/>
      <c r="Z264" s="190"/>
      <c r="AA264" s="120"/>
      <c r="AB264" s="120"/>
      <c r="AC264" s="120"/>
    </row>
    <row r="265" spans="1:29" ht="14.25" customHeight="1">
      <c r="A265" s="120"/>
      <c r="B265" s="120"/>
      <c r="C265" s="120"/>
      <c r="D265" s="121"/>
      <c r="E265" s="121"/>
      <c r="F265" s="120"/>
      <c r="G265" s="120"/>
      <c r="H265" s="121"/>
      <c r="I265" s="121"/>
      <c r="J265" s="121"/>
      <c r="K265" s="120"/>
      <c r="L265" s="120"/>
      <c r="M265" s="122"/>
      <c r="N265" s="121"/>
      <c r="O265" s="121"/>
      <c r="P265" s="121"/>
      <c r="Q265" s="121"/>
      <c r="R265" s="120"/>
      <c r="S265" s="120"/>
      <c r="T265" s="120"/>
      <c r="U265" s="190"/>
      <c r="V265" s="190"/>
      <c r="W265" s="190"/>
      <c r="X265" s="190"/>
      <c r="Y265" s="190"/>
      <c r="Z265" s="190"/>
      <c r="AA265" s="120"/>
      <c r="AB265" s="120"/>
      <c r="AC265" s="120"/>
    </row>
    <row r="266" spans="1:29" ht="14.25" customHeight="1">
      <c r="A266" s="120"/>
      <c r="B266" s="120"/>
      <c r="C266" s="120"/>
      <c r="D266" s="121"/>
      <c r="E266" s="121"/>
      <c r="F266" s="120"/>
      <c r="G266" s="120"/>
      <c r="H266" s="121"/>
      <c r="I266" s="121"/>
      <c r="J266" s="121"/>
      <c r="K266" s="120"/>
      <c r="L266" s="120"/>
      <c r="M266" s="122"/>
      <c r="N266" s="121"/>
      <c r="O266" s="121"/>
      <c r="P266" s="121"/>
      <c r="Q266" s="121"/>
      <c r="R266" s="120"/>
      <c r="S266" s="120"/>
      <c r="T266" s="120"/>
      <c r="U266" s="190"/>
      <c r="V266" s="190"/>
      <c r="W266" s="190"/>
      <c r="X266" s="190"/>
      <c r="Y266" s="190"/>
      <c r="Z266" s="190"/>
      <c r="AA266" s="120"/>
      <c r="AB266" s="120"/>
      <c r="AC266" s="120"/>
    </row>
    <row r="267" spans="1:29" ht="14.25" customHeight="1">
      <c r="A267" s="120"/>
      <c r="B267" s="120"/>
      <c r="C267" s="120"/>
      <c r="D267" s="121"/>
      <c r="E267" s="121"/>
      <c r="F267" s="120"/>
      <c r="G267" s="120"/>
      <c r="H267" s="121"/>
      <c r="I267" s="121"/>
      <c r="J267" s="121"/>
      <c r="K267" s="120"/>
      <c r="L267" s="120"/>
      <c r="M267" s="122"/>
      <c r="N267" s="121"/>
      <c r="O267" s="121"/>
      <c r="P267" s="121"/>
      <c r="Q267" s="121"/>
      <c r="R267" s="120"/>
      <c r="S267" s="120"/>
      <c r="T267" s="120"/>
      <c r="U267" s="190"/>
      <c r="V267" s="190"/>
      <c r="W267" s="190"/>
      <c r="X267" s="190"/>
      <c r="Y267" s="190"/>
      <c r="Z267" s="190"/>
      <c r="AA267" s="120"/>
      <c r="AB267" s="120"/>
      <c r="AC267" s="120"/>
    </row>
    <row r="268" spans="1:29" ht="14.25" customHeight="1">
      <c r="A268" s="120"/>
      <c r="B268" s="120"/>
      <c r="C268" s="120"/>
      <c r="D268" s="121"/>
      <c r="E268" s="121"/>
      <c r="F268" s="120"/>
      <c r="G268" s="120"/>
      <c r="H268" s="121"/>
      <c r="I268" s="121"/>
      <c r="J268" s="121"/>
      <c r="K268" s="120"/>
      <c r="L268" s="120"/>
      <c r="M268" s="122"/>
      <c r="N268" s="121"/>
      <c r="O268" s="121"/>
      <c r="P268" s="121"/>
      <c r="Q268" s="121"/>
      <c r="R268" s="120"/>
      <c r="S268" s="120"/>
      <c r="T268" s="120"/>
      <c r="U268" s="190"/>
      <c r="V268" s="190"/>
      <c r="W268" s="190"/>
      <c r="X268" s="190"/>
      <c r="Y268" s="190"/>
      <c r="Z268" s="190"/>
      <c r="AA268" s="120"/>
      <c r="AB268" s="120"/>
      <c r="AC268" s="120"/>
    </row>
    <row r="269" spans="1:29" ht="14.25" customHeight="1">
      <c r="A269" s="120"/>
      <c r="B269" s="120"/>
      <c r="C269" s="120"/>
      <c r="D269" s="121"/>
      <c r="E269" s="121"/>
      <c r="F269" s="120"/>
      <c r="G269" s="120"/>
      <c r="H269" s="121"/>
      <c r="I269" s="121"/>
      <c r="J269" s="121"/>
      <c r="K269" s="120"/>
      <c r="L269" s="120"/>
      <c r="M269" s="122"/>
      <c r="N269" s="121"/>
      <c r="O269" s="121"/>
      <c r="P269" s="121"/>
      <c r="Q269" s="121"/>
      <c r="R269" s="120"/>
      <c r="S269" s="120"/>
      <c r="T269" s="120"/>
      <c r="U269" s="190"/>
      <c r="V269" s="190"/>
      <c r="W269" s="190"/>
      <c r="X269" s="190"/>
      <c r="Y269" s="190"/>
      <c r="Z269" s="190"/>
      <c r="AA269" s="120"/>
      <c r="AB269" s="120"/>
      <c r="AC269" s="120"/>
    </row>
    <row r="270" spans="1:29" ht="14.25" customHeight="1">
      <c r="A270" s="120"/>
      <c r="B270" s="120"/>
      <c r="C270" s="120"/>
      <c r="D270" s="121"/>
      <c r="E270" s="121"/>
      <c r="F270" s="120"/>
      <c r="G270" s="120"/>
      <c r="H270" s="121"/>
      <c r="I270" s="121"/>
      <c r="J270" s="121"/>
      <c r="K270" s="120"/>
      <c r="L270" s="120"/>
      <c r="M270" s="122"/>
      <c r="N270" s="121"/>
      <c r="O270" s="121"/>
      <c r="P270" s="121"/>
      <c r="Q270" s="121"/>
      <c r="R270" s="120"/>
      <c r="S270" s="120"/>
      <c r="T270" s="120"/>
      <c r="U270" s="190"/>
      <c r="V270" s="190"/>
      <c r="W270" s="190"/>
      <c r="X270" s="190"/>
      <c r="Y270" s="190"/>
      <c r="Z270" s="190"/>
      <c r="AA270" s="120"/>
      <c r="AB270" s="120"/>
      <c r="AC270" s="120"/>
    </row>
    <row r="271" spans="1:29" ht="14.25" customHeight="1">
      <c r="A271" s="120"/>
      <c r="B271" s="120"/>
      <c r="C271" s="120"/>
      <c r="D271" s="121"/>
      <c r="E271" s="121"/>
      <c r="F271" s="120"/>
      <c r="G271" s="120"/>
      <c r="H271" s="121"/>
      <c r="I271" s="121"/>
      <c r="J271" s="121"/>
      <c r="K271" s="120"/>
      <c r="L271" s="120"/>
      <c r="M271" s="122"/>
      <c r="N271" s="121"/>
      <c r="O271" s="121"/>
      <c r="P271" s="121"/>
      <c r="Q271" s="121"/>
      <c r="R271" s="120"/>
      <c r="S271" s="120"/>
      <c r="T271" s="120"/>
      <c r="U271" s="190"/>
      <c r="V271" s="190"/>
      <c r="W271" s="190"/>
      <c r="X271" s="190"/>
      <c r="Y271" s="190"/>
      <c r="Z271" s="190"/>
      <c r="AA271" s="120"/>
      <c r="AB271" s="120"/>
      <c r="AC271" s="120"/>
    </row>
    <row r="272" spans="1:29" ht="14.25" customHeight="1">
      <c r="A272" s="120"/>
      <c r="B272" s="120"/>
      <c r="C272" s="120"/>
      <c r="D272" s="121"/>
      <c r="E272" s="121"/>
      <c r="F272" s="120"/>
      <c r="G272" s="120"/>
      <c r="H272" s="121"/>
      <c r="I272" s="121"/>
      <c r="J272" s="121"/>
      <c r="K272" s="120"/>
      <c r="L272" s="120"/>
      <c r="M272" s="122"/>
      <c r="N272" s="121"/>
      <c r="O272" s="121"/>
      <c r="P272" s="121"/>
      <c r="Q272" s="121"/>
      <c r="R272" s="120"/>
      <c r="S272" s="120"/>
      <c r="T272" s="120"/>
      <c r="U272" s="190"/>
      <c r="V272" s="190"/>
      <c r="W272" s="190"/>
      <c r="X272" s="190"/>
      <c r="Y272" s="190"/>
      <c r="Z272" s="190"/>
      <c r="AA272" s="120"/>
      <c r="AB272" s="120"/>
      <c r="AC272" s="120"/>
    </row>
    <row r="273" spans="1:29" ht="14.25" customHeight="1">
      <c r="A273" s="120"/>
      <c r="B273" s="120"/>
      <c r="C273" s="120"/>
      <c r="D273" s="121"/>
      <c r="E273" s="121"/>
      <c r="F273" s="120"/>
      <c r="G273" s="120"/>
      <c r="H273" s="121"/>
      <c r="I273" s="121"/>
      <c r="J273" s="121"/>
      <c r="K273" s="120"/>
      <c r="L273" s="120"/>
      <c r="M273" s="122"/>
      <c r="N273" s="121"/>
      <c r="O273" s="121"/>
      <c r="P273" s="121"/>
      <c r="Q273" s="121"/>
      <c r="R273" s="120"/>
      <c r="S273" s="120"/>
      <c r="T273" s="120"/>
      <c r="U273" s="190"/>
      <c r="V273" s="190"/>
      <c r="W273" s="190"/>
      <c r="X273" s="190"/>
      <c r="Y273" s="190"/>
      <c r="Z273" s="190"/>
      <c r="AA273" s="120"/>
      <c r="AB273" s="120"/>
      <c r="AC273" s="120"/>
    </row>
    <row r="274" spans="1:29" ht="14.25" customHeight="1">
      <c r="A274" s="120"/>
      <c r="B274" s="120"/>
      <c r="C274" s="120"/>
      <c r="D274" s="121"/>
      <c r="E274" s="121"/>
      <c r="F274" s="120"/>
      <c r="G274" s="120"/>
      <c r="H274" s="121"/>
      <c r="I274" s="121"/>
      <c r="J274" s="121"/>
      <c r="K274" s="120"/>
      <c r="L274" s="120"/>
      <c r="M274" s="122"/>
      <c r="N274" s="121"/>
      <c r="O274" s="121"/>
      <c r="P274" s="121"/>
      <c r="Q274" s="121"/>
      <c r="R274" s="120"/>
      <c r="S274" s="120"/>
      <c r="T274" s="120"/>
      <c r="U274" s="190"/>
      <c r="V274" s="190"/>
      <c r="W274" s="190"/>
      <c r="X274" s="190"/>
      <c r="Y274" s="190"/>
      <c r="Z274" s="190"/>
      <c r="AA274" s="120"/>
      <c r="AB274" s="120"/>
      <c r="AC274" s="120"/>
    </row>
    <row r="275" spans="1:29" ht="14.25" customHeight="1">
      <c r="A275" s="120"/>
      <c r="B275" s="120"/>
      <c r="C275" s="120"/>
      <c r="D275" s="121"/>
      <c r="E275" s="121"/>
      <c r="F275" s="120"/>
      <c r="G275" s="120"/>
      <c r="H275" s="121"/>
      <c r="I275" s="121"/>
      <c r="J275" s="121"/>
      <c r="K275" s="120"/>
      <c r="L275" s="120"/>
      <c r="M275" s="122"/>
      <c r="N275" s="121"/>
      <c r="O275" s="121"/>
      <c r="P275" s="121"/>
      <c r="Q275" s="121"/>
      <c r="R275" s="120"/>
      <c r="S275" s="120"/>
      <c r="T275" s="120"/>
      <c r="U275" s="190"/>
      <c r="V275" s="190"/>
      <c r="W275" s="190"/>
      <c r="X275" s="190"/>
      <c r="Y275" s="190"/>
      <c r="Z275" s="190"/>
      <c r="AA275" s="120"/>
      <c r="AB275" s="120"/>
      <c r="AC275" s="120"/>
    </row>
    <row r="276" spans="1:29" ht="14.25" customHeight="1">
      <c r="A276" s="120"/>
      <c r="B276" s="120"/>
      <c r="C276" s="120"/>
      <c r="D276" s="121"/>
      <c r="E276" s="121"/>
      <c r="F276" s="120"/>
      <c r="G276" s="120"/>
      <c r="H276" s="121"/>
      <c r="I276" s="121"/>
      <c r="J276" s="121"/>
      <c r="K276" s="120"/>
      <c r="L276" s="120"/>
      <c r="M276" s="122"/>
      <c r="N276" s="121"/>
      <c r="O276" s="121"/>
      <c r="P276" s="121"/>
      <c r="Q276" s="121"/>
      <c r="R276" s="120"/>
      <c r="S276" s="120"/>
      <c r="T276" s="120"/>
      <c r="U276" s="190"/>
      <c r="V276" s="190"/>
      <c r="W276" s="190"/>
      <c r="X276" s="190"/>
      <c r="Y276" s="190"/>
      <c r="Z276" s="190"/>
      <c r="AA276" s="120"/>
      <c r="AB276" s="120"/>
      <c r="AC276" s="120"/>
    </row>
    <row r="277" spans="1:29" ht="14.25" customHeight="1">
      <c r="A277" s="120"/>
      <c r="B277" s="120"/>
      <c r="C277" s="120"/>
      <c r="D277" s="121"/>
      <c r="E277" s="121"/>
      <c r="F277" s="120"/>
      <c r="G277" s="120"/>
      <c r="H277" s="121"/>
      <c r="I277" s="121"/>
      <c r="J277" s="121"/>
      <c r="K277" s="120"/>
      <c r="L277" s="120"/>
      <c r="M277" s="122"/>
      <c r="N277" s="121"/>
      <c r="O277" s="121"/>
      <c r="P277" s="121"/>
      <c r="Q277" s="121"/>
      <c r="R277" s="120"/>
      <c r="S277" s="120"/>
      <c r="T277" s="120"/>
      <c r="U277" s="190"/>
      <c r="V277" s="190"/>
      <c r="W277" s="190"/>
      <c r="X277" s="190"/>
      <c r="Y277" s="190"/>
      <c r="Z277" s="190"/>
      <c r="AA277" s="120"/>
      <c r="AB277" s="120"/>
      <c r="AC277" s="120"/>
    </row>
    <row r="278" spans="1:29" ht="14.25" customHeight="1">
      <c r="A278" s="120"/>
      <c r="B278" s="120"/>
      <c r="C278" s="120"/>
      <c r="D278" s="121"/>
      <c r="E278" s="121"/>
      <c r="F278" s="120"/>
      <c r="G278" s="120"/>
      <c r="H278" s="121"/>
      <c r="I278" s="121"/>
      <c r="J278" s="121"/>
      <c r="K278" s="120"/>
      <c r="L278" s="120"/>
      <c r="M278" s="122"/>
      <c r="N278" s="121"/>
      <c r="O278" s="121"/>
      <c r="P278" s="121"/>
      <c r="Q278" s="121"/>
      <c r="R278" s="120"/>
      <c r="S278" s="120"/>
      <c r="T278" s="120"/>
      <c r="U278" s="190"/>
      <c r="V278" s="190"/>
      <c r="W278" s="190"/>
      <c r="X278" s="190"/>
      <c r="Y278" s="190"/>
      <c r="Z278" s="190"/>
      <c r="AA278" s="120"/>
      <c r="AB278" s="120"/>
      <c r="AC278" s="120"/>
    </row>
    <row r="279" spans="1:29" ht="14.25" customHeight="1">
      <c r="A279" s="120"/>
      <c r="B279" s="120"/>
      <c r="C279" s="120"/>
      <c r="D279" s="121"/>
      <c r="E279" s="121"/>
      <c r="F279" s="120"/>
      <c r="G279" s="120"/>
      <c r="H279" s="121"/>
      <c r="I279" s="121"/>
      <c r="J279" s="121"/>
      <c r="K279" s="120"/>
      <c r="L279" s="120"/>
      <c r="M279" s="122"/>
      <c r="N279" s="121"/>
      <c r="O279" s="121"/>
      <c r="P279" s="121"/>
      <c r="Q279" s="121"/>
      <c r="R279" s="120"/>
      <c r="S279" s="120"/>
      <c r="T279" s="120"/>
      <c r="U279" s="190"/>
      <c r="V279" s="190"/>
      <c r="W279" s="190"/>
      <c r="X279" s="190"/>
      <c r="Y279" s="190"/>
      <c r="Z279" s="190"/>
      <c r="AA279" s="120"/>
      <c r="AB279" s="120"/>
      <c r="AC279" s="120"/>
    </row>
    <row r="280" spans="1:29" ht="14.25" customHeight="1">
      <c r="A280" s="120"/>
      <c r="B280" s="120"/>
      <c r="C280" s="120"/>
      <c r="D280" s="121"/>
      <c r="E280" s="121"/>
      <c r="F280" s="120"/>
      <c r="G280" s="120"/>
      <c r="H280" s="121"/>
      <c r="I280" s="121"/>
      <c r="J280" s="121"/>
      <c r="K280" s="120"/>
      <c r="L280" s="120"/>
      <c r="M280" s="122"/>
      <c r="N280" s="121"/>
      <c r="O280" s="121"/>
      <c r="P280" s="121"/>
      <c r="Q280" s="121"/>
      <c r="R280" s="120"/>
      <c r="S280" s="120"/>
      <c r="T280" s="120"/>
      <c r="U280" s="190"/>
      <c r="V280" s="190"/>
      <c r="W280" s="190"/>
      <c r="X280" s="190"/>
      <c r="Y280" s="190"/>
      <c r="Z280" s="190"/>
      <c r="AA280" s="120"/>
      <c r="AB280" s="120"/>
      <c r="AC280" s="120"/>
    </row>
    <row r="281" spans="1:29" ht="14.25" customHeight="1">
      <c r="A281" s="120"/>
      <c r="B281" s="120"/>
      <c r="C281" s="120"/>
      <c r="D281" s="121"/>
      <c r="E281" s="121"/>
      <c r="F281" s="120"/>
      <c r="G281" s="120"/>
      <c r="H281" s="121"/>
      <c r="I281" s="121"/>
      <c r="J281" s="121"/>
      <c r="K281" s="120"/>
      <c r="L281" s="120"/>
      <c r="M281" s="122"/>
      <c r="N281" s="121"/>
      <c r="O281" s="121"/>
      <c r="P281" s="121"/>
      <c r="Q281" s="121"/>
      <c r="R281" s="120"/>
      <c r="S281" s="120"/>
      <c r="T281" s="120"/>
      <c r="U281" s="190"/>
      <c r="V281" s="190"/>
      <c r="W281" s="190"/>
      <c r="X281" s="190"/>
      <c r="Y281" s="190"/>
      <c r="Z281" s="190"/>
      <c r="AA281" s="120"/>
      <c r="AB281" s="120"/>
      <c r="AC281" s="120"/>
    </row>
    <row r="282" spans="1:29" ht="14.25" customHeight="1">
      <c r="A282" s="120"/>
      <c r="B282" s="120"/>
      <c r="C282" s="120"/>
      <c r="D282" s="121"/>
      <c r="E282" s="121"/>
      <c r="F282" s="120"/>
      <c r="G282" s="120"/>
      <c r="H282" s="121"/>
      <c r="I282" s="121"/>
      <c r="J282" s="121"/>
      <c r="K282" s="120"/>
      <c r="L282" s="120"/>
      <c r="M282" s="122"/>
      <c r="N282" s="121"/>
      <c r="O282" s="121"/>
      <c r="P282" s="121"/>
      <c r="Q282" s="121"/>
      <c r="R282" s="120"/>
      <c r="S282" s="120"/>
      <c r="T282" s="120"/>
      <c r="U282" s="190"/>
      <c r="V282" s="190"/>
      <c r="W282" s="190"/>
      <c r="X282" s="190"/>
      <c r="Y282" s="190"/>
      <c r="Z282" s="190"/>
      <c r="AA282" s="120"/>
      <c r="AB282" s="120"/>
      <c r="AC282" s="120"/>
    </row>
    <row r="283" spans="1:29" ht="14.25" customHeight="1">
      <c r="A283" s="120"/>
      <c r="B283" s="120"/>
      <c r="C283" s="120"/>
      <c r="D283" s="121"/>
      <c r="E283" s="121"/>
      <c r="F283" s="120"/>
      <c r="G283" s="120"/>
      <c r="H283" s="121"/>
      <c r="I283" s="121"/>
      <c r="J283" s="121"/>
      <c r="K283" s="120"/>
      <c r="L283" s="120"/>
      <c r="M283" s="122"/>
      <c r="N283" s="121"/>
      <c r="O283" s="121"/>
      <c r="P283" s="121"/>
      <c r="Q283" s="121"/>
      <c r="R283" s="120"/>
      <c r="S283" s="120"/>
      <c r="T283" s="120"/>
      <c r="U283" s="190"/>
      <c r="V283" s="190"/>
      <c r="W283" s="190"/>
      <c r="X283" s="190"/>
      <c r="Y283" s="190"/>
      <c r="Z283" s="190"/>
      <c r="AA283" s="120"/>
      <c r="AB283" s="120"/>
      <c r="AC283" s="120"/>
    </row>
    <row r="284" spans="1:29" ht="14.25" customHeight="1">
      <c r="A284" s="120"/>
      <c r="B284" s="120"/>
      <c r="C284" s="120"/>
      <c r="D284" s="121"/>
      <c r="E284" s="121"/>
      <c r="F284" s="120"/>
      <c r="G284" s="120"/>
      <c r="H284" s="121"/>
      <c r="I284" s="121"/>
      <c r="J284" s="121"/>
      <c r="K284" s="120"/>
      <c r="L284" s="120"/>
      <c r="M284" s="122"/>
      <c r="N284" s="121"/>
      <c r="O284" s="121"/>
      <c r="P284" s="121"/>
      <c r="Q284" s="121"/>
      <c r="R284" s="120"/>
      <c r="S284" s="120"/>
      <c r="T284" s="120"/>
      <c r="U284" s="190"/>
      <c r="V284" s="190"/>
      <c r="W284" s="190"/>
      <c r="X284" s="190"/>
      <c r="Y284" s="190"/>
      <c r="Z284" s="190"/>
      <c r="AA284" s="120"/>
      <c r="AB284" s="120"/>
      <c r="AC284" s="120"/>
    </row>
    <row r="285" spans="1:29" ht="14.25" customHeight="1">
      <c r="A285" s="120"/>
      <c r="B285" s="120"/>
      <c r="C285" s="120"/>
      <c r="D285" s="121"/>
      <c r="E285" s="121"/>
      <c r="F285" s="120"/>
      <c r="G285" s="120"/>
      <c r="H285" s="121"/>
      <c r="I285" s="121"/>
      <c r="J285" s="121"/>
      <c r="K285" s="120"/>
      <c r="L285" s="120"/>
      <c r="M285" s="122"/>
      <c r="N285" s="121"/>
      <c r="O285" s="121"/>
      <c r="P285" s="121"/>
      <c r="Q285" s="121"/>
      <c r="R285" s="120"/>
      <c r="S285" s="120"/>
      <c r="T285" s="120"/>
      <c r="U285" s="190"/>
      <c r="V285" s="190"/>
      <c r="W285" s="190"/>
      <c r="X285" s="190"/>
      <c r="Y285" s="190"/>
      <c r="Z285" s="190"/>
      <c r="AA285" s="120"/>
      <c r="AB285" s="120"/>
      <c r="AC285" s="120"/>
    </row>
    <row r="286" spans="1:29" ht="14.25" customHeight="1">
      <c r="A286" s="120"/>
      <c r="B286" s="120"/>
      <c r="C286" s="120"/>
      <c r="D286" s="121"/>
      <c r="E286" s="121"/>
      <c r="F286" s="120"/>
      <c r="G286" s="120"/>
      <c r="H286" s="121"/>
      <c r="I286" s="121"/>
      <c r="J286" s="121"/>
      <c r="K286" s="120"/>
      <c r="L286" s="120"/>
      <c r="M286" s="122"/>
      <c r="N286" s="121"/>
      <c r="O286" s="121"/>
      <c r="P286" s="121"/>
      <c r="Q286" s="121"/>
      <c r="R286" s="120"/>
      <c r="S286" s="120"/>
      <c r="T286" s="120"/>
      <c r="U286" s="190"/>
      <c r="V286" s="190"/>
      <c r="W286" s="190"/>
      <c r="X286" s="190"/>
      <c r="Y286" s="190"/>
      <c r="Z286" s="190"/>
      <c r="AA286" s="120"/>
      <c r="AB286" s="120"/>
      <c r="AC286" s="120"/>
    </row>
    <row r="287" spans="1:29" ht="14.25" customHeight="1">
      <c r="A287" s="120"/>
      <c r="B287" s="120"/>
      <c r="C287" s="120"/>
      <c r="D287" s="121"/>
      <c r="E287" s="121"/>
      <c r="F287" s="120"/>
      <c r="G287" s="120"/>
      <c r="H287" s="121"/>
      <c r="I287" s="121"/>
      <c r="J287" s="121"/>
      <c r="K287" s="120"/>
      <c r="L287" s="120"/>
      <c r="M287" s="122"/>
      <c r="N287" s="121"/>
      <c r="O287" s="121"/>
      <c r="P287" s="121"/>
      <c r="Q287" s="121"/>
      <c r="R287" s="120"/>
      <c r="S287" s="120"/>
      <c r="T287" s="120"/>
      <c r="U287" s="190"/>
      <c r="V287" s="190"/>
      <c r="W287" s="190"/>
      <c r="X287" s="190"/>
      <c r="Y287" s="190"/>
      <c r="Z287" s="190"/>
      <c r="AA287" s="120"/>
      <c r="AB287" s="120"/>
      <c r="AC287" s="120"/>
    </row>
    <row r="288" spans="1:29" ht="14.25" customHeight="1">
      <c r="A288" s="120"/>
      <c r="B288" s="120"/>
      <c r="C288" s="120"/>
      <c r="D288" s="121"/>
      <c r="E288" s="121"/>
      <c r="F288" s="120"/>
      <c r="G288" s="120"/>
      <c r="H288" s="121"/>
      <c r="I288" s="121"/>
      <c r="J288" s="121"/>
      <c r="K288" s="120"/>
      <c r="L288" s="120"/>
      <c r="M288" s="122"/>
      <c r="N288" s="121"/>
      <c r="O288" s="121"/>
      <c r="P288" s="121"/>
      <c r="Q288" s="121"/>
      <c r="R288" s="120"/>
      <c r="S288" s="120"/>
      <c r="T288" s="120"/>
      <c r="U288" s="190"/>
      <c r="V288" s="190"/>
      <c r="W288" s="190"/>
      <c r="X288" s="190"/>
      <c r="Y288" s="190"/>
      <c r="Z288" s="190"/>
      <c r="AA288" s="120"/>
      <c r="AB288" s="120"/>
      <c r="AC288" s="120"/>
    </row>
    <row r="289" spans="1:29" ht="14.25" customHeight="1">
      <c r="A289" s="120"/>
      <c r="B289" s="120"/>
      <c r="C289" s="120"/>
      <c r="D289" s="121"/>
      <c r="E289" s="121"/>
      <c r="F289" s="120"/>
      <c r="G289" s="120"/>
      <c r="H289" s="121"/>
      <c r="I289" s="121"/>
      <c r="J289" s="121"/>
      <c r="K289" s="120"/>
      <c r="L289" s="120"/>
      <c r="M289" s="122"/>
      <c r="N289" s="121"/>
      <c r="O289" s="121"/>
      <c r="P289" s="121"/>
      <c r="Q289" s="121"/>
      <c r="R289" s="120"/>
      <c r="S289" s="120"/>
      <c r="T289" s="120"/>
      <c r="U289" s="190"/>
      <c r="V289" s="190"/>
      <c r="W289" s="190"/>
      <c r="X289" s="190"/>
      <c r="Y289" s="190"/>
      <c r="Z289" s="190"/>
      <c r="AA289" s="120"/>
      <c r="AB289" s="120"/>
      <c r="AC289" s="120"/>
    </row>
    <row r="290" spans="1:29" ht="14.25" customHeight="1">
      <c r="A290" s="120"/>
      <c r="B290" s="120"/>
      <c r="C290" s="120"/>
      <c r="D290" s="121"/>
      <c r="E290" s="121"/>
      <c r="F290" s="120"/>
      <c r="G290" s="120"/>
      <c r="H290" s="121"/>
      <c r="I290" s="121"/>
      <c r="J290" s="121"/>
      <c r="K290" s="120"/>
      <c r="L290" s="120"/>
      <c r="M290" s="122"/>
      <c r="N290" s="121"/>
      <c r="O290" s="121"/>
      <c r="P290" s="121"/>
      <c r="Q290" s="121"/>
      <c r="R290" s="120"/>
      <c r="S290" s="120"/>
      <c r="T290" s="120"/>
      <c r="U290" s="190"/>
      <c r="V290" s="190"/>
      <c r="W290" s="190"/>
      <c r="X290" s="190"/>
      <c r="Y290" s="190"/>
      <c r="Z290" s="190"/>
      <c r="AA290" s="120"/>
      <c r="AB290" s="120"/>
      <c r="AC290" s="120"/>
    </row>
    <row r="291" spans="1:29" ht="14.25" customHeight="1">
      <c r="A291" s="120"/>
      <c r="B291" s="120"/>
      <c r="C291" s="120"/>
      <c r="D291" s="121"/>
      <c r="E291" s="121"/>
      <c r="F291" s="120"/>
      <c r="G291" s="120"/>
      <c r="H291" s="121"/>
      <c r="I291" s="121"/>
      <c r="J291" s="121"/>
      <c r="K291" s="120"/>
      <c r="L291" s="120"/>
      <c r="M291" s="122"/>
      <c r="N291" s="121"/>
      <c r="O291" s="121"/>
      <c r="P291" s="121"/>
      <c r="Q291" s="121"/>
      <c r="R291" s="120"/>
      <c r="S291" s="120"/>
      <c r="T291" s="120"/>
      <c r="U291" s="190"/>
      <c r="V291" s="190"/>
      <c r="W291" s="190"/>
      <c r="X291" s="190"/>
      <c r="Y291" s="190"/>
      <c r="Z291" s="190"/>
      <c r="AA291" s="120"/>
      <c r="AB291" s="120"/>
      <c r="AC291" s="120"/>
    </row>
    <row r="292" spans="1:29" ht="14.25" customHeight="1">
      <c r="A292" s="120"/>
      <c r="B292" s="120"/>
      <c r="C292" s="120"/>
      <c r="D292" s="121"/>
      <c r="E292" s="121"/>
      <c r="F292" s="120"/>
      <c r="G292" s="120"/>
      <c r="H292" s="121"/>
      <c r="I292" s="121"/>
      <c r="J292" s="121"/>
      <c r="K292" s="120"/>
      <c r="L292" s="120"/>
      <c r="M292" s="122"/>
      <c r="N292" s="121"/>
      <c r="O292" s="121"/>
      <c r="P292" s="121"/>
      <c r="Q292" s="121"/>
      <c r="R292" s="120"/>
      <c r="S292" s="120"/>
      <c r="T292" s="120"/>
      <c r="U292" s="190"/>
      <c r="V292" s="190"/>
      <c r="W292" s="190"/>
      <c r="X292" s="190"/>
      <c r="Y292" s="190"/>
      <c r="Z292" s="190"/>
      <c r="AA292" s="120"/>
      <c r="AB292" s="120"/>
      <c r="AC292" s="120"/>
    </row>
    <row r="293" spans="1:29" ht="14.25" customHeight="1">
      <c r="A293" s="120"/>
      <c r="B293" s="120"/>
      <c r="C293" s="120"/>
      <c r="D293" s="121"/>
      <c r="E293" s="121"/>
      <c r="F293" s="120"/>
      <c r="G293" s="120"/>
      <c r="H293" s="121"/>
      <c r="I293" s="121"/>
      <c r="J293" s="121"/>
      <c r="K293" s="120"/>
      <c r="L293" s="120"/>
      <c r="M293" s="122"/>
      <c r="N293" s="121"/>
      <c r="O293" s="121"/>
      <c r="P293" s="121"/>
      <c r="Q293" s="121"/>
      <c r="R293" s="120"/>
      <c r="S293" s="120"/>
      <c r="T293" s="120"/>
      <c r="U293" s="190"/>
      <c r="V293" s="190"/>
      <c r="W293" s="190"/>
      <c r="X293" s="190"/>
      <c r="Y293" s="190"/>
      <c r="Z293" s="190"/>
      <c r="AA293" s="120"/>
      <c r="AB293" s="120"/>
      <c r="AC293" s="120"/>
    </row>
    <row r="294" spans="1:29" ht="14.25" customHeight="1">
      <c r="A294" s="120"/>
      <c r="B294" s="120"/>
      <c r="C294" s="120"/>
      <c r="D294" s="121"/>
      <c r="E294" s="121"/>
      <c r="F294" s="120"/>
      <c r="G294" s="120"/>
      <c r="H294" s="121"/>
      <c r="I294" s="121"/>
      <c r="J294" s="121"/>
      <c r="K294" s="120"/>
      <c r="L294" s="120"/>
      <c r="M294" s="122"/>
      <c r="N294" s="121"/>
      <c r="O294" s="121"/>
      <c r="P294" s="121"/>
      <c r="Q294" s="121"/>
      <c r="R294" s="120"/>
      <c r="S294" s="120"/>
      <c r="T294" s="120"/>
      <c r="U294" s="190"/>
      <c r="V294" s="190"/>
      <c r="W294" s="190"/>
      <c r="X294" s="190"/>
      <c r="Y294" s="190"/>
      <c r="Z294" s="190"/>
      <c r="AA294" s="120"/>
      <c r="AB294" s="120"/>
      <c r="AC294" s="120"/>
    </row>
    <row r="295" spans="1:29" ht="14.25" customHeight="1">
      <c r="A295" s="120"/>
      <c r="B295" s="120"/>
      <c r="C295" s="120"/>
      <c r="D295" s="121"/>
      <c r="E295" s="121"/>
      <c r="F295" s="120"/>
      <c r="G295" s="120"/>
      <c r="H295" s="121"/>
      <c r="I295" s="121"/>
      <c r="J295" s="121"/>
      <c r="K295" s="120"/>
      <c r="L295" s="120"/>
      <c r="M295" s="122"/>
      <c r="N295" s="121"/>
      <c r="O295" s="121"/>
      <c r="P295" s="121"/>
      <c r="Q295" s="121"/>
      <c r="R295" s="120"/>
      <c r="S295" s="120"/>
      <c r="T295" s="120"/>
      <c r="U295" s="190"/>
      <c r="V295" s="190"/>
      <c r="W295" s="190"/>
      <c r="X295" s="190"/>
      <c r="Y295" s="190"/>
      <c r="Z295" s="190"/>
      <c r="AA295" s="120"/>
      <c r="AB295" s="120"/>
      <c r="AC295" s="120"/>
    </row>
    <row r="296" spans="1:29" ht="14.25" customHeight="1">
      <c r="A296" s="120"/>
      <c r="B296" s="120"/>
      <c r="C296" s="120"/>
      <c r="D296" s="121"/>
      <c r="E296" s="121"/>
      <c r="F296" s="120"/>
      <c r="G296" s="120"/>
      <c r="H296" s="121"/>
      <c r="I296" s="121"/>
      <c r="J296" s="121"/>
      <c r="K296" s="120"/>
      <c r="L296" s="120"/>
      <c r="M296" s="122"/>
      <c r="N296" s="121"/>
      <c r="O296" s="121"/>
      <c r="P296" s="121"/>
      <c r="Q296" s="121"/>
      <c r="R296" s="120"/>
      <c r="S296" s="120"/>
      <c r="T296" s="120"/>
      <c r="U296" s="190"/>
      <c r="V296" s="190"/>
      <c r="W296" s="190"/>
      <c r="X296" s="190"/>
      <c r="Y296" s="190"/>
      <c r="Z296" s="190"/>
      <c r="AA296" s="120"/>
      <c r="AB296" s="120"/>
      <c r="AC296" s="120"/>
    </row>
    <row r="297" spans="1:29" ht="14.25" customHeight="1">
      <c r="A297" s="120"/>
      <c r="B297" s="120"/>
      <c r="C297" s="120"/>
      <c r="D297" s="121"/>
      <c r="E297" s="121"/>
      <c r="F297" s="120"/>
      <c r="G297" s="120"/>
      <c r="H297" s="121"/>
      <c r="I297" s="121"/>
      <c r="J297" s="121"/>
      <c r="K297" s="120"/>
      <c r="L297" s="120"/>
      <c r="M297" s="122"/>
      <c r="N297" s="121"/>
      <c r="O297" s="121"/>
      <c r="P297" s="121"/>
      <c r="Q297" s="121"/>
      <c r="R297" s="120"/>
      <c r="S297" s="120"/>
      <c r="T297" s="120"/>
      <c r="U297" s="190"/>
      <c r="V297" s="190"/>
      <c r="W297" s="190"/>
      <c r="X297" s="190"/>
      <c r="Y297" s="190"/>
      <c r="Z297" s="190"/>
      <c r="AA297" s="120"/>
      <c r="AB297" s="120"/>
      <c r="AC297" s="120"/>
    </row>
    <row r="298" spans="1:29" ht="14.25" customHeight="1">
      <c r="A298" s="120"/>
      <c r="B298" s="120"/>
      <c r="C298" s="120"/>
      <c r="D298" s="121"/>
      <c r="E298" s="121"/>
      <c r="F298" s="120"/>
      <c r="G298" s="120"/>
      <c r="H298" s="121"/>
      <c r="I298" s="121"/>
      <c r="J298" s="121"/>
      <c r="K298" s="120"/>
      <c r="L298" s="120"/>
      <c r="M298" s="122"/>
      <c r="N298" s="121"/>
      <c r="O298" s="121"/>
      <c r="P298" s="121"/>
      <c r="Q298" s="121"/>
      <c r="R298" s="120"/>
      <c r="S298" s="120"/>
      <c r="T298" s="120"/>
      <c r="U298" s="190"/>
      <c r="V298" s="190"/>
      <c r="W298" s="190"/>
      <c r="X298" s="190"/>
      <c r="Y298" s="190"/>
      <c r="Z298" s="190"/>
      <c r="AA298" s="120"/>
      <c r="AB298" s="120"/>
      <c r="AC298" s="120"/>
    </row>
    <row r="299" spans="1:29" ht="14.25" customHeight="1">
      <c r="A299" s="120"/>
      <c r="B299" s="120"/>
      <c r="C299" s="120"/>
      <c r="D299" s="121"/>
      <c r="E299" s="121"/>
      <c r="F299" s="120"/>
      <c r="G299" s="120"/>
      <c r="H299" s="121"/>
      <c r="I299" s="121"/>
      <c r="J299" s="121"/>
      <c r="K299" s="120"/>
      <c r="L299" s="120"/>
      <c r="M299" s="122"/>
      <c r="N299" s="121"/>
      <c r="O299" s="121"/>
      <c r="P299" s="121"/>
      <c r="Q299" s="121"/>
      <c r="R299" s="120"/>
      <c r="S299" s="120"/>
      <c r="T299" s="120"/>
      <c r="U299" s="190"/>
      <c r="V299" s="190"/>
      <c r="W299" s="190"/>
      <c r="X299" s="190"/>
      <c r="Y299" s="190"/>
      <c r="Z299" s="190"/>
      <c r="AA299" s="120"/>
      <c r="AB299" s="120"/>
      <c r="AC299" s="120"/>
    </row>
    <row r="300" spans="1:29" ht="14.25" customHeight="1">
      <c r="A300" s="120"/>
      <c r="B300" s="120"/>
      <c r="C300" s="120"/>
      <c r="D300" s="121"/>
      <c r="E300" s="121"/>
      <c r="F300" s="120"/>
      <c r="G300" s="120"/>
      <c r="H300" s="121"/>
      <c r="I300" s="121"/>
      <c r="J300" s="121"/>
      <c r="K300" s="120"/>
      <c r="L300" s="120"/>
      <c r="M300" s="122"/>
      <c r="N300" s="121"/>
      <c r="O300" s="121"/>
      <c r="P300" s="121"/>
      <c r="Q300" s="121"/>
      <c r="R300" s="120"/>
      <c r="S300" s="120"/>
      <c r="T300" s="120"/>
      <c r="U300" s="190"/>
      <c r="V300" s="190"/>
      <c r="W300" s="190"/>
      <c r="X300" s="190"/>
      <c r="Y300" s="190"/>
      <c r="Z300" s="190"/>
      <c r="AA300" s="120"/>
      <c r="AB300" s="120"/>
      <c r="AC300" s="120"/>
    </row>
    <row r="301" spans="1:29" ht="14.25" customHeight="1">
      <c r="A301" s="120"/>
      <c r="B301" s="120"/>
      <c r="C301" s="120"/>
      <c r="D301" s="121"/>
      <c r="E301" s="121"/>
      <c r="F301" s="120"/>
      <c r="G301" s="120"/>
      <c r="H301" s="121"/>
      <c r="I301" s="121"/>
      <c r="J301" s="121"/>
      <c r="K301" s="120"/>
      <c r="L301" s="120"/>
      <c r="M301" s="122"/>
      <c r="N301" s="121"/>
      <c r="O301" s="121"/>
      <c r="P301" s="121"/>
      <c r="Q301" s="121"/>
      <c r="R301" s="120"/>
      <c r="S301" s="120"/>
      <c r="T301" s="120"/>
      <c r="U301" s="190"/>
      <c r="V301" s="190"/>
      <c r="W301" s="190"/>
      <c r="X301" s="190"/>
      <c r="Y301" s="190"/>
      <c r="Z301" s="190"/>
      <c r="AA301" s="120"/>
      <c r="AB301" s="120"/>
      <c r="AC301" s="120"/>
    </row>
    <row r="302" spans="1:29" ht="14.25" customHeight="1">
      <c r="A302" s="120"/>
      <c r="B302" s="120"/>
      <c r="C302" s="120"/>
      <c r="D302" s="121"/>
      <c r="E302" s="121"/>
      <c r="F302" s="120"/>
      <c r="G302" s="120"/>
      <c r="H302" s="121"/>
      <c r="I302" s="121"/>
      <c r="J302" s="121"/>
      <c r="K302" s="120"/>
      <c r="L302" s="120"/>
      <c r="M302" s="122"/>
      <c r="N302" s="121"/>
      <c r="O302" s="121"/>
      <c r="P302" s="121"/>
      <c r="Q302" s="121"/>
      <c r="R302" s="120"/>
      <c r="S302" s="120"/>
      <c r="T302" s="120"/>
      <c r="U302" s="190"/>
      <c r="V302" s="190"/>
      <c r="W302" s="190"/>
      <c r="X302" s="190"/>
      <c r="Y302" s="190"/>
      <c r="Z302" s="190"/>
      <c r="AA302" s="120"/>
      <c r="AB302" s="120"/>
      <c r="AC302" s="120"/>
    </row>
    <row r="303" spans="1:29" ht="14.25" customHeight="1">
      <c r="A303" s="120"/>
      <c r="B303" s="120"/>
      <c r="C303" s="120"/>
      <c r="D303" s="121"/>
      <c r="E303" s="121"/>
      <c r="F303" s="120"/>
      <c r="G303" s="120"/>
      <c r="H303" s="121"/>
      <c r="I303" s="121"/>
      <c r="J303" s="121"/>
      <c r="K303" s="120"/>
      <c r="L303" s="120"/>
      <c r="M303" s="122"/>
      <c r="N303" s="121"/>
      <c r="O303" s="121"/>
      <c r="P303" s="121"/>
      <c r="Q303" s="121"/>
      <c r="R303" s="120"/>
      <c r="S303" s="120"/>
      <c r="T303" s="120"/>
      <c r="U303" s="190"/>
      <c r="V303" s="190"/>
      <c r="W303" s="190"/>
      <c r="X303" s="190"/>
      <c r="Y303" s="190"/>
      <c r="Z303" s="190"/>
      <c r="AA303" s="120"/>
      <c r="AB303" s="120"/>
      <c r="AC303" s="120"/>
    </row>
    <row r="304" spans="1:29" ht="14.25" customHeight="1">
      <c r="A304" s="120"/>
      <c r="B304" s="120"/>
      <c r="C304" s="120"/>
      <c r="D304" s="121"/>
      <c r="E304" s="121"/>
      <c r="F304" s="120"/>
      <c r="G304" s="120"/>
      <c r="H304" s="121"/>
      <c r="I304" s="121"/>
      <c r="J304" s="121"/>
      <c r="K304" s="120"/>
      <c r="L304" s="120"/>
      <c r="M304" s="122"/>
      <c r="N304" s="121"/>
      <c r="O304" s="121"/>
      <c r="P304" s="121"/>
      <c r="Q304" s="121"/>
      <c r="R304" s="120"/>
      <c r="S304" s="120"/>
      <c r="T304" s="120"/>
      <c r="U304" s="190"/>
      <c r="V304" s="190"/>
      <c r="W304" s="190"/>
      <c r="X304" s="190"/>
      <c r="Y304" s="190"/>
      <c r="Z304" s="190"/>
      <c r="AA304" s="120"/>
      <c r="AB304" s="120"/>
      <c r="AC304" s="120"/>
    </row>
    <row r="305" spans="1:29" ht="14.25" customHeight="1">
      <c r="A305" s="120"/>
      <c r="B305" s="120"/>
      <c r="C305" s="120"/>
      <c r="D305" s="121"/>
      <c r="E305" s="121"/>
      <c r="F305" s="120"/>
      <c r="G305" s="120"/>
      <c r="H305" s="121"/>
      <c r="I305" s="121"/>
      <c r="J305" s="121"/>
      <c r="K305" s="120"/>
      <c r="L305" s="120"/>
      <c r="M305" s="122"/>
      <c r="N305" s="121"/>
      <c r="O305" s="121"/>
      <c r="P305" s="121"/>
      <c r="Q305" s="121"/>
      <c r="R305" s="120"/>
      <c r="S305" s="120"/>
      <c r="T305" s="120"/>
      <c r="U305" s="190"/>
      <c r="V305" s="190"/>
      <c r="W305" s="190"/>
      <c r="X305" s="190"/>
      <c r="Y305" s="190"/>
      <c r="Z305" s="190"/>
      <c r="AA305" s="120"/>
      <c r="AB305" s="120"/>
      <c r="AC305" s="120"/>
    </row>
    <row r="306" spans="1:29" ht="14.25" customHeight="1">
      <c r="A306" s="120"/>
      <c r="B306" s="120"/>
      <c r="C306" s="120"/>
      <c r="D306" s="121"/>
      <c r="E306" s="121"/>
      <c r="F306" s="120"/>
      <c r="G306" s="120"/>
      <c r="H306" s="121"/>
      <c r="I306" s="121"/>
      <c r="J306" s="121"/>
      <c r="K306" s="120"/>
      <c r="L306" s="120"/>
      <c r="M306" s="122"/>
      <c r="N306" s="121"/>
      <c r="O306" s="121"/>
      <c r="P306" s="121"/>
      <c r="Q306" s="121"/>
      <c r="R306" s="120"/>
      <c r="S306" s="120"/>
      <c r="T306" s="120"/>
      <c r="U306" s="190"/>
      <c r="V306" s="190"/>
      <c r="W306" s="190"/>
      <c r="X306" s="190"/>
      <c r="Y306" s="190"/>
      <c r="Z306" s="190"/>
      <c r="AA306" s="120"/>
      <c r="AB306" s="120"/>
      <c r="AC306" s="120"/>
    </row>
    <row r="307" spans="1:29" ht="14.25" customHeight="1">
      <c r="A307" s="120"/>
      <c r="B307" s="120"/>
      <c r="C307" s="120"/>
      <c r="D307" s="121"/>
      <c r="E307" s="121"/>
      <c r="F307" s="120"/>
      <c r="G307" s="120"/>
      <c r="H307" s="121"/>
      <c r="I307" s="121"/>
      <c r="J307" s="121"/>
      <c r="K307" s="120"/>
      <c r="L307" s="120"/>
      <c r="M307" s="122"/>
      <c r="N307" s="121"/>
      <c r="O307" s="121"/>
      <c r="P307" s="121"/>
      <c r="Q307" s="121"/>
      <c r="R307" s="120"/>
      <c r="S307" s="120"/>
      <c r="T307" s="120"/>
      <c r="U307" s="190"/>
      <c r="V307" s="190"/>
      <c r="W307" s="190"/>
      <c r="X307" s="190"/>
      <c r="Y307" s="190"/>
      <c r="Z307" s="190"/>
      <c r="AA307" s="120"/>
      <c r="AB307" s="120"/>
      <c r="AC307" s="120"/>
    </row>
    <row r="308" spans="1:29" ht="14.25" customHeight="1">
      <c r="A308" s="120"/>
      <c r="B308" s="120"/>
      <c r="C308" s="120"/>
      <c r="D308" s="121"/>
      <c r="E308" s="121"/>
      <c r="F308" s="120"/>
      <c r="G308" s="120"/>
      <c r="H308" s="121"/>
      <c r="I308" s="121"/>
      <c r="J308" s="121"/>
      <c r="K308" s="120"/>
      <c r="L308" s="120"/>
      <c r="M308" s="122"/>
      <c r="N308" s="121"/>
      <c r="O308" s="121"/>
      <c r="P308" s="121"/>
      <c r="Q308" s="121"/>
      <c r="R308" s="120"/>
      <c r="S308" s="120"/>
      <c r="T308" s="120"/>
      <c r="U308" s="190"/>
      <c r="V308" s="190"/>
      <c r="W308" s="190"/>
      <c r="X308" s="190"/>
      <c r="Y308" s="190"/>
      <c r="Z308" s="190"/>
      <c r="AA308" s="120"/>
      <c r="AB308" s="120"/>
      <c r="AC308" s="120"/>
    </row>
    <row r="309" spans="1:29" ht="14.25" customHeight="1">
      <c r="A309" s="120"/>
      <c r="B309" s="120"/>
      <c r="C309" s="120"/>
      <c r="D309" s="121"/>
      <c r="E309" s="121"/>
      <c r="F309" s="120"/>
      <c r="G309" s="120"/>
      <c r="H309" s="121"/>
      <c r="I309" s="121"/>
      <c r="J309" s="121"/>
      <c r="K309" s="120"/>
      <c r="L309" s="120"/>
      <c r="M309" s="122"/>
      <c r="N309" s="121"/>
      <c r="O309" s="121"/>
      <c r="P309" s="121"/>
      <c r="Q309" s="121"/>
      <c r="R309" s="120"/>
      <c r="S309" s="120"/>
      <c r="T309" s="120"/>
      <c r="U309" s="190"/>
      <c r="V309" s="190"/>
      <c r="W309" s="190"/>
      <c r="X309" s="190"/>
      <c r="Y309" s="190"/>
      <c r="Z309" s="190"/>
      <c r="AA309" s="120"/>
      <c r="AB309" s="120"/>
      <c r="AC309" s="120"/>
    </row>
    <row r="310" spans="1:29" ht="14.25" customHeight="1">
      <c r="A310" s="120"/>
      <c r="B310" s="120"/>
      <c r="C310" s="120"/>
      <c r="D310" s="121"/>
      <c r="E310" s="121"/>
      <c r="F310" s="120"/>
      <c r="G310" s="120"/>
      <c r="H310" s="121"/>
      <c r="I310" s="121"/>
      <c r="J310" s="121"/>
      <c r="K310" s="120"/>
      <c r="L310" s="120"/>
      <c r="M310" s="122"/>
      <c r="N310" s="121"/>
      <c r="O310" s="121"/>
      <c r="P310" s="121"/>
      <c r="Q310" s="121"/>
      <c r="R310" s="120"/>
      <c r="S310" s="120"/>
      <c r="T310" s="120"/>
      <c r="U310" s="190"/>
      <c r="V310" s="190"/>
      <c r="W310" s="190"/>
      <c r="X310" s="190"/>
      <c r="Y310" s="190"/>
      <c r="Z310" s="190"/>
      <c r="AA310" s="120"/>
      <c r="AB310" s="120"/>
      <c r="AC310" s="120"/>
    </row>
    <row r="311" spans="1:29" ht="14.25" customHeight="1">
      <c r="A311" s="120"/>
      <c r="B311" s="120"/>
      <c r="C311" s="120"/>
      <c r="D311" s="121"/>
      <c r="E311" s="121"/>
      <c r="F311" s="120"/>
      <c r="G311" s="120"/>
      <c r="H311" s="121"/>
      <c r="I311" s="121"/>
      <c r="J311" s="121"/>
      <c r="K311" s="120"/>
      <c r="L311" s="120"/>
      <c r="M311" s="122"/>
      <c r="N311" s="121"/>
      <c r="O311" s="121"/>
      <c r="P311" s="121"/>
      <c r="Q311" s="121"/>
      <c r="R311" s="120"/>
      <c r="S311" s="120"/>
      <c r="T311" s="120"/>
      <c r="U311" s="190"/>
      <c r="V311" s="190"/>
      <c r="W311" s="190"/>
      <c r="X311" s="190"/>
      <c r="Y311" s="190"/>
      <c r="Z311" s="190"/>
      <c r="AA311" s="120"/>
      <c r="AB311" s="120"/>
      <c r="AC311" s="120"/>
    </row>
    <row r="312" spans="1:29" ht="14.25" customHeight="1">
      <c r="A312" s="120"/>
      <c r="B312" s="120"/>
      <c r="C312" s="120"/>
      <c r="D312" s="121"/>
      <c r="E312" s="121"/>
      <c r="F312" s="120"/>
      <c r="G312" s="120"/>
      <c r="H312" s="121"/>
      <c r="I312" s="121"/>
      <c r="J312" s="121"/>
      <c r="K312" s="120"/>
      <c r="L312" s="120"/>
      <c r="M312" s="122"/>
      <c r="N312" s="121"/>
      <c r="O312" s="121"/>
      <c r="P312" s="121"/>
      <c r="Q312" s="121"/>
      <c r="R312" s="120"/>
      <c r="S312" s="120"/>
      <c r="T312" s="120"/>
      <c r="U312" s="190"/>
      <c r="V312" s="190"/>
      <c r="W312" s="190"/>
      <c r="X312" s="190"/>
      <c r="Y312" s="190"/>
      <c r="Z312" s="190"/>
      <c r="AA312" s="120"/>
      <c r="AB312" s="120"/>
      <c r="AC312" s="120"/>
    </row>
    <row r="313" spans="1:29" ht="14.25" customHeight="1">
      <c r="A313" s="120"/>
      <c r="B313" s="120"/>
      <c r="C313" s="120"/>
      <c r="D313" s="121"/>
      <c r="E313" s="121"/>
      <c r="F313" s="120"/>
      <c r="G313" s="120"/>
      <c r="H313" s="121"/>
      <c r="I313" s="121"/>
      <c r="J313" s="121"/>
      <c r="K313" s="120"/>
      <c r="L313" s="120"/>
      <c r="M313" s="122"/>
      <c r="N313" s="121"/>
      <c r="O313" s="121"/>
      <c r="P313" s="121"/>
      <c r="Q313" s="121"/>
      <c r="R313" s="120"/>
      <c r="S313" s="120"/>
      <c r="T313" s="120"/>
      <c r="U313" s="190"/>
      <c r="V313" s="190"/>
      <c r="W313" s="190"/>
      <c r="X313" s="190"/>
      <c r="Y313" s="190"/>
      <c r="Z313" s="190"/>
      <c r="AA313" s="120"/>
      <c r="AB313" s="120"/>
      <c r="AC313" s="120"/>
    </row>
    <row r="314" spans="1:29" ht="14.25" customHeight="1">
      <c r="A314" s="120"/>
      <c r="B314" s="120"/>
      <c r="C314" s="120"/>
      <c r="D314" s="121"/>
      <c r="E314" s="121"/>
      <c r="F314" s="120"/>
      <c r="G314" s="120"/>
      <c r="H314" s="121"/>
      <c r="I314" s="121"/>
      <c r="J314" s="121"/>
      <c r="K314" s="120"/>
      <c r="L314" s="120"/>
      <c r="M314" s="122"/>
      <c r="N314" s="121"/>
      <c r="O314" s="121"/>
      <c r="P314" s="121"/>
      <c r="Q314" s="121"/>
      <c r="R314" s="120"/>
      <c r="S314" s="120"/>
      <c r="T314" s="120"/>
      <c r="U314" s="190"/>
      <c r="V314" s="190"/>
      <c r="W314" s="190"/>
      <c r="X314" s="190"/>
      <c r="Y314" s="190"/>
      <c r="Z314" s="190"/>
      <c r="AA314" s="120"/>
      <c r="AB314" s="120"/>
      <c r="AC314" s="120"/>
    </row>
    <row r="315" spans="1:29" ht="14.25" customHeight="1">
      <c r="A315" s="120"/>
      <c r="B315" s="120"/>
      <c r="C315" s="120"/>
      <c r="D315" s="121"/>
      <c r="E315" s="121"/>
      <c r="F315" s="120"/>
      <c r="G315" s="120"/>
      <c r="H315" s="121"/>
      <c r="I315" s="121"/>
      <c r="J315" s="121"/>
      <c r="K315" s="120"/>
      <c r="L315" s="120"/>
      <c r="M315" s="122"/>
      <c r="N315" s="121"/>
      <c r="O315" s="121"/>
      <c r="P315" s="121"/>
      <c r="Q315" s="121"/>
      <c r="R315" s="120"/>
      <c r="S315" s="120"/>
      <c r="T315" s="120"/>
      <c r="U315" s="190"/>
      <c r="V315" s="190"/>
      <c r="W315" s="190"/>
      <c r="X315" s="190"/>
      <c r="Y315" s="190"/>
      <c r="Z315" s="190"/>
      <c r="AA315" s="120"/>
      <c r="AB315" s="120"/>
      <c r="AC315" s="120"/>
    </row>
    <row r="316" spans="1:29" ht="14.25" customHeight="1">
      <c r="A316" s="120"/>
      <c r="B316" s="120"/>
      <c r="C316" s="120"/>
      <c r="D316" s="121"/>
      <c r="E316" s="121"/>
      <c r="F316" s="120"/>
      <c r="G316" s="120"/>
      <c r="H316" s="121"/>
      <c r="I316" s="121"/>
      <c r="J316" s="121"/>
      <c r="K316" s="120"/>
      <c r="L316" s="120"/>
      <c r="M316" s="122"/>
      <c r="N316" s="121"/>
      <c r="O316" s="121"/>
      <c r="P316" s="121"/>
      <c r="Q316" s="121"/>
      <c r="R316" s="120"/>
      <c r="S316" s="120"/>
      <c r="T316" s="120"/>
      <c r="U316" s="190"/>
      <c r="V316" s="190"/>
      <c r="W316" s="190"/>
      <c r="X316" s="190"/>
      <c r="Y316" s="190"/>
      <c r="Z316" s="190"/>
      <c r="AA316" s="120"/>
      <c r="AB316" s="120"/>
      <c r="AC316" s="120"/>
    </row>
    <row r="317" spans="1:29" ht="14.25" customHeight="1">
      <c r="A317" s="120"/>
      <c r="B317" s="120"/>
      <c r="C317" s="120"/>
      <c r="D317" s="121"/>
      <c r="E317" s="121"/>
      <c r="F317" s="120"/>
      <c r="G317" s="120"/>
      <c r="H317" s="121"/>
      <c r="I317" s="121"/>
      <c r="J317" s="121"/>
      <c r="K317" s="120"/>
      <c r="L317" s="120"/>
      <c r="M317" s="122"/>
      <c r="N317" s="121"/>
      <c r="O317" s="121"/>
      <c r="P317" s="121"/>
      <c r="Q317" s="121"/>
      <c r="R317" s="120"/>
      <c r="S317" s="120"/>
      <c r="T317" s="120"/>
      <c r="U317" s="190"/>
      <c r="V317" s="190"/>
      <c r="W317" s="190"/>
      <c r="X317" s="190"/>
      <c r="Y317" s="190"/>
      <c r="Z317" s="190"/>
      <c r="AA317" s="120"/>
      <c r="AB317" s="120"/>
      <c r="AC317" s="120"/>
    </row>
    <row r="318" spans="1:29" ht="14.25" customHeight="1">
      <c r="A318" s="120"/>
      <c r="B318" s="120"/>
      <c r="C318" s="120"/>
      <c r="D318" s="121"/>
      <c r="E318" s="121"/>
      <c r="F318" s="120"/>
      <c r="G318" s="120"/>
      <c r="H318" s="121"/>
      <c r="I318" s="121"/>
      <c r="J318" s="121"/>
      <c r="K318" s="120"/>
      <c r="L318" s="120"/>
      <c r="M318" s="122"/>
      <c r="N318" s="121"/>
      <c r="O318" s="121"/>
      <c r="P318" s="121"/>
      <c r="Q318" s="121"/>
      <c r="R318" s="120"/>
      <c r="S318" s="120"/>
      <c r="T318" s="120"/>
      <c r="U318" s="190"/>
      <c r="V318" s="190"/>
      <c r="W318" s="190"/>
      <c r="X318" s="190"/>
      <c r="Y318" s="190"/>
      <c r="Z318" s="190"/>
      <c r="AA318" s="120"/>
      <c r="AB318" s="120"/>
      <c r="AC318" s="120"/>
    </row>
    <row r="319" spans="1:29" ht="14.25" customHeight="1">
      <c r="A319" s="120"/>
      <c r="B319" s="120"/>
      <c r="C319" s="120"/>
      <c r="D319" s="121"/>
      <c r="E319" s="121"/>
      <c r="F319" s="120"/>
      <c r="G319" s="120"/>
      <c r="H319" s="121"/>
      <c r="I319" s="121"/>
      <c r="J319" s="121"/>
      <c r="K319" s="120"/>
      <c r="L319" s="120"/>
      <c r="M319" s="122"/>
      <c r="N319" s="121"/>
      <c r="O319" s="121"/>
      <c r="P319" s="121"/>
      <c r="Q319" s="121"/>
      <c r="R319" s="120"/>
      <c r="S319" s="120"/>
      <c r="T319" s="120"/>
      <c r="U319" s="190"/>
      <c r="V319" s="190"/>
      <c r="W319" s="190"/>
      <c r="X319" s="190"/>
      <c r="Y319" s="190"/>
      <c r="Z319" s="190"/>
      <c r="AA319" s="120"/>
      <c r="AB319" s="120"/>
      <c r="AC319" s="120"/>
    </row>
    <row r="320" spans="1:29" ht="14.25" customHeight="1">
      <c r="A320" s="120"/>
      <c r="B320" s="120"/>
      <c r="C320" s="120"/>
      <c r="D320" s="121"/>
      <c r="E320" s="121"/>
      <c r="F320" s="120"/>
      <c r="G320" s="120"/>
      <c r="H320" s="121"/>
      <c r="I320" s="121"/>
      <c r="J320" s="121"/>
      <c r="K320" s="120"/>
      <c r="L320" s="120"/>
      <c r="M320" s="122"/>
      <c r="N320" s="121"/>
      <c r="O320" s="121"/>
      <c r="P320" s="121"/>
      <c r="Q320" s="121"/>
      <c r="R320" s="120"/>
      <c r="S320" s="120"/>
      <c r="T320" s="120"/>
      <c r="U320" s="190"/>
      <c r="V320" s="190"/>
      <c r="W320" s="190"/>
      <c r="X320" s="190"/>
      <c r="Y320" s="190"/>
      <c r="Z320" s="190"/>
      <c r="AA320" s="120"/>
      <c r="AB320" s="120"/>
      <c r="AC320" s="120"/>
    </row>
    <row r="321" spans="1:29" ht="14.25" customHeight="1">
      <c r="A321" s="120"/>
      <c r="B321" s="120"/>
      <c r="C321" s="120"/>
      <c r="D321" s="121"/>
      <c r="E321" s="121"/>
      <c r="F321" s="120"/>
      <c r="G321" s="120"/>
      <c r="H321" s="121"/>
      <c r="I321" s="121"/>
      <c r="J321" s="121"/>
      <c r="K321" s="120"/>
      <c r="L321" s="120"/>
      <c r="M321" s="122"/>
      <c r="N321" s="121"/>
      <c r="O321" s="121"/>
      <c r="P321" s="121"/>
      <c r="Q321" s="121"/>
      <c r="R321" s="120"/>
      <c r="S321" s="120"/>
      <c r="T321" s="120"/>
      <c r="U321" s="190"/>
      <c r="V321" s="190"/>
      <c r="W321" s="190"/>
      <c r="X321" s="190"/>
      <c r="Y321" s="190"/>
      <c r="Z321" s="190"/>
      <c r="AA321" s="120"/>
      <c r="AB321" s="120"/>
      <c r="AC321" s="120"/>
    </row>
    <row r="322" spans="1:29" ht="14.25" customHeight="1">
      <c r="A322" s="120"/>
      <c r="B322" s="120"/>
      <c r="C322" s="120"/>
      <c r="D322" s="121"/>
      <c r="E322" s="121"/>
      <c r="F322" s="120"/>
      <c r="G322" s="120"/>
      <c r="H322" s="121"/>
      <c r="I322" s="121"/>
      <c r="J322" s="121"/>
      <c r="K322" s="120"/>
      <c r="L322" s="120"/>
      <c r="M322" s="122"/>
      <c r="N322" s="121"/>
      <c r="O322" s="121"/>
      <c r="P322" s="121"/>
      <c r="Q322" s="121"/>
      <c r="R322" s="120"/>
      <c r="S322" s="120"/>
      <c r="T322" s="120"/>
      <c r="U322" s="190"/>
      <c r="V322" s="190"/>
      <c r="W322" s="190"/>
      <c r="X322" s="190"/>
      <c r="Y322" s="190"/>
      <c r="Z322" s="190"/>
      <c r="AA322" s="120"/>
      <c r="AB322" s="120"/>
      <c r="AC322" s="120"/>
    </row>
    <row r="323" spans="1:29" ht="14.25" customHeight="1">
      <c r="A323" s="120"/>
      <c r="B323" s="120"/>
      <c r="C323" s="120"/>
      <c r="D323" s="121"/>
      <c r="E323" s="121"/>
      <c r="F323" s="120"/>
      <c r="G323" s="120"/>
      <c r="H323" s="121"/>
      <c r="I323" s="121"/>
      <c r="J323" s="121"/>
      <c r="K323" s="120"/>
      <c r="L323" s="120"/>
      <c r="M323" s="122"/>
      <c r="N323" s="121"/>
      <c r="O323" s="121"/>
      <c r="P323" s="121"/>
      <c r="Q323" s="121"/>
      <c r="R323" s="120"/>
      <c r="S323" s="120"/>
      <c r="T323" s="120"/>
      <c r="U323" s="190"/>
      <c r="V323" s="190"/>
      <c r="W323" s="190"/>
      <c r="X323" s="190"/>
      <c r="Y323" s="190"/>
      <c r="Z323" s="190"/>
      <c r="AA323" s="120"/>
      <c r="AB323" s="120"/>
      <c r="AC323" s="120"/>
    </row>
    <row r="324" spans="1:29" ht="14.25" customHeight="1">
      <c r="A324" s="120"/>
      <c r="B324" s="120"/>
      <c r="C324" s="120"/>
      <c r="D324" s="121"/>
      <c r="E324" s="121"/>
      <c r="F324" s="120"/>
      <c r="G324" s="120"/>
      <c r="H324" s="121"/>
      <c r="I324" s="121"/>
      <c r="J324" s="121"/>
      <c r="K324" s="120"/>
      <c r="L324" s="120"/>
      <c r="M324" s="122"/>
      <c r="N324" s="121"/>
      <c r="O324" s="121"/>
      <c r="P324" s="121"/>
      <c r="Q324" s="121"/>
      <c r="R324" s="120"/>
      <c r="S324" s="120"/>
      <c r="T324" s="120"/>
      <c r="U324" s="190"/>
      <c r="V324" s="190"/>
      <c r="W324" s="190"/>
      <c r="X324" s="190"/>
      <c r="Y324" s="190"/>
      <c r="Z324" s="190"/>
      <c r="AA324" s="120"/>
      <c r="AB324" s="120"/>
      <c r="AC324" s="120"/>
    </row>
    <row r="325" spans="1:29" ht="14.25" customHeight="1">
      <c r="A325" s="120"/>
      <c r="B325" s="120"/>
      <c r="C325" s="120"/>
      <c r="D325" s="121"/>
      <c r="E325" s="121"/>
      <c r="F325" s="120"/>
      <c r="G325" s="120"/>
      <c r="H325" s="121"/>
      <c r="I325" s="121"/>
      <c r="J325" s="121"/>
      <c r="K325" s="120"/>
      <c r="L325" s="120"/>
      <c r="M325" s="122"/>
      <c r="N325" s="121"/>
      <c r="O325" s="121"/>
      <c r="P325" s="121"/>
      <c r="Q325" s="121"/>
      <c r="R325" s="120"/>
      <c r="S325" s="120"/>
      <c r="T325" s="120"/>
      <c r="U325" s="190"/>
      <c r="V325" s="190"/>
      <c r="W325" s="190"/>
      <c r="X325" s="190"/>
      <c r="Y325" s="190"/>
      <c r="Z325" s="190"/>
      <c r="AA325" s="120"/>
      <c r="AB325" s="120"/>
      <c r="AC325" s="120"/>
    </row>
    <row r="326" spans="1:29" ht="14.25" customHeight="1">
      <c r="A326" s="120"/>
      <c r="B326" s="120"/>
      <c r="C326" s="120"/>
      <c r="D326" s="121"/>
      <c r="E326" s="121"/>
      <c r="F326" s="120"/>
      <c r="G326" s="120"/>
      <c r="H326" s="121"/>
      <c r="I326" s="121"/>
      <c r="J326" s="121"/>
      <c r="K326" s="120"/>
      <c r="L326" s="120"/>
      <c r="M326" s="122"/>
      <c r="N326" s="121"/>
      <c r="O326" s="121"/>
      <c r="P326" s="121"/>
      <c r="Q326" s="121"/>
      <c r="R326" s="120"/>
      <c r="S326" s="120"/>
      <c r="T326" s="120"/>
      <c r="U326" s="190"/>
      <c r="V326" s="190"/>
      <c r="W326" s="190"/>
      <c r="X326" s="190"/>
      <c r="Y326" s="190"/>
      <c r="Z326" s="190"/>
      <c r="AA326" s="120"/>
      <c r="AB326" s="120"/>
      <c r="AC326" s="120"/>
    </row>
    <row r="327" spans="1:29" ht="14.25" customHeight="1">
      <c r="A327" s="120"/>
      <c r="B327" s="120"/>
      <c r="C327" s="120"/>
      <c r="D327" s="121"/>
      <c r="E327" s="121"/>
      <c r="F327" s="120"/>
      <c r="G327" s="120"/>
      <c r="H327" s="121"/>
      <c r="I327" s="121"/>
      <c r="J327" s="121"/>
      <c r="K327" s="120"/>
      <c r="L327" s="120"/>
      <c r="M327" s="122"/>
      <c r="N327" s="121"/>
      <c r="O327" s="121"/>
      <c r="P327" s="121"/>
      <c r="Q327" s="121"/>
      <c r="R327" s="120"/>
      <c r="S327" s="120"/>
      <c r="T327" s="120"/>
      <c r="U327" s="190"/>
      <c r="V327" s="190"/>
      <c r="W327" s="190"/>
      <c r="X327" s="190"/>
      <c r="Y327" s="190"/>
      <c r="Z327" s="190"/>
      <c r="AA327" s="120"/>
      <c r="AB327" s="120"/>
      <c r="AC327" s="120"/>
    </row>
    <row r="328" spans="1:29" ht="14.25" customHeight="1">
      <c r="A328" s="120"/>
      <c r="B328" s="120"/>
      <c r="C328" s="120"/>
      <c r="D328" s="121"/>
      <c r="E328" s="121"/>
      <c r="F328" s="120"/>
      <c r="G328" s="120"/>
      <c r="H328" s="121"/>
      <c r="I328" s="121"/>
      <c r="J328" s="121"/>
      <c r="K328" s="120"/>
      <c r="L328" s="120"/>
      <c r="M328" s="122"/>
      <c r="N328" s="121"/>
      <c r="O328" s="121"/>
      <c r="P328" s="121"/>
      <c r="Q328" s="121"/>
      <c r="R328" s="120"/>
      <c r="S328" s="120"/>
      <c r="T328" s="120"/>
      <c r="U328" s="190"/>
      <c r="V328" s="190"/>
      <c r="W328" s="190"/>
      <c r="X328" s="190"/>
      <c r="Y328" s="190"/>
      <c r="Z328" s="190"/>
      <c r="AA328" s="120"/>
      <c r="AB328" s="120"/>
      <c r="AC328" s="120"/>
    </row>
    <row r="329" spans="1:29" ht="14.25" customHeight="1">
      <c r="A329" s="120"/>
      <c r="B329" s="120"/>
      <c r="C329" s="120"/>
      <c r="D329" s="121"/>
      <c r="E329" s="121"/>
      <c r="F329" s="120"/>
      <c r="G329" s="120"/>
      <c r="H329" s="121"/>
      <c r="I329" s="121"/>
      <c r="J329" s="121"/>
      <c r="K329" s="120"/>
      <c r="L329" s="120"/>
      <c r="M329" s="122"/>
      <c r="N329" s="121"/>
      <c r="O329" s="121"/>
      <c r="P329" s="121"/>
      <c r="Q329" s="121"/>
      <c r="R329" s="120"/>
      <c r="S329" s="120"/>
      <c r="T329" s="120"/>
      <c r="U329" s="190"/>
      <c r="V329" s="190"/>
      <c r="W329" s="190"/>
      <c r="X329" s="190"/>
      <c r="Y329" s="190"/>
      <c r="Z329" s="190"/>
      <c r="AA329" s="120"/>
      <c r="AB329" s="120"/>
      <c r="AC329" s="120"/>
    </row>
    <row r="330" spans="1:29" ht="14.25" customHeight="1">
      <c r="A330" s="120"/>
      <c r="B330" s="120"/>
      <c r="C330" s="120"/>
      <c r="D330" s="121"/>
      <c r="E330" s="121"/>
      <c r="F330" s="120"/>
      <c r="G330" s="120"/>
      <c r="H330" s="121"/>
      <c r="I330" s="121"/>
      <c r="J330" s="121"/>
      <c r="K330" s="120"/>
      <c r="L330" s="120"/>
      <c r="M330" s="122"/>
      <c r="N330" s="121"/>
      <c r="O330" s="121"/>
      <c r="P330" s="121"/>
      <c r="Q330" s="121"/>
      <c r="R330" s="120"/>
      <c r="S330" s="120"/>
      <c r="T330" s="120"/>
      <c r="U330" s="190"/>
      <c r="V330" s="190"/>
      <c r="W330" s="190"/>
      <c r="X330" s="190"/>
      <c r="Y330" s="190"/>
      <c r="Z330" s="190"/>
      <c r="AA330" s="120"/>
      <c r="AB330" s="120"/>
      <c r="AC330" s="120"/>
    </row>
    <row r="331" spans="1:29" ht="14.25" customHeight="1">
      <c r="A331" s="120"/>
      <c r="B331" s="120"/>
      <c r="C331" s="120"/>
      <c r="D331" s="121"/>
      <c r="E331" s="121"/>
      <c r="F331" s="120"/>
      <c r="G331" s="120"/>
      <c r="H331" s="121"/>
      <c r="I331" s="121"/>
      <c r="J331" s="121"/>
      <c r="K331" s="120"/>
      <c r="L331" s="120"/>
      <c r="M331" s="122"/>
      <c r="N331" s="121"/>
      <c r="O331" s="121"/>
      <c r="P331" s="121"/>
      <c r="Q331" s="121"/>
      <c r="R331" s="120"/>
      <c r="S331" s="120"/>
      <c r="T331" s="120"/>
      <c r="U331" s="190"/>
      <c r="V331" s="190"/>
      <c r="W331" s="190"/>
      <c r="X331" s="190"/>
      <c r="Y331" s="190"/>
      <c r="Z331" s="190"/>
      <c r="AA331" s="120"/>
      <c r="AB331" s="120"/>
      <c r="AC331" s="120"/>
    </row>
    <row r="332" spans="1:29" ht="14.25" customHeight="1">
      <c r="A332" s="120"/>
      <c r="B332" s="120"/>
      <c r="C332" s="120"/>
      <c r="D332" s="121"/>
      <c r="E332" s="121"/>
      <c r="F332" s="120"/>
      <c r="G332" s="120"/>
      <c r="H332" s="121"/>
      <c r="I332" s="121"/>
      <c r="J332" s="121"/>
      <c r="K332" s="120"/>
      <c r="L332" s="120"/>
      <c r="M332" s="122"/>
      <c r="N332" s="121"/>
      <c r="O332" s="121"/>
      <c r="P332" s="121"/>
      <c r="Q332" s="121"/>
      <c r="R332" s="120"/>
      <c r="S332" s="120"/>
      <c r="T332" s="120"/>
      <c r="U332" s="190"/>
      <c r="V332" s="190"/>
      <c r="W332" s="190"/>
      <c r="X332" s="190"/>
      <c r="Y332" s="190"/>
      <c r="Z332" s="190"/>
      <c r="AA332" s="120"/>
      <c r="AB332" s="120"/>
      <c r="AC332" s="120"/>
    </row>
    <row r="333" spans="1:29" ht="14.25" customHeight="1">
      <c r="A333" s="120"/>
      <c r="B333" s="120"/>
      <c r="C333" s="120"/>
      <c r="D333" s="121"/>
      <c r="E333" s="121"/>
      <c r="F333" s="120"/>
      <c r="G333" s="120"/>
      <c r="H333" s="121"/>
      <c r="I333" s="121"/>
      <c r="J333" s="121"/>
      <c r="K333" s="120"/>
      <c r="L333" s="120"/>
      <c r="M333" s="122"/>
      <c r="N333" s="121"/>
      <c r="O333" s="121"/>
      <c r="P333" s="121"/>
      <c r="Q333" s="121"/>
      <c r="R333" s="120"/>
      <c r="S333" s="120"/>
      <c r="T333" s="120"/>
      <c r="U333" s="190"/>
      <c r="V333" s="190"/>
      <c r="W333" s="190"/>
      <c r="X333" s="190"/>
      <c r="Y333" s="190"/>
      <c r="Z333" s="190"/>
      <c r="AA333" s="120"/>
      <c r="AB333" s="120"/>
      <c r="AC333" s="120"/>
    </row>
    <row r="334" spans="1:29" ht="14.25" customHeight="1">
      <c r="A334" s="120"/>
      <c r="B334" s="120"/>
      <c r="C334" s="120"/>
      <c r="D334" s="121"/>
      <c r="E334" s="121"/>
      <c r="F334" s="120"/>
      <c r="G334" s="120"/>
      <c r="H334" s="121"/>
      <c r="I334" s="121"/>
      <c r="J334" s="121"/>
      <c r="K334" s="120"/>
      <c r="L334" s="120"/>
      <c r="M334" s="122"/>
      <c r="N334" s="121"/>
      <c r="O334" s="121"/>
      <c r="P334" s="121"/>
      <c r="Q334" s="121"/>
      <c r="R334" s="120"/>
      <c r="S334" s="120"/>
      <c r="T334" s="120"/>
      <c r="U334" s="190"/>
      <c r="V334" s="190"/>
      <c r="W334" s="190"/>
      <c r="X334" s="190"/>
      <c r="Y334" s="190"/>
      <c r="Z334" s="190"/>
      <c r="AA334" s="120"/>
      <c r="AB334" s="120"/>
      <c r="AC334" s="120"/>
    </row>
    <row r="335" spans="1:29" ht="14.25" customHeight="1">
      <c r="A335" s="120"/>
      <c r="B335" s="120"/>
      <c r="C335" s="120"/>
      <c r="D335" s="121"/>
      <c r="E335" s="121"/>
      <c r="F335" s="120"/>
      <c r="G335" s="120"/>
      <c r="H335" s="121"/>
      <c r="I335" s="121"/>
      <c r="J335" s="121"/>
      <c r="K335" s="120"/>
      <c r="L335" s="120"/>
      <c r="M335" s="122"/>
      <c r="N335" s="121"/>
      <c r="O335" s="121"/>
      <c r="P335" s="121"/>
      <c r="Q335" s="121"/>
      <c r="R335" s="120"/>
      <c r="S335" s="120"/>
      <c r="T335" s="120"/>
      <c r="U335" s="190"/>
      <c r="V335" s="190"/>
      <c r="W335" s="190"/>
      <c r="X335" s="190"/>
      <c r="Y335" s="190"/>
      <c r="Z335" s="190"/>
      <c r="AA335" s="120"/>
      <c r="AB335" s="120"/>
      <c r="AC335" s="120"/>
    </row>
    <row r="336" spans="1:29" ht="14.25" customHeight="1">
      <c r="A336" s="120"/>
      <c r="B336" s="120"/>
      <c r="C336" s="120"/>
      <c r="D336" s="121"/>
      <c r="E336" s="121"/>
      <c r="F336" s="120"/>
      <c r="G336" s="120"/>
      <c r="H336" s="121"/>
      <c r="I336" s="121"/>
      <c r="J336" s="121"/>
      <c r="K336" s="120"/>
      <c r="L336" s="120"/>
      <c r="M336" s="122"/>
      <c r="N336" s="121"/>
      <c r="O336" s="121"/>
      <c r="P336" s="121"/>
      <c r="Q336" s="121"/>
      <c r="R336" s="120"/>
      <c r="S336" s="120"/>
      <c r="T336" s="120"/>
      <c r="U336" s="190"/>
      <c r="V336" s="190"/>
      <c r="W336" s="190"/>
      <c r="X336" s="190"/>
      <c r="Y336" s="190"/>
      <c r="Z336" s="190"/>
      <c r="AA336" s="120"/>
      <c r="AB336" s="120"/>
      <c r="AC336" s="120"/>
    </row>
    <row r="337" spans="1:29" ht="14.25" customHeight="1">
      <c r="A337" s="120"/>
      <c r="B337" s="120"/>
      <c r="C337" s="120"/>
      <c r="D337" s="121"/>
      <c r="E337" s="121"/>
      <c r="F337" s="120"/>
      <c r="G337" s="120"/>
      <c r="H337" s="121"/>
      <c r="I337" s="121"/>
      <c r="J337" s="121"/>
      <c r="K337" s="120"/>
      <c r="L337" s="120"/>
      <c r="M337" s="122"/>
      <c r="N337" s="121"/>
      <c r="O337" s="121"/>
      <c r="P337" s="121"/>
      <c r="Q337" s="121"/>
      <c r="R337" s="120"/>
      <c r="S337" s="120"/>
      <c r="T337" s="120"/>
      <c r="U337" s="190"/>
      <c r="V337" s="190"/>
      <c r="W337" s="190"/>
      <c r="X337" s="190"/>
      <c r="Y337" s="190"/>
      <c r="Z337" s="190"/>
      <c r="AA337" s="120"/>
      <c r="AB337" s="120"/>
      <c r="AC337" s="120"/>
    </row>
    <row r="338" spans="1:29" ht="14.25" customHeight="1">
      <c r="A338" s="120"/>
      <c r="B338" s="120"/>
      <c r="C338" s="120"/>
      <c r="D338" s="121"/>
      <c r="E338" s="121"/>
      <c r="F338" s="120"/>
      <c r="G338" s="120"/>
      <c r="H338" s="121"/>
      <c r="I338" s="121"/>
      <c r="J338" s="121"/>
      <c r="K338" s="120"/>
      <c r="L338" s="120"/>
      <c r="M338" s="122"/>
      <c r="N338" s="121"/>
      <c r="O338" s="121"/>
      <c r="P338" s="121"/>
      <c r="Q338" s="121"/>
      <c r="R338" s="120"/>
      <c r="S338" s="120"/>
      <c r="T338" s="120"/>
      <c r="U338" s="190"/>
      <c r="V338" s="190"/>
      <c r="W338" s="190"/>
      <c r="X338" s="190"/>
      <c r="Y338" s="190"/>
      <c r="Z338" s="190"/>
      <c r="AA338" s="120"/>
      <c r="AB338" s="120"/>
      <c r="AC338" s="120"/>
    </row>
    <row r="339" spans="1:29" ht="14.25" customHeight="1">
      <c r="A339" s="120"/>
      <c r="B339" s="120"/>
      <c r="C339" s="120"/>
      <c r="D339" s="121"/>
      <c r="E339" s="121"/>
      <c r="F339" s="120"/>
      <c r="G339" s="120"/>
      <c r="H339" s="121"/>
      <c r="I339" s="121"/>
      <c r="J339" s="121"/>
      <c r="K339" s="120"/>
      <c r="L339" s="120"/>
      <c r="M339" s="122"/>
      <c r="N339" s="121"/>
      <c r="O339" s="121"/>
      <c r="P339" s="121"/>
      <c r="Q339" s="121"/>
      <c r="R339" s="120"/>
      <c r="S339" s="120"/>
      <c r="T339" s="120"/>
      <c r="U339" s="190"/>
      <c r="V339" s="190"/>
      <c r="W339" s="190"/>
      <c r="X339" s="190"/>
      <c r="Y339" s="190"/>
      <c r="Z339" s="190"/>
      <c r="AA339" s="120"/>
      <c r="AB339" s="120"/>
      <c r="AC339" s="120"/>
    </row>
    <row r="340" spans="1:29" ht="14.25" customHeight="1">
      <c r="A340" s="120"/>
      <c r="B340" s="120"/>
      <c r="C340" s="120"/>
      <c r="D340" s="121"/>
      <c r="E340" s="121"/>
      <c r="F340" s="120"/>
      <c r="G340" s="120"/>
      <c r="H340" s="121"/>
      <c r="I340" s="121"/>
      <c r="J340" s="121"/>
      <c r="K340" s="120"/>
      <c r="L340" s="120"/>
      <c r="M340" s="122"/>
      <c r="N340" s="121"/>
      <c r="O340" s="121"/>
      <c r="P340" s="121"/>
      <c r="Q340" s="121"/>
      <c r="R340" s="120"/>
      <c r="S340" s="120"/>
      <c r="T340" s="120"/>
      <c r="U340" s="190"/>
      <c r="V340" s="190"/>
      <c r="W340" s="190"/>
      <c r="X340" s="190"/>
      <c r="Y340" s="190"/>
      <c r="Z340" s="190"/>
      <c r="AA340" s="120"/>
      <c r="AB340" s="120"/>
      <c r="AC340" s="120"/>
    </row>
    <row r="341" spans="1:29" ht="14.25" customHeight="1">
      <c r="A341" s="120"/>
      <c r="B341" s="120"/>
      <c r="C341" s="120"/>
      <c r="D341" s="121"/>
      <c r="E341" s="121"/>
      <c r="F341" s="120"/>
      <c r="G341" s="120"/>
      <c r="H341" s="121"/>
      <c r="I341" s="121"/>
      <c r="J341" s="121"/>
      <c r="K341" s="120"/>
      <c r="L341" s="120"/>
      <c r="M341" s="122"/>
      <c r="N341" s="121"/>
      <c r="O341" s="121"/>
      <c r="P341" s="121"/>
      <c r="Q341" s="121"/>
      <c r="R341" s="120"/>
      <c r="S341" s="120"/>
      <c r="T341" s="120"/>
      <c r="U341" s="190"/>
      <c r="V341" s="190"/>
      <c r="W341" s="190"/>
      <c r="X341" s="190"/>
      <c r="Y341" s="190"/>
      <c r="Z341" s="190"/>
      <c r="AA341" s="120"/>
      <c r="AB341" s="120"/>
      <c r="AC341" s="120"/>
    </row>
    <row r="342" spans="1:29" ht="14.25" customHeight="1">
      <c r="A342" s="120"/>
      <c r="B342" s="120"/>
      <c r="C342" s="120"/>
      <c r="D342" s="121"/>
      <c r="E342" s="121"/>
      <c r="F342" s="120"/>
      <c r="G342" s="120"/>
      <c r="H342" s="121"/>
      <c r="I342" s="121"/>
      <c r="J342" s="121"/>
      <c r="K342" s="120"/>
      <c r="L342" s="120"/>
      <c r="M342" s="122"/>
      <c r="N342" s="121"/>
      <c r="O342" s="121"/>
      <c r="P342" s="121"/>
      <c r="Q342" s="121"/>
      <c r="R342" s="120"/>
      <c r="S342" s="120"/>
      <c r="T342" s="120"/>
      <c r="U342" s="190"/>
      <c r="V342" s="190"/>
      <c r="W342" s="190"/>
      <c r="X342" s="190"/>
      <c r="Y342" s="190"/>
      <c r="Z342" s="190"/>
      <c r="AA342" s="120"/>
      <c r="AB342" s="120"/>
      <c r="AC342" s="120"/>
    </row>
    <row r="343" spans="1:29" ht="14.25" customHeight="1">
      <c r="A343" s="120"/>
      <c r="B343" s="120"/>
      <c r="C343" s="120"/>
      <c r="D343" s="121"/>
      <c r="E343" s="121"/>
      <c r="F343" s="120"/>
      <c r="G343" s="120"/>
      <c r="H343" s="121"/>
      <c r="I343" s="121"/>
      <c r="J343" s="121"/>
      <c r="K343" s="120"/>
      <c r="L343" s="120"/>
      <c r="M343" s="122"/>
      <c r="N343" s="121"/>
      <c r="O343" s="121"/>
      <c r="P343" s="121"/>
      <c r="Q343" s="121"/>
      <c r="R343" s="120"/>
      <c r="S343" s="120"/>
      <c r="T343" s="120"/>
      <c r="U343" s="190"/>
      <c r="V343" s="190"/>
      <c r="W343" s="190"/>
      <c r="X343" s="190"/>
      <c r="Y343" s="190"/>
      <c r="Z343" s="190"/>
      <c r="AA343" s="120"/>
      <c r="AB343" s="120"/>
      <c r="AC343" s="120"/>
    </row>
    <row r="344" spans="1:29" ht="14.25" customHeight="1">
      <c r="A344" s="120"/>
      <c r="B344" s="120"/>
      <c r="C344" s="120"/>
      <c r="D344" s="121"/>
      <c r="E344" s="121"/>
      <c r="F344" s="120"/>
      <c r="G344" s="120"/>
      <c r="H344" s="121"/>
      <c r="I344" s="121"/>
      <c r="J344" s="121"/>
      <c r="K344" s="120"/>
      <c r="L344" s="120"/>
      <c r="M344" s="122"/>
      <c r="N344" s="121"/>
      <c r="O344" s="121"/>
      <c r="P344" s="121"/>
      <c r="Q344" s="121"/>
      <c r="R344" s="120"/>
      <c r="S344" s="120"/>
      <c r="T344" s="120"/>
      <c r="U344" s="190"/>
      <c r="V344" s="190"/>
      <c r="W344" s="190"/>
      <c r="X344" s="190"/>
      <c r="Y344" s="190"/>
      <c r="Z344" s="190"/>
      <c r="AA344" s="120"/>
      <c r="AB344" s="120"/>
      <c r="AC344" s="120"/>
    </row>
    <row r="345" spans="1:29" ht="14.25" customHeight="1">
      <c r="A345" s="120"/>
      <c r="B345" s="120"/>
      <c r="C345" s="120"/>
      <c r="D345" s="121"/>
      <c r="E345" s="121"/>
      <c r="F345" s="120"/>
      <c r="G345" s="120"/>
      <c r="H345" s="121"/>
      <c r="I345" s="121"/>
      <c r="J345" s="121"/>
      <c r="K345" s="120"/>
      <c r="L345" s="120"/>
      <c r="M345" s="122"/>
      <c r="N345" s="121"/>
      <c r="O345" s="121"/>
      <c r="P345" s="121"/>
      <c r="Q345" s="121"/>
      <c r="R345" s="120"/>
      <c r="S345" s="120"/>
      <c r="T345" s="120"/>
      <c r="U345" s="190"/>
      <c r="V345" s="190"/>
      <c r="W345" s="190"/>
      <c r="X345" s="190"/>
      <c r="Y345" s="190"/>
      <c r="Z345" s="190"/>
      <c r="AA345" s="120"/>
      <c r="AB345" s="120"/>
      <c r="AC345" s="120"/>
    </row>
    <row r="346" spans="1:29" ht="14.25" customHeight="1">
      <c r="A346" s="120"/>
      <c r="B346" s="120"/>
      <c r="C346" s="120"/>
      <c r="D346" s="121"/>
      <c r="E346" s="121"/>
      <c r="F346" s="120"/>
      <c r="G346" s="120"/>
      <c r="H346" s="121"/>
      <c r="I346" s="121"/>
      <c r="J346" s="121"/>
      <c r="K346" s="120"/>
      <c r="L346" s="120"/>
      <c r="M346" s="122"/>
      <c r="N346" s="121"/>
      <c r="O346" s="121"/>
      <c r="P346" s="121"/>
      <c r="Q346" s="121"/>
      <c r="R346" s="120"/>
      <c r="S346" s="120"/>
      <c r="T346" s="120"/>
      <c r="U346" s="190"/>
      <c r="V346" s="190"/>
      <c r="W346" s="190"/>
      <c r="X346" s="190"/>
      <c r="Y346" s="190"/>
      <c r="Z346" s="190"/>
      <c r="AA346" s="120"/>
      <c r="AB346" s="120"/>
      <c r="AC346" s="120"/>
    </row>
    <row r="347" spans="1:29" ht="14.25" customHeight="1">
      <c r="A347" s="120"/>
      <c r="B347" s="120"/>
      <c r="C347" s="120"/>
      <c r="D347" s="121"/>
      <c r="E347" s="121"/>
      <c r="F347" s="120"/>
      <c r="G347" s="120"/>
      <c r="H347" s="121"/>
      <c r="I347" s="121"/>
      <c r="J347" s="121"/>
      <c r="K347" s="120"/>
      <c r="L347" s="120"/>
      <c r="M347" s="122"/>
      <c r="N347" s="121"/>
      <c r="O347" s="121"/>
      <c r="P347" s="121"/>
      <c r="Q347" s="121"/>
      <c r="R347" s="120"/>
      <c r="S347" s="120"/>
      <c r="T347" s="120"/>
      <c r="U347" s="190"/>
      <c r="V347" s="190"/>
      <c r="W347" s="190"/>
      <c r="X347" s="190"/>
      <c r="Y347" s="190"/>
      <c r="Z347" s="190"/>
      <c r="AA347" s="120"/>
      <c r="AB347" s="120"/>
      <c r="AC347" s="120"/>
    </row>
    <row r="348" spans="1:29" ht="14.25" customHeight="1">
      <c r="A348" s="120"/>
      <c r="B348" s="120"/>
      <c r="C348" s="120"/>
      <c r="D348" s="121"/>
      <c r="E348" s="121"/>
      <c r="F348" s="120"/>
      <c r="G348" s="120"/>
      <c r="H348" s="121"/>
      <c r="I348" s="121"/>
      <c r="J348" s="121"/>
      <c r="K348" s="120"/>
      <c r="L348" s="120"/>
      <c r="M348" s="122"/>
      <c r="N348" s="121"/>
      <c r="O348" s="121"/>
      <c r="P348" s="121"/>
      <c r="Q348" s="121"/>
      <c r="R348" s="120"/>
      <c r="S348" s="120"/>
      <c r="T348" s="120"/>
      <c r="U348" s="190"/>
      <c r="V348" s="190"/>
      <c r="W348" s="190"/>
      <c r="X348" s="190"/>
      <c r="Y348" s="190"/>
      <c r="Z348" s="190"/>
      <c r="AA348" s="120"/>
      <c r="AB348" s="120"/>
      <c r="AC348" s="120"/>
    </row>
    <row r="349" spans="1:29" ht="14.25" customHeight="1">
      <c r="A349" s="120"/>
      <c r="B349" s="120"/>
      <c r="C349" s="120"/>
      <c r="D349" s="121"/>
      <c r="E349" s="121"/>
      <c r="F349" s="120"/>
      <c r="G349" s="120"/>
      <c r="H349" s="121"/>
      <c r="I349" s="121"/>
      <c r="J349" s="121"/>
      <c r="K349" s="120"/>
      <c r="L349" s="120"/>
      <c r="M349" s="122"/>
      <c r="N349" s="121"/>
      <c r="O349" s="121"/>
      <c r="P349" s="121"/>
      <c r="Q349" s="121"/>
      <c r="R349" s="120"/>
      <c r="S349" s="120"/>
      <c r="T349" s="120"/>
      <c r="U349" s="190"/>
      <c r="V349" s="190"/>
      <c r="W349" s="190"/>
      <c r="X349" s="190"/>
      <c r="Y349" s="190"/>
      <c r="Z349" s="190"/>
      <c r="AA349" s="120"/>
      <c r="AB349" s="120"/>
      <c r="AC349" s="120"/>
    </row>
    <row r="350" spans="1:29" ht="14.25" customHeight="1">
      <c r="A350" s="120"/>
      <c r="B350" s="120"/>
      <c r="C350" s="120"/>
      <c r="D350" s="121"/>
      <c r="E350" s="121"/>
      <c r="F350" s="120"/>
      <c r="G350" s="120"/>
      <c r="H350" s="121"/>
      <c r="I350" s="121"/>
      <c r="J350" s="121"/>
      <c r="K350" s="120"/>
      <c r="L350" s="120"/>
      <c r="M350" s="122"/>
      <c r="N350" s="121"/>
      <c r="O350" s="121"/>
      <c r="P350" s="121"/>
      <c r="Q350" s="121"/>
      <c r="R350" s="120"/>
      <c r="S350" s="120"/>
      <c r="T350" s="120"/>
      <c r="U350" s="190"/>
      <c r="V350" s="190"/>
      <c r="W350" s="190"/>
      <c r="X350" s="190"/>
      <c r="Y350" s="190"/>
      <c r="Z350" s="190"/>
      <c r="AA350" s="120"/>
      <c r="AB350" s="120"/>
      <c r="AC350" s="120"/>
    </row>
    <row r="351" spans="1:29" ht="14.25" customHeight="1">
      <c r="A351" s="120"/>
      <c r="B351" s="120"/>
      <c r="C351" s="120"/>
      <c r="D351" s="121"/>
      <c r="E351" s="121"/>
      <c r="F351" s="120"/>
      <c r="G351" s="120"/>
      <c r="H351" s="121"/>
      <c r="I351" s="121"/>
      <c r="J351" s="121"/>
      <c r="K351" s="120"/>
      <c r="L351" s="120"/>
      <c r="M351" s="122"/>
      <c r="N351" s="121"/>
      <c r="O351" s="121"/>
      <c r="P351" s="121"/>
      <c r="Q351" s="121"/>
      <c r="R351" s="120"/>
      <c r="S351" s="120"/>
      <c r="T351" s="120"/>
      <c r="U351" s="190"/>
      <c r="V351" s="190"/>
      <c r="W351" s="190"/>
      <c r="X351" s="190"/>
      <c r="Y351" s="190"/>
      <c r="Z351" s="190"/>
      <c r="AA351" s="120"/>
      <c r="AB351" s="120"/>
      <c r="AC351" s="120"/>
    </row>
    <row r="352" spans="1:29" ht="14.25" customHeight="1">
      <c r="A352" s="120"/>
      <c r="B352" s="120"/>
      <c r="C352" s="120"/>
      <c r="D352" s="121"/>
      <c r="E352" s="121"/>
      <c r="F352" s="120"/>
      <c r="G352" s="120"/>
      <c r="H352" s="121"/>
      <c r="I352" s="121"/>
      <c r="J352" s="121"/>
      <c r="K352" s="120"/>
      <c r="L352" s="120"/>
      <c r="M352" s="122"/>
      <c r="N352" s="121"/>
      <c r="O352" s="121"/>
      <c r="P352" s="121"/>
      <c r="Q352" s="121"/>
      <c r="R352" s="120"/>
      <c r="S352" s="120"/>
      <c r="T352" s="120"/>
      <c r="U352" s="190"/>
      <c r="V352" s="190"/>
      <c r="W352" s="190"/>
      <c r="X352" s="190"/>
      <c r="Y352" s="190"/>
      <c r="Z352" s="190"/>
      <c r="AA352" s="120"/>
      <c r="AB352" s="120"/>
      <c r="AC352" s="120"/>
    </row>
    <row r="353" spans="1:29" ht="14.25" customHeight="1">
      <c r="A353" s="120"/>
      <c r="B353" s="120"/>
      <c r="C353" s="120"/>
      <c r="D353" s="121"/>
      <c r="E353" s="121"/>
      <c r="F353" s="120"/>
      <c r="G353" s="120"/>
      <c r="H353" s="121"/>
      <c r="I353" s="121"/>
      <c r="J353" s="121"/>
      <c r="K353" s="120"/>
      <c r="L353" s="120"/>
      <c r="M353" s="122"/>
      <c r="N353" s="121"/>
      <c r="O353" s="121"/>
      <c r="P353" s="121"/>
      <c r="Q353" s="121"/>
      <c r="R353" s="120"/>
      <c r="S353" s="120"/>
      <c r="T353" s="120"/>
      <c r="U353" s="190"/>
      <c r="V353" s="190"/>
      <c r="W353" s="190"/>
      <c r="X353" s="190"/>
      <c r="Y353" s="190"/>
      <c r="Z353" s="190"/>
      <c r="AA353" s="120"/>
      <c r="AB353" s="120"/>
      <c r="AC353" s="120"/>
    </row>
    <row r="354" spans="1:29" ht="14.25" customHeight="1">
      <c r="A354" s="120"/>
      <c r="B354" s="120"/>
      <c r="C354" s="120"/>
      <c r="D354" s="121"/>
      <c r="E354" s="121"/>
      <c r="F354" s="120"/>
      <c r="G354" s="120"/>
      <c r="H354" s="121"/>
      <c r="I354" s="121"/>
      <c r="J354" s="121"/>
      <c r="K354" s="120"/>
      <c r="L354" s="120"/>
      <c r="M354" s="122"/>
      <c r="N354" s="121"/>
      <c r="O354" s="121"/>
      <c r="P354" s="121"/>
      <c r="Q354" s="121"/>
      <c r="R354" s="120"/>
      <c r="S354" s="120"/>
      <c r="T354" s="120"/>
      <c r="U354" s="190"/>
      <c r="V354" s="190"/>
      <c r="W354" s="190"/>
      <c r="X354" s="190"/>
      <c r="Y354" s="190"/>
      <c r="Z354" s="190"/>
      <c r="AA354" s="120"/>
      <c r="AB354" s="120"/>
      <c r="AC354" s="120"/>
    </row>
    <row r="355" spans="1:29" ht="14.25" customHeight="1">
      <c r="A355" s="120"/>
      <c r="B355" s="120"/>
      <c r="C355" s="120"/>
      <c r="D355" s="121"/>
      <c r="E355" s="121"/>
      <c r="F355" s="120"/>
      <c r="G355" s="120"/>
      <c r="H355" s="121"/>
      <c r="I355" s="121"/>
      <c r="J355" s="121"/>
      <c r="K355" s="120"/>
      <c r="L355" s="120"/>
      <c r="M355" s="122"/>
      <c r="N355" s="121"/>
      <c r="O355" s="121"/>
      <c r="P355" s="121"/>
      <c r="Q355" s="121"/>
      <c r="R355" s="120"/>
      <c r="S355" s="120"/>
      <c r="T355" s="120"/>
      <c r="U355" s="190"/>
      <c r="V355" s="190"/>
      <c r="W355" s="190"/>
      <c r="X355" s="190"/>
      <c r="Y355" s="190"/>
      <c r="Z355" s="190"/>
      <c r="AA355" s="120"/>
      <c r="AB355" s="120"/>
      <c r="AC355" s="120"/>
    </row>
    <row r="356" spans="1:29" ht="14.25" customHeight="1">
      <c r="A356" s="120"/>
      <c r="B356" s="120"/>
      <c r="C356" s="120"/>
      <c r="D356" s="121"/>
      <c r="E356" s="121"/>
      <c r="F356" s="120"/>
      <c r="G356" s="120"/>
      <c r="H356" s="121"/>
      <c r="I356" s="121"/>
      <c r="J356" s="121"/>
      <c r="K356" s="120"/>
      <c r="L356" s="120"/>
      <c r="M356" s="122"/>
      <c r="N356" s="121"/>
      <c r="O356" s="121"/>
      <c r="P356" s="121"/>
      <c r="Q356" s="121"/>
      <c r="R356" s="120"/>
      <c r="S356" s="120"/>
      <c r="T356" s="120"/>
      <c r="U356" s="190"/>
      <c r="V356" s="190"/>
      <c r="W356" s="190"/>
      <c r="X356" s="190"/>
      <c r="Y356" s="190"/>
      <c r="Z356" s="190"/>
      <c r="AA356" s="120"/>
      <c r="AB356" s="120"/>
      <c r="AC356" s="120"/>
    </row>
    <row r="357" spans="1:29" ht="14.25" customHeight="1">
      <c r="A357" s="120"/>
      <c r="B357" s="120"/>
      <c r="C357" s="120"/>
      <c r="D357" s="121"/>
      <c r="E357" s="121"/>
      <c r="F357" s="120"/>
      <c r="G357" s="120"/>
      <c r="H357" s="121"/>
      <c r="I357" s="121"/>
      <c r="J357" s="121"/>
      <c r="K357" s="120"/>
      <c r="L357" s="120"/>
      <c r="M357" s="122"/>
      <c r="N357" s="121"/>
      <c r="O357" s="121"/>
      <c r="P357" s="121"/>
      <c r="Q357" s="121"/>
      <c r="R357" s="120"/>
      <c r="S357" s="120"/>
      <c r="T357" s="120"/>
      <c r="U357" s="190"/>
      <c r="V357" s="190"/>
      <c r="W357" s="190"/>
      <c r="X357" s="190"/>
      <c r="Y357" s="190"/>
      <c r="Z357" s="190"/>
      <c r="AA357" s="120"/>
      <c r="AB357" s="120"/>
      <c r="AC357" s="120"/>
    </row>
    <row r="358" spans="1:29" ht="14.25" customHeight="1">
      <c r="A358" s="120"/>
      <c r="B358" s="120"/>
      <c r="C358" s="120"/>
      <c r="D358" s="121"/>
      <c r="E358" s="121"/>
      <c r="F358" s="120"/>
      <c r="G358" s="120"/>
      <c r="H358" s="121"/>
      <c r="I358" s="121"/>
      <c r="J358" s="121"/>
      <c r="K358" s="120"/>
      <c r="L358" s="120"/>
      <c r="M358" s="122"/>
      <c r="N358" s="121"/>
      <c r="O358" s="121"/>
      <c r="P358" s="121"/>
      <c r="Q358" s="121"/>
      <c r="R358" s="120"/>
      <c r="S358" s="120"/>
      <c r="T358" s="120"/>
      <c r="U358" s="190"/>
      <c r="V358" s="190"/>
      <c r="W358" s="190"/>
      <c r="X358" s="190"/>
      <c r="Y358" s="190"/>
      <c r="Z358" s="190"/>
      <c r="AA358" s="120"/>
      <c r="AB358" s="120"/>
      <c r="AC358" s="120"/>
    </row>
    <row r="359" spans="1:29" ht="14.25" customHeight="1">
      <c r="A359" s="120"/>
      <c r="B359" s="120"/>
      <c r="C359" s="120"/>
      <c r="D359" s="121"/>
      <c r="E359" s="121"/>
      <c r="F359" s="120"/>
      <c r="G359" s="120"/>
      <c r="H359" s="121"/>
      <c r="I359" s="121"/>
      <c r="J359" s="121"/>
      <c r="K359" s="120"/>
      <c r="L359" s="120"/>
      <c r="M359" s="122"/>
      <c r="N359" s="121"/>
      <c r="O359" s="121"/>
      <c r="P359" s="121"/>
      <c r="Q359" s="121"/>
      <c r="R359" s="120"/>
      <c r="S359" s="120"/>
      <c r="T359" s="120"/>
      <c r="U359" s="190"/>
      <c r="V359" s="190"/>
      <c r="W359" s="190"/>
      <c r="X359" s="190"/>
      <c r="Y359" s="190"/>
      <c r="Z359" s="190"/>
      <c r="AA359" s="120"/>
      <c r="AB359" s="120"/>
      <c r="AC359" s="120"/>
    </row>
    <row r="360" spans="1:29" ht="14.25" customHeight="1">
      <c r="A360" s="120"/>
      <c r="B360" s="120"/>
      <c r="C360" s="120"/>
      <c r="D360" s="121"/>
      <c r="E360" s="121"/>
      <c r="F360" s="120"/>
      <c r="G360" s="120"/>
      <c r="H360" s="121"/>
      <c r="I360" s="121"/>
      <c r="J360" s="121"/>
      <c r="K360" s="120"/>
      <c r="L360" s="120"/>
      <c r="M360" s="122"/>
      <c r="N360" s="121"/>
      <c r="O360" s="121"/>
      <c r="P360" s="121"/>
      <c r="Q360" s="121"/>
      <c r="R360" s="120"/>
      <c r="S360" s="120"/>
      <c r="T360" s="120"/>
      <c r="U360" s="190"/>
      <c r="V360" s="190"/>
      <c r="W360" s="190"/>
      <c r="X360" s="190"/>
      <c r="Y360" s="190"/>
      <c r="Z360" s="190"/>
      <c r="AA360" s="120"/>
      <c r="AB360" s="120"/>
      <c r="AC360" s="120"/>
    </row>
    <row r="361" spans="1:29" ht="14.25" customHeight="1">
      <c r="A361" s="120"/>
      <c r="B361" s="120"/>
      <c r="C361" s="120"/>
      <c r="D361" s="121"/>
      <c r="E361" s="121"/>
      <c r="F361" s="120"/>
      <c r="G361" s="120"/>
      <c r="H361" s="121"/>
      <c r="I361" s="121"/>
      <c r="J361" s="121"/>
      <c r="K361" s="120"/>
      <c r="L361" s="120"/>
      <c r="M361" s="122"/>
      <c r="N361" s="121"/>
      <c r="O361" s="121"/>
      <c r="P361" s="121"/>
      <c r="Q361" s="121"/>
      <c r="R361" s="120"/>
      <c r="S361" s="120"/>
      <c r="T361" s="120"/>
      <c r="U361" s="190"/>
      <c r="V361" s="190"/>
      <c r="W361" s="190"/>
      <c r="X361" s="190"/>
      <c r="Y361" s="190"/>
      <c r="Z361" s="190"/>
      <c r="AA361" s="120"/>
      <c r="AB361" s="120"/>
      <c r="AC361" s="120"/>
    </row>
    <row r="362" spans="1:29" ht="14.25" customHeight="1">
      <c r="A362" s="120"/>
      <c r="B362" s="120"/>
      <c r="C362" s="120"/>
      <c r="D362" s="121"/>
      <c r="E362" s="121"/>
      <c r="F362" s="120"/>
      <c r="G362" s="120"/>
      <c r="H362" s="121"/>
      <c r="I362" s="121"/>
      <c r="J362" s="121"/>
      <c r="K362" s="120"/>
      <c r="L362" s="120"/>
      <c r="M362" s="122"/>
      <c r="N362" s="121"/>
      <c r="O362" s="121"/>
      <c r="P362" s="121"/>
      <c r="Q362" s="121"/>
      <c r="R362" s="120"/>
      <c r="S362" s="120"/>
      <c r="T362" s="120"/>
      <c r="U362" s="190"/>
      <c r="V362" s="190"/>
      <c r="W362" s="190"/>
      <c r="X362" s="190"/>
      <c r="Y362" s="190"/>
      <c r="Z362" s="190"/>
      <c r="AA362" s="120"/>
      <c r="AB362" s="120"/>
      <c r="AC362" s="120"/>
    </row>
    <row r="363" spans="1:29" ht="14.25" customHeight="1">
      <c r="A363" s="120"/>
      <c r="B363" s="120"/>
      <c r="C363" s="120"/>
      <c r="D363" s="121"/>
      <c r="E363" s="121"/>
      <c r="F363" s="120"/>
      <c r="G363" s="120"/>
      <c r="H363" s="121"/>
      <c r="I363" s="121"/>
      <c r="J363" s="121"/>
      <c r="K363" s="120"/>
      <c r="L363" s="120"/>
      <c r="M363" s="122"/>
      <c r="N363" s="121"/>
      <c r="O363" s="121"/>
      <c r="P363" s="121"/>
      <c r="Q363" s="121"/>
      <c r="R363" s="120"/>
      <c r="S363" s="120"/>
      <c r="T363" s="120"/>
      <c r="U363" s="190"/>
      <c r="V363" s="190"/>
      <c r="W363" s="190"/>
      <c r="X363" s="190"/>
      <c r="Y363" s="190"/>
      <c r="Z363" s="190"/>
      <c r="AA363" s="120"/>
      <c r="AB363" s="120"/>
      <c r="AC363" s="120"/>
    </row>
    <row r="364" spans="1:29" ht="14.25" customHeight="1">
      <c r="A364" s="120"/>
      <c r="B364" s="120"/>
      <c r="C364" s="120"/>
      <c r="D364" s="121"/>
      <c r="E364" s="121"/>
      <c r="F364" s="120"/>
      <c r="G364" s="120"/>
      <c r="H364" s="121"/>
      <c r="I364" s="121"/>
      <c r="J364" s="121"/>
      <c r="K364" s="120"/>
      <c r="L364" s="120"/>
      <c r="M364" s="122"/>
      <c r="N364" s="121"/>
      <c r="O364" s="121"/>
      <c r="P364" s="121"/>
      <c r="Q364" s="121"/>
      <c r="R364" s="120"/>
      <c r="S364" s="120"/>
      <c r="T364" s="120"/>
      <c r="U364" s="190"/>
      <c r="V364" s="190"/>
      <c r="W364" s="190"/>
      <c r="X364" s="190"/>
      <c r="Y364" s="190"/>
      <c r="Z364" s="190"/>
      <c r="AA364" s="120"/>
      <c r="AB364" s="120"/>
      <c r="AC364" s="120"/>
    </row>
    <row r="365" spans="1:29" ht="14.25" customHeight="1">
      <c r="A365" s="120"/>
      <c r="B365" s="120"/>
      <c r="C365" s="120"/>
      <c r="D365" s="121"/>
      <c r="E365" s="121"/>
      <c r="F365" s="120"/>
      <c r="G365" s="120"/>
      <c r="H365" s="121"/>
      <c r="I365" s="121"/>
      <c r="J365" s="121"/>
      <c r="K365" s="120"/>
      <c r="L365" s="120"/>
      <c r="M365" s="122"/>
      <c r="N365" s="121"/>
      <c r="O365" s="121"/>
      <c r="P365" s="121"/>
      <c r="Q365" s="121"/>
      <c r="R365" s="120"/>
      <c r="S365" s="120"/>
      <c r="T365" s="120"/>
      <c r="U365" s="190"/>
      <c r="V365" s="190"/>
      <c r="W365" s="190"/>
      <c r="X365" s="190"/>
      <c r="Y365" s="190"/>
      <c r="Z365" s="190"/>
      <c r="AA365" s="120"/>
      <c r="AB365" s="120"/>
      <c r="AC365" s="120"/>
    </row>
    <row r="366" spans="1:29" ht="14.25" customHeight="1">
      <c r="A366" s="120"/>
      <c r="B366" s="120"/>
      <c r="C366" s="120"/>
      <c r="D366" s="121"/>
      <c r="E366" s="121"/>
      <c r="F366" s="120"/>
      <c r="G366" s="120"/>
      <c r="H366" s="121"/>
      <c r="I366" s="121"/>
      <c r="J366" s="121"/>
      <c r="K366" s="120"/>
      <c r="L366" s="120"/>
      <c r="M366" s="122"/>
      <c r="N366" s="121"/>
      <c r="O366" s="121"/>
      <c r="P366" s="121"/>
      <c r="Q366" s="121"/>
      <c r="R366" s="120"/>
      <c r="S366" s="120"/>
      <c r="T366" s="120"/>
      <c r="U366" s="190"/>
      <c r="V366" s="190"/>
      <c r="W366" s="190"/>
      <c r="X366" s="190"/>
      <c r="Y366" s="190"/>
      <c r="Z366" s="190"/>
      <c r="AA366" s="120"/>
      <c r="AB366" s="120"/>
      <c r="AC366" s="120"/>
    </row>
    <row r="367" spans="1:29" ht="14.25" customHeight="1">
      <c r="A367" s="120"/>
      <c r="B367" s="120"/>
      <c r="C367" s="120"/>
      <c r="D367" s="121"/>
      <c r="E367" s="121"/>
      <c r="F367" s="120"/>
      <c r="G367" s="120"/>
      <c r="H367" s="121"/>
      <c r="I367" s="121"/>
      <c r="J367" s="121"/>
      <c r="K367" s="120"/>
      <c r="L367" s="120"/>
      <c r="M367" s="122"/>
      <c r="N367" s="121"/>
      <c r="O367" s="121"/>
      <c r="P367" s="121"/>
      <c r="Q367" s="121"/>
      <c r="R367" s="120"/>
      <c r="S367" s="120"/>
      <c r="T367" s="120"/>
      <c r="U367" s="190"/>
      <c r="V367" s="190"/>
      <c r="W367" s="190"/>
      <c r="X367" s="190"/>
      <c r="Y367" s="190"/>
      <c r="Z367" s="190"/>
      <c r="AA367" s="120"/>
      <c r="AB367" s="120"/>
      <c r="AC367" s="120"/>
    </row>
    <row r="368" spans="1:29" ht="14.25" customHeight="1">
      <c r="A368" s="120"/>
      <c r="B368" s="120"/>
      <c r="C368" s="120"/>
      <c r="D368" s="121"/>
      <c r="E368" s="121"/>
      <c r="F368" s="120"/>
      <c r="G368" s="120"/>
      <c r="H368" s="121"/>
      <c r="I368" s="121"/>
      <c r="J368" s="121"/>
      <c r="K368" s="120"/>
      <c r="L368" s="120"/>
      <c r="M368" s="122"/>
      <c r="N368" s="121"/>
      <c r="O368" s="121"/>
      <c r="P368" s="121"/>
      <c r="Q368" s="121"/>
      <c r="R368" s="120"/>
      <c r="S368" s="120"/>
      <c r="T368" s="120"/>
      <c r="U368" s="190"/>
      <c r="V368" s="190"/>
      <c r="W368" s="190"/>
      <c r="X368" s="190"/>
      <c r="Y368" s="190"/>
      <c r="Z368" s="190"/>
      <c r="AA368" s="120"/>
      <c r="AB368" s="120"/>
      <c r="AC368" s="120"/>
    </row>
    <row r="369" spans="1:29" ht="14.25" customHeight="1">
      <c r="A369" s="120"/>
      <c r="B369" s="120"/>
      <c r="C369" s="120"/>
      <c r="D369" s="121"/>
      <c r="E369" s="121"/>
      <c r="F369" s="120"/>
      <c r="G369" s="120"/>
      <c r="H369" s="121"/>
      <c r="I369" s="121"/>
      <c r="J369" s="121"/>
      <c r="K369" s="120"/>
      <c r="L369" s="120"/>
      <c r="M369" s="122"/>
      <c r="N369" s="121"/>
      <c r="O369" s="121"/>
      <c r="P369" s="121"/>
      <c r="Q369" s="121"/>
      <c r="R369" s="120"/>
      <c r="S369" s="120"/>
      <c r="T369" s="120"/>
      <c r="U369" s="190"/>
      <c r="V369" s="190"/>
      <c r="W369" s="190"/>
      <c r="X369" s="190"/>
      <c r="Y369" s="190"/>
      <c r="Z369" s="190"/>
      <c r="AA369" s="120"/>
      <c r="AB369" s="120"/>
      <c r="AC369" s="120"/>
    </row>
    <row r="370" spans="1:29" ht="14.25" customHeight="1">
      <c r="A370" s="120"/>
      <c r="B370" s="120"/>
      <c r="C370" s="120"/>
      <c r="D370" s="121"/>
      <c r="E370" s="121"/>
      <c r="F370" s="120"/>
      <c r="G370" s="120"/>
      <c r="H370" s="121"/>
      <c r="I370" s="121"/>
      <c r="J370" s="121"/>
      <c r="K370" s="120"/>
      <c r="L370" s="120"/>
      <c r="M370" s="122"/>
      <c r="N370" s="121"/>
      <c r="O370" s="121"/>
      <c r="P370" s="121"/>
      <c r="Q370" s="121"/>
      <c r="R370" s="120"/>
      <c r="S370" s="120"/>
      <c r="T370" s="120"/>
      <c r="U370" s="190"/>
      <c r="V370" s="190"/>
      <c r="W370" s="190"/>
      <c r="X370" s="190"/>
      <c r="Y370" s="190"/>
      <c r="Z370" s="190"/>
      <c r="AA370" s="120"/>
      <c r="AB370" s="120"/>
      <c r="AC370" s="120"/>
    </row>
    <row r="371" spans="1:29" ht="14.25" customHeight="1">
      <c r="A371" s="120"/>
      <c r="B371" s="120"/>
      <c r="C371" s="120"/>
      <c r="D371" s="121"/>
      <c r="E371" s="121"/>
      <c r="F371" s="120"/>
      <c r="G371" s="120"/>
      <c r="H371" s="121"/>
      <c r="I371" s="121"/>
      <c r="J371" s="121"/>
      <c r="K371" s="120"/>
      <c r="L371" s="120"/>
      <c r="M371" s="122"/>
      <c r="N371" s="121"/>
      <c r="O371" s="121"/>
      <c r="P371" s="121"/>
      <c r="Q371" s="121"/>
      <c r="R371" s="120"/>
      <c r="S371" s="120"/>
      <c r="T371" s="120"/>
      <c r="U371" s="190"/>
      <c r="V371" s="190"/>
      <c r="W371" s="190"/>
      <c r="X371" s="190"/>
      <c r="Y371" s="190"/>
      <c r="Z371" s="190"/>
      <c r="AA371" s="120"/>
      <c r="AB371" s="120"/>
      <c r="AC371" s="120"/>
    </row>
    <row r="372" spans="1:29" ht="14.25" customHeight="1">
      <c r="A372" s="120"/>
      <c r="B372" s="120"/>
      <c r="C372" s="120"/>
      <c r="D372" s="121"/>
      <c r="E372" s="121"/>
      <c r="F372" s="120"/>
      <c r="G372" s="120"/>
      <c r="H372" s="121"/>
      <c r="I372" s="121"/>
      <c r="J372" s="121"/>
      <c r="K372" s="120"/>
      <c r="L372" s="120"/>
      <c r="M372" s="122"/>
      <c r="N372" s="121"/>
      <c r="O372" s="121"/>
      <c r="P372" s="121"/>
      <c r="Q372" s="121"/>
      <c r="R372" s="120"/>
      <c r="S372" s="120"/>
      <c r="T372" s="120"/>
      <c r="U372" s="190"/>
      <c r="V372" s="190"/>
      <c r="W372" s="190"/>
      <c r="X372" s="190"/>
      <c r="Y372" s="190"/>
      <c r="Z372" s="190"/>
      <c r="AA372" s="120"/>
      <c r="AB372" s="120"/>
      <c r="AC372" s="120"/>
    </row>
    <row r="373" spans="1:29" ht="14.25" customHeight="1">
      <c r="A373" s="120"/>
      <c r="B373" s="120"/>
      <c r="C373" s="120"/>
      <c r="D373" s="121"/>
      <c r="E373" s="121"/>
      <c r="F373" s="120"/>
      <c r="G373" s="120"/>
      <c r="H373" s="121"/>
      <c r="I373" s="121"/>
      <c r="J373" s="121"/>
      <c r="K373" s="120"/>
      <c r="L373" s="120"/>
      <c r="M373" s="122"/>
      <c r="N373" s="121"/>
      <c r="O373" s="121"/>
      <c r="P373" s="121"/>
      <c r="Q373" s="121"/>
      <c r="R373" s="120"/>
      <c r="S373" s="120"/>
      <c r="T373" s="120"/>
      <c r="U373" s="190"/>
      <c r="V373" s="190"/>
      <c r="W373" s="190"/>
      <c r="X373" s="190"/>
      <c r="Y373" s="190"/>
      <c r="Z373" s="190"/>
      <c r="AA373" s="120"/>
      <c r="AB373" s="120"/>
      <c r="AC373" s="120"/>
    </row>
    <row r="374" spans="1:29" ht="14.25" customHeight="1">
      <c r="A374" s="120"/>
      <c r="B374" s="120"/>
      <c r="C374" s="120"/>
      <c r="D374" s="121"/>
      <c r="E374" s="121"/>
      <c r="F374" s="120"/>
      <c r="G374" s="120"/>
      <c r="H374" s="121"/>
      <c r="I374" s="121"/>
      <c r="J374" s="121"/>
      <c r="K374" s="120"/>
      <c r="L374" s="120"/>
      <c r="M374" s="122"/>
      <c r="N374" s="121"/>
      <c r="O374" s="121"/>
      <c r="P374" s="121"/>
      <c r="Q374" s="121"/>
      <c r="R374" s="120"/>
      <c r="S374" s="120"/>
      <c r="T374" s="120"/>
      <c r="U374" s="190"/>
      <c r="V374" s="190"/>
      <c r="W374" s="190"/>
      <c r="X374" s="190"/>
      <c r="Y374" s="190"/>
      <c r="Z374" s="190"/>
      <c r="AA374" s="120"/>
      <c r="AB374" s="120"/>
      <c r="AC374" s="120"/>
    </row>
    <row r="375" spans="1:29" ht="14.25" customHeight="1">
      <c r="A375" s="120"/>
      <c r="B375" s="120"/>
      <c r="C375" s="120"/>
      <c r="D375" s="121"/>
      <c r="E375" s="121"/>
      <c r="F375" s="120"/>
      <c r="G375" s="120"/>
      <c r="H375" s="121"/>
      <c r="I375" s="121"/>
      <c r="J375" s="121"/>
      <c r="K375" s="120"/>
      <c r="L375" s="120"/>
      <c r="M375" s="122"/>
      <c r="N375" s="121"/>
      <c r="O375" s="121"/>
      <c r="P375" s="121"/>
      <c r="Q375" s="121"/>
      <c r="R375" s="120"/>
      <c r="S375" s="120"/>
      <c r="T375" s="120"/>
      <c r="U375" s="190"/>
      <c r="V375" s="190"/>
      <c r="W375" s="190"/>
      <c r="X375" s="190"/>
      <c r="Y375" s="190"/>
      <c r="Z375" s="190"/>
      <c r="AA375" s="120"/>
      <c r="AB375" s="120"/>
      <c r="AC375" s="120"/>
    </row>
    <row r="376" spans="1:29" ht="14.25" customHeight="1">
      <c r="A376" s="120"/>
      <c r="B376" s="120"/>
      <c r="C376" s="120"/>
      <c r="D376" s="121"/>
      <c r="E376" s="121"/>
      <c r="F376" s="120"/>
      <c r="G376" s="120"/>
      <c r="H376" s="121"/>
      <c r="I376" s="121"/>
      <c r="J376" s="121"/>
      <c r="K376" s="120"/>
      <c r="L376" s="120"/>
      <c r="M376" s="122"/>
      <c r="N376" s="121"/>
      <c r="O376" s="121"/>
      <c r="P376" s="121"/>
      <c r="Q376" s="121"/>
      <c r="R376" s="120"/>
      <c r="S376" s="120"/>
      <c r="T376" s="120"/>
      <c r="U376" s="190"/>
      <c r="V376" s="190"/>
      <c r="W376" s="190"/>
      <c r="X376" s="190"/>
      <c r="Y376" s="190"/>
      <c r="Z376" s="190"/>
      <c r="AA376" s="120"/>
      <c r="AB376" s="120"/>
      <c r="AC376" s="120"/>
    </row>
    <row r="377" spans="1:29" ht="14.25" customHeight="1">
      <c r="A377" s="120"/>
      <c r="B377" s="120"/>
      <c r="C377" s="120"/>
      <c r="D377" s="121"/>
      <c r="E377" s="121"/>
      <c r="F377" s="120"/>
      <c r="G377" s="120"/>
      <c r="H377" s="121"/>
      <c r="I377" s="121"/>
      <c r="J377" s="121"/>
      <c r="K377" s="120"/>
      <c r="L377" s="120"/>
      <c r="M377" s="122"/>
      <c r="N377" s="121"/>
      <c r="O377" s="121"/>
      <c r="P377" s="121"/>
      <c r="Q377" s="121"/>
      <c r="R377" s="120"/>
      <c r="S377" s="120"/>
      <c r="T377" s="120"/>
      <c r="U377" s="190"/>
      <c r="V377" s="190"/>
      <c r="W377" s="190"/>
      <c r="X377" s="190"/>
      <c r="Y377" s="190"/>
      <c r="Z377" s="190"/>
      <c r="AA377" s="120"/>
      <c r="AB377" s="120"/>
      <c r="AC377" s="120"/>
    </row>
    <row r="378" spans="1:29" ht="14.25" customHeight="1">
      <c r="A378" s="120"/>
      <c r="B378" s="120"/>
      <c r="C378" s="120"/>
      <c r="D378" s="121"/>
      <c r="E378" s="121"/>
      <c r="F378" s="120"/>
      <c r="G378" s="120"/>
      <c r="H378" s="121"/>
      <c r="I378" s="121"/>
      <c r="J378" s="121"/>
      <c r="K378" s="120"/>
      <c r="L378" s="120"/>
      <c r="M378" s="122"/>
      <c r="N378" s="121"/>
      <c r="O378" s="121"/>
      <c r="P378" s="121"/>
      <c r="Q378" s="121"/>
      <c r="R378" s="120"/>
      <c r="S378" s="120"/>
      <c r="T378" s="120"/>
      <c r="U378" s="190"/>
      <c r="V378" s="190"/>
      <c r="W378" s="190"/>
      <c r="X378" s="190"/>
      <c r="Y378" s="190"/>
      <c r="Z378" s="190"/>
      <c r="AA378" s="120"/>
      <c r="AB378" s="120"/>
      <c r="AC378" s="120"/>
    </row>
    <row r="379" spans="1:29" ht="14.25" customHeight="1">
      <c r="A379" s="120"/>
      <c r="B379" s="120"/>
      <c r="C379" s="120"/>
      <c r="D379" s="121"/>
      <c r="E379" s="121"/>
      <c r="F379" s="120"/>
      <c r="G379" s="120"/>
      <c r="H379" s="121"/>
      <c r="I379" s="121"/>
      <c r="J379" s="121"/>
      <c r="K379" s="120"/>
      <c r="L379" s="120"/>
      <c r="M379" s="122"/>
      <c r="N379" s="121"/>
      <c r="O379" s="121"/>
      <c r="P379" s="121"/>
      <c r="Q379" s="121"/>
      <c r="R379" s="120"/>
      <c r="S379" s="120"/>
      <c r="T379" s="120"/>
      <c r="U379" s="190"/>
      <c r="V379" s="190"/>
      <c r="W379" s="190"/>
      <c r="X379" s="190"/>
      <c r="Y379" s="190"/>
      <c r="Z379" s="190"/>
      <c r="AA379" s="120"/>
      <c r="AB379" s="120"/>
      <c r="AC379" s="120"/>
    </row>
    <row r="380" spans="1:29" ht="14.25" customHeight="1">
      <c r="A380" s="120"/>
      <c r="B380" s="120"/>
      <c r="C380" s="120"/>
      <c r="D380" s="121"/>
      <c r="E380" s="121"/>
      <c r="F380" s="120"/>
      <c r="G380" s="120"/>
      <c r="H380" s="121"/>
      <c r="I380" s="121"/>
      <c r="J380" s="121"/>
      <c r="K380" s="120"/>
      <c r="L380" s="120"/>
      <c r="M380" s="122"/>
      <c r="N380" s="121"/>
      <c r="O380" s="121"/>
      <c r="P380" s="121"/>
      <c r="Q380" s="121"/>
      <c r="R380" s="120"/>
      <c r="S380" s="120"/>
      <c r="T380" s="120"/>
      <c r="U380" s="190"/>
      <c r="V380" s="190"/>
      <c r="W380" s="190"/>
      <c r="X380" s="190"/>
      <c r="Y380" s="190"/>
      <c r="Z380" s="190"/>
      <c r="AA380" s="120"/>
      <c r="AB380" s="120"/>
      <c r="AC380" s="120"/>
    </row>
    <row r="381" spans="1:29" ht="14.25" customHeight="1">
      <c r="A381" s="120"/>
      <c r="B381" s="120"/>
      <c r="C381" s="120"/>
      <c r="D381" s="121"/>
      <c r="E381" s="121"/>
      <c r="F381" s="120"/>
      <c r="G381" s="120"/>
      <c r="H381" s="121"/>
      <c r="I381" s="121"/>
      <c r="J381" s="121"/>
      <c r="K381" s="120"/>
      <c r="L381" s="120"/>
      <c r="M381" s="122"/>
      <c r="N381" s="121"/>
      <c r="O381" s="121"/>
      <c r="P381" s="121"/>
      <c r="Q381" s="121"/>
      <c r="R381" s="120"/>
      <c r="S381" s="120"/>
      <c r="T381" s="120"/>
      <c r="U381" s="190"/>
      <c r="V381" s="190"/>
      <c r="W381" s="190"/>
      <c r="X381" s="190"/>
      <c r="Y381" s="190"/>
      <c r="Z381" s="190"/>
      <c r="AA381" s="120"/>
      <c r="AB381" s="120"/>
      <c r="AC381" s="120"/>
    </row>
    <row r="382" spans="1:29" ht="14.25" customHeight="1">
      <c r="A382" s="120"/>
      <c r="B382" s="120"/>
      <c r="C382" s="120"/>
      <c r="D382" s="121"/>
      <c r="E382" s="121"/>
      <c r="F382" s="120"/>
      <c r="G382" s="120"/>
      <c r="H382" s="121"/>
      <c r="I382" s="121"/>
      <c r="J382" s="121"/>
      <c r="K382" s="120"/>
      <c r="L382" s="120"/>
      <c r="M382" s="122"/>
      <c r="N382" s="121"/>
      <c r="O382" s="121"/>
      <c r="P382" s="121"/>
      <c r="Q382" s="121"/>
      <c r="R382" s="120"/>
      <c r="S382" s="120"/>
      <c r="T382" s="120"/>
      <c r="U382" s="190"/>
      <c r="V382" s="190"/>
      <c r="W382" s="190"/>
      <c r="X382" s="190"/>
      <c r="Y382" s="190"/>
      <c r="Z382" s="190"/>
      <c r="AA382" s="120"/>
      <c r="AB382" s="120"/>
      <c r="AC382" s="120"/>
    </row>
    <row r="383" spans="1:29" ht="14.25" customHeight="1">
      <c r="A383" s="120"/>
      <c r="B383" s="120"/>
      <c r="C383" s="120"/>
      <c r="D383" s="121"/>
      <c r="E383" s="121"/>
      <c r="F383" s="120"/>
      <c r="G383" s="120"/>
      <c r="H383" s="121"/>
      <c r="I383" s="121"/>
      <c r="J383" s="121"/>
      <c r="K383" s="120"/>
      <c r="L383" s="120"/>
      <c r="M383" s="122"/>
      <c r="N383" s="121"/>
      <c r="O383" s="121"/>
      <c r="P383" s="121"/>
      <c r="Q383" s="121"/>
      <c r="R383" s="120"/>
      <c r="S383" s="120"/>
      <c r="T383" s="120"/>
      <c r="U383" s="190"/>
      <c r="V383" s="190"/>
      <c r="W383" s="190"/>
      <c r="X383" s="190"/>
      <c r="Y383" s="190"/>
      <c r="Z383" s="190"/>
      <c r="AA383" s="120"/>
      <c r="AB383" s="120"/>
      <c r="AC383" s="120"/>
    </row>
    <row r="384" spans="1:29" ht="14.25" customHeight="1">
      <c r="A384" s="120"/>
      <c r="B384" s="120"/>
      <c r="C384" s="120"/>
      <c r="D384" s="121"/>
      <c r="E384" s="121"/>
      <c r="F384" s="120"/>
      <c r="G384" s="120"/>
      <c r="H384" s="121"/>
      <c r="I384" s="121"/>
      <c r="J384" s="121"/>
      <c r="K384" s="120"/>
      <c r="L384" s="120"/>
      <c r="M384" s="122"/>
      <c r="N384" s="121"/>
      <c r="O384" s="121"/>
      <c r="P384" s="121"/>
      <c r="Q384" s="121"/>
      <c r="R384" s="120"/>
      <c r="S384" s="120"/>
      <c r="T384" s="120"/>
      <c r="U384" s="190"/>
      <c r="V384" s="190"/>
      <c r="W384" s="190"/>
      <c r="X384" s="190"/>
      <c r="Y384" s="190"/>
      <c r="Z384" s="190"/>
      <c r="AA384" s="120"/>
      <c r="AB384" s="120"/>
      <c r="AC384" s="120"/>
    </row>
    <row r="385" spans="1:29" ht="14.25" customHeight="1">
      <c r="A385" s="120"/>
      <c r="B385" s="120"/>
      <c r="C385" s="120"/>
      <c r="D385" s="121"/>
      <c r="E385" s="121"/>
      <c r="F385" s="120"/>
      <c r="G385" s="120"/>
      <c r="H385" s="121"/>
      <c r="I385" s="121"/>
      <c r="J385" s="121"/>
      <c r="K385" s="120"/>
      <c r="L385" s="120"/>
      <c r="M385" s="122"/>
      <c r="N385" s="121"/>
      <c r="O385" s="121"/>
      <c r="P385" s="121"/>
      <c r="Q385" s="121"/>
      <c r="R385" s="120"/>
      <c r="S385" s="120"/>
      <c r="T385" s="120"/>
      <c r="U385" s="190"/>
      <c r="V385" s="190"/>
      <c r="W385" s="190"/>
      <c r="X385" s="190"/>
      <c r="Y385" s="190"/>
      <c r="Z385" s="190"/>
      <c r="AA385" s="120"/>
      <c r="AB385" s="120"/>
      <c r="AC385" s="120"/>
    </row>
    <row r="386" spans="1:29" ht="14.25" customHeight="1">
      <c r="A386" s="120"/>
      <c r="B386" s="120"/>
      <c r="C386" s="120"/>
      <c r="D386" s="121"/>
      <c r="E386" s="121"/>
      <c r="F386" s="120"/>
      <c r="G386" s="120"/>
      <c r="H386" s="121"/>
      <c r="I386" s="121"/>
      <c r="J386" s="121"/>
      <c r="K386" s="120"/>
      <c r="L386" s="120"/>
      <c r="M386" s="122"/>
      <c r="N386" s="121"/>
      <c r="O386" s="121"/>
      <c r="P386" s="121"/>
      <c r="Q386" s="121"/>
      <c r="R386" s="120"/>
      <c r="S386" s="120"/>
      <c r="T386" s="120"/>
      <c r="U386" s="190"/>
      <c r="V386" s="190"/>
      <c r="W386" s="190"/>
      <c r="X386" s="190"/>
      <c r="Y386" s="190"/>
      <c r="Z386" s="190"/>
      <c r="AA386" s="120"/>
      <c r="AB386" s="120"/>
      <c r="AC386" s="120"/>
    </row>
    <row r="387" spans="1:29" ht="14.25" customHeight="1">
      <c r="A387" s="120"/>
      <c r="B387" s="120"/>
      <c r="C387" s="120"/>
      <c r="D387" s="121"/>
      <c r="E387" s="121"/>
      <c r="F387" s="120"/>
      <c r="G387" s="120"/>
      <c r="H387" s="121"/>
      <c r="I387" s="121"/>
      <c r="J387" s="121"/>
      <c r="K387" s="120"/>
      <c r="L387" s="120"/>
      <c r="M387" s="122"/>
      <c r="N387" s="121"/>
      <c r="O387" s="121"/>
      <c r="P387" s="121"/>
      <c r="Q387" s="121"/>
      <c r="R387" s="120"/>
      <c r="S387" s="120"/>
      <c r="T387" s="120"/>
      <c r="U387" s="190"/>
      <c r="V387" s="190"/>
      <c r="W387" s="190"/>
      <c r="X387" s="190"/>
      <c r="Y387" s="190"/>
      <c r="Z387" s="190"/>
      <c r="AA387" s="120"/>
      <c r="AB387" s="120"/>
      <c r="AC387" s="120"/>
    </row>
    <row r="388" spans="1:29" ht="14.25" customHeight="1">
      <c r="A388" s="120"/>
      <c r="B388" s="120"/>
      <c r="C388" s="120"/>
      <c r="D388" s="121"/>
      <c r="E388" s="121"/>
      <c r="F388" s="120"/>
      <c r="G388" s="120"/>
      <c r="H388" s="121"/>
      <c r="I388" s="121"/>
      <c r="J388" s="121"/>
      <c r="K388" s="120"/>
      <c r="L388" s="120"/>
      <c r="M388" s="122"/>
      <c r="N388" s="121"/>
      <c r="O388" s="121"/>
      <c r="P388" s="121"/>
      <c r="Q388" s="121"/>
      <c r="R388" s="120"/>
      <c r="S388" s="120"/>
      <c r="T388" s="120"/>
      <c r="U388" s="190"/>
      <c r="V388" s="190"/>
      <c r="W388" s="190"/>
      <c r="X388" s="190"/>
      <c r="Y388" s="190"/>
      <c r="Z388" s="190"/>
      <c r="AA388" s="120"/>
      <c r="AB388" s="120"/>
      <c r="AC388" s="120"/>
    </row>
    <row r="389" spans="1:29" ht="14.25" customHeight="1">
      <c r="A389" s="120"/>
      <c r="B389" s="120"/>
      <c r="C389" s="120"/>
      <c r="D389" s="121"/>
      <c r="E389" s="121"/>
      <c r="F389" s="120"/>
      <c r="G389" s="120"/>
      <c r="H389" s="121"/>
      <c r="I389" s="121"/>
      <c r="J389" s="121"/>
      <c r="K389" s="120"/>
      <c r="L389" s="120"/>
      <c r="M389" s="122"/>
      <c r="N389" s="121"/>
      <c r="O389" s="121"/>
      <c r="P389" s="121"/>
      <c r="Q389" s="121"/>
      <c r="R389" s="120"/>
      <c r="S389" s="120"/>
      <c r="T389" s="120"/>
      <c r="U389" s="190"/>
      <c r="V389" s="190"/>
      <c r="W389" s="190"/>
      <c r="X389" s="190"/>
      <c r="Y389" s="190"/>
      <c r="Z389" s="190"/>
      <c r="AA389" s="120"/>
      <c r="AB389" s="120"/>
      <c r="AC389" s="120"/>
    </row>
    <row r="390" spans="1:29" ht="14.25" customHeight="1">
      <c r="A390" s="120"/>
      <c r="B390" s="120"/>
      <c r="C390" s="120"/>
      <c r="D390" s="121"/>
      <c r="E390" s="121"/>
      <c r="F390" s="120"/>
      <c r="G390" s="120"/>
      <c r="H390" s="121"/>
      <c r="I390" s="121"/>
      <c r="J390" s="121"/>
      <c r="K390" s="120"/>
      <c r="L390" s="120"/>
      <c r="M390" s="122"/>
      <c r="N390" s="121"/>
      <c r="O390" s="121"/>
      <c r="P390" s="121"/>
      <c r="Q390" s="121"/>
      <c r="R390" s="120"/>
      <c r="S390" s="120"/>
      <c r="T390" s="120"/>
      <c r="U390" s="190"/>
      <c r="V390" s="190"/>
      <c r="W390" s="190"/>
      <c r="X390" s="190"/>
      <c r="Y390" s="190"/>
      <c r="Z390" s="190"/>
      <c r="AA390" s="120"/>
      <c r="AB390" s="120"/>
      <c r="AC390" s="120"/>
    </row>
    <row r="391" spans="1:29" ht="14.25" customHeight="1">
      <c r="A391" s="120"/>
      <c r="B391" s="120"/>
      <c r="C391" s="120"/>
      <c r="D391" s="121"/>
      <c r="E391" s="121"/>
      <c r="F391" s="120"/>
      <c r="G391" s="120"/>
      <c r="H391" s="121"/>
      <c r="I391" s="121"/>
      <c r="J391" s="121"/>
      <c r="K391" s="120"/>
      <c r="L391" s="120"/>
      <c r="M391" s="122"/>
      <c r="N391" s="121"/>
      <c r="O391" s="121"/>
      <c r="P391" s="121"/>
      <c r="Q391" s="121"/>
      <c r="R391" s="120"/>
      <c r="S391" s="120"/>
      <c r="T391" s="120"/>
      <c r="U391" s="190"/>
      <c r="V391" s="190"/>
      <c r="W391" s="190"/>
      <c r="X391" s="190"/>
      <c r="Y391" s="190"/>
      <c r="Z391" s="190"/>
      <c r="AA391" s="120"/>
      <c r="AB391" s="120"/>
      <c r="AC391" s="120"/>
    </row>
    <row r="392" spans="1:29" ht="14.25" customHeight="1">
      <c r="A392" s="120"/>
      <c r="B392" s="120"/>
      <c r="C392" s="120"/>
      <c r="D392" s="121"/>
      <c r="E392" s="121"/>
      <c r="F392" s="120"/>
      <c r="G392" s="120"/>
      <c r="H392" s="121"/>
      <c r="I392" s="121"/>
      <c r="J392" s="121"/>
      <c r="K392" s="120"/>
      <c r="L392" s="120"/>
      <c r="M392" s="122"/>
      <c r="N392" s="121"/>
      <c r="O392" s="121"/>
      <c r="P392" s="121"/>
      <c r="Q392" s="121"/>
      <c r="R392" s="120"/>
      <c r="S392" s="120"/>
      <c r="T392" s="120"/>
      <c r="U392" s="190"/>
      <c r="V392" s="190"/>
      <c r="W392" s="190"/>
      <c r="X392" s="190"/>
      <c r="Y392" s="190"/>
      <c r="Z392" s="190"/>
      <c r="AA392" s="120"/>
      <c r="AB392" s="120"/>
      <c r="AC392" s="120"/>
    </row>
    <row r="393" spans="1:29" ht="14.25" customHeight="1">
      <c r="A393" s="120"/>
      <c r="B393" s="120"/>
      <c r="C393" s="120"/>
      <c r="D393" s="121"/>
      <c r="E393" s="121"/>
      <c r="F393" s="120"/>
      <c r="G393" s="120"/>
      <c r="H393" s="121"/>
      <c r="I393" s="121"/>
      <c r="J393" s="121"/>
      <c r="K393" s="120"/>
      <c r="L393" s="120"/>
      <c r="M393" s="122"/>
      <c r="N393" s="121"/>
      <c r="O393" s="121"/>
      <c r="P393" s="121"/>
      <c r="Q393" s="121"/>
      <c r="R393" s="120"/>
      <c r="S393" s="120"/>
      <c r="T393" s="120"/>
      <c r="U393" s="190"/>
      <c r="V393" s="190"/>
      <c r="W393" s="190"/>
      <c r="X393" s="190"/>
      <c r="Y393" s="190"/>
      <c r="Z393" s="190"/>
      <c r="AA393" s="120"/>
      <c r="AB393" s="120"/>
      <c r="AC393" s="120"/>
    </row>
    <row r="394" spans="1:29" ht="14.25" customHeight="1">
      <c r="A394" s="120"/>
      <c r="B394" s="120"/>
      <c r="C394" s="120"/>
      <c r="D394" s="121"/>
      <c r="E394" s="121"/>
      <c r="F394" s="120"/>
      <c r="G394" s="120"/>
      <c r="H394" s="121"/>
      <c r="I394" s="121"/>
      <c r="J394" s="121"/>
      <c r="K394" s="120"/>
      <c r="L394" s="120"/>
      <c r="M394" s="122"/>
      <c r="N394" s="121"/>
      <c r="O394" s="121"/>
      <c r="P394" s="121"/>
      <c r="Q394" s="121"/>
      <c r="R394" s="120"/>
      <c r="S394" s="120"/>
      <c r="T394" s="120"/>
      <c r="U394" s="190"/>
      <c r="V394" s="190"/>
      <c r="W394" s="190"/>
      <c r="X394" s="190"/>
      <c r="Y394" s="190"/>
      <c r="Z394" s="190"/>
      <c r="AA394" s="120"/>
      <c r="AB394" s="120"/>
      <c r="AC394" s="120"/>
    </row>
    <row r="395" spans="1:29" ht="14.25" customHeight="1">
      <c r="A395" s="120"/>
      <c r="B395" s="120"/>
      <c r="C395" s="120"/>
      <c r="D395" s="121"/>
      <c r="E395" s="121"/>
      <c r="F395" s="120"/>
      <c r="G395" s="120"/>
      <c r="H395" s="121"/>
      <c r="I395" s="121"/>
      <c r="J395" s="121"/>
      <c r="K395" s="120"/>
      <c r="L395" s="120"/>
      <c r="M395" s="122"/>
      <c r="N395" s="121"/>
      <c r="O395" s="121"/>
      <c r="P395" s="121"/>
      <c r="Q395" s="121"/>
      <c r="R395" s="120"/>
      <c r="S395" s="120"/>
      <c r="T395" s="120"/>
      <c r="U395" s="190"/>
      <c r="V395" s="190"/>
      <c r="W395" s="190"/>
      <c r="X395" s="190"/>
      <c r="Y395" s="190"/>
      <c r="Z395" s="190"/>
      <c r="AA395" s="120"/>
      <c r="AB395" s="120"/>
      <c r="AC395" s="120"/>
    </row>
    <row r="396" spans="1:29" ht="14.25" customHeight="1">
      <c r="A396" s="120"/>
      <c r="B396" s="120"/>
      <c r="C396" s="120"/>
      <c r="D396" s="121"/>
      <c r="E396" s="121"/>
      <c r="F396" s="120"/>
      <c r="G396" s="120"/>
      <c r="H396" s="121"/>
      <c r="I396" s="121"/>
      <c r="J396" s="121"/>
      <c r="K396" s="120"/>
      <c r="L396" s="120"/>
      <c r="M396" s="122"/>
      <c r="N396" s="121"/>
      <c r="O396" s="121"/>
      <c r="P396" s="121"/>
      <c r="Q396" s="121"/>
      <c r="R396" s="120"/>
      <c r="S396" s="120"/>
      <c r="T396" s="120"/>
      <c r="U396" s="190"/>
      <c r="V396" s="190"/>
      <c r="W396" s="190"/>
      <c r="X396" s="190"/>
      <c r="Y396" s="190"/>
      <c r="Z396" s="190"/>
      <c r="AA396" s="120"/>
      <c r="AB396" s="120"/>
      <c r="AC396" s="120"/>
    </row>
    <row r="397" spans="1:29" ht="14.25" customHeight="1">
      <c r="A397" s="120"/>
      <c r="B397" s="120"/>
      <c r="C397" s="120"/>
      <c r="D397" s="121"/>
      <c r="E397" s="121"/>
      <c r="F397" s="120"/>
      <c r="G397" s="120"/>
      <c r="H397" s="121"/>
      <c r="I397" s="121"/>
      <c r="J397" s="121"/>
      <c r="K397" s="120"/>
      <c r="L397" s="120"/>
      <c r="M397" s="122"/>
      <c r="N397" s="121"/>
      <c r="O397" s="121"/>
      <c r="P397" s="121"/>
      <c r="Q397" s="121"/>
      <c r="R397" s="120"/>
      <c r="S397" s="120"/>
      <c r="T397" s="120"/>
      <c r="U397" s="190"/>
      <c r="V397" s="190"/>
      <c r="W397" s="190"/>
      <c r="X397" s="190"/>
      <c r="Y397" s="190"/>
      <c r="Z397" s="190"/>
      <c r="AA397" s="120"/>
      <c r="AB397" s="120"/>
      <c r="AC397" s="120"/>
    </row>
    <row r="398" spans="1:29" ht="14.25" customHeight="1">
      <c r="A398" s="120"/>
      <c r="B398" s="120"/>
      <c r="C398" s="120"/>
      <c r="D398" s="121"/>
      <c r="E398" s="121"/>
      <c r="F398" s="120"/>
      <c r="G398" s="120"/>
      <c r="H398" s="121"/>
      <c r="I398" s="121"/>
      <c r="J398" s="121"/>
      <c r="K398" s="120"/>
      <c r="L398" s="120"/>
      <c r="M398" s="122"/>
      <c r="N398" s="121"/>
      <c r="O398" s="121"/>
      <c r="P398" s="121"/>
      <c r="Q398" s="121"/>
      <c r="R398" s="120"/>
      <c r="S398" s="120"/>
      <c r="T398" s="120"/>
      <c r="U398" s="190"/>
      <c r="V398" s="190"/>
      <c r="W398" s="190"/>
      <c r="X398" s="190"/>
      <c r="Y398" s="190"/>
      <c r="Z398" s="190"/>
      <c r="AA398" s="120"/>
      <c r="AB398" s="120"/>
      <c r="AC398" s="120"/>
    </row>
    <row r="399" spans="1:29" ht="14.25" customHeight="1">
      <c r="A399" s="120"/>
      <c r="B399" s="120"/>
      <c r="C399" s="120"/>
      <c r="D399" s="121"/>
      <c r="E399" s="121"/>
      <c r="F399" s="120"/>
      <c r="G399" s="120"/>
      <c r="H399" s="121"/>
      <c r="I399" s="121"/>
      <c r="J399" s="121"/>
      <c r="K399" s="120"/>
      <c r="L399" s="120"/>
      <c r="M399" s="122"/>
      <c r="N399" s="121"/>
      <c r="O399" s="121"/>
      <c r="P399" s="121"/>
      <c r="Q399" s="121"/>
      <c r="R399" s="120"/>
      <c r="S399" s="120"/>
      <c r="T399" s="120"/>
      <c r="U399" s="190"/>
      <c r="V399" s="190"/>
      <c r="W399" s="190"/>
      <c r="X399" s="190"/>
      <c r="Y399" s="190"/>
      <c r="Z399" s="190"/>
      <c r="AA399" s="120"/>
      <c r="AB399" s="120"/>
      <c r="AC399" s="120"/>
    </row>
    <row r="400" spans="1:29" ht="14.25" customHeight="1">
      <c r="A400" s="120"/>
      <c r="B400" s="120"/>
      <c r="C400" s="120"/>
      <c r="D400" s="121"/>
      <c r="E400" s="121"/>
      <c r="F400" s="120"/>
      <c r="G400" s="120"/>
      <c r="H400" s="121"/>
      <c r="I400" s="121"/>
      <c r="J400" s="121"/>
      <c r="K400" s="120"/>
      <c r="L400" s="120"/>
      <c r="M400" s="122"/>
      <c r="N400" s="121"/>
      <c r="O400" s="121"/>
      <c r="P400" s="121"/>
      <c r="Q400" s="121"/>
      <c r="R400" s="120"/>
      <c r="S400" s="120"/>
      <c r="T400" s="120"/>
      <c r="U400" s="190"/>
      <c r="V400" s="190"/>
      <c r="W400" s="190"/>
      <c r="X400" s="190"/>
      <c r="Y400" s="190"/>
      <c r="Z400" s="190"/>
      <c r="AA400" s="120"/>
      <c r="AB400" s="120"/>
      <c r="AC400" s="120"/>
    </row>
    <row r="401" spans="1:29" ht="14.25" customHeight="1">
      <c r="A401" s="120"/>
      <c r="B401" s="120"/>
      <c r="C401" s="120"/>
      <c r="D401" s="121"/>
      <c r="E401" s="121"/>
      <c r="F401" s="120"/>
      <c r="G401" s="120"/>
      <c r="H401" s="121"/>
      <c r="I401" s="121"/>
      <c r="J401" s="121"/>
      <c r="K401" s="120"/>
      <c r="L401" s="120"/>
      <c r="M401" s="122"/>
      <c r="N401" s="121"/>
      <c r="O401" s="121"/>
      <c r="P401" s="121"/>
      <c r="Q401" s="121"/>
      <c r="R401" s="120"/>
      <c r="S401" s="120"/>
      <c r="T401" s="120"/>
      <c r="U401" s="190"/>
      <c r="V401" s="190"/>
      <c r="W401" s="190"/>
      <c r="X401" s="190"/>
      <c r="Y401" s="190"/>
      <c r="Z401" s="190"/>
      <c r="AA401" s="120"/>
      <c r="AB401" s="120"/>
      <c r="AC401" s="120"/>
    </row>
    <row r="402" spans="1:29" ht="14.25" customHeight="1">
      <c r="A402" s="120"/>
      <c r="B402" s="120"/>
      <c r="C402" s="120"/>
      <c r="D402" s="121"/>
      <c r="E402" s="121"/>
      <c r="F402" s="120"/>
      <c r="G402" s="120"/>
      <c r="H402" s="121"/>
      <c r="I402" s="121"/>
      <c r="J402" s="121"/>
      <c r="K402" s="120"/>
      <c r="L402" s="120"/>
      <c r="M402" s="122"/>
      <c r="N402" s="121"/>
      <c r="O402" s="121"/>
      <c r="P402" s="121"/>
      <c r="Q402" s="121"/>
      <c r="R402" s="120"/>
      <c r="S402" s="120"/>
      <c r="T402" s="120"/>
      <c r="U402" s="190"/>
      <c r="V402" s="190"/>
      <c r="W402" s="190"/>
      <c r="X402" s="190"/>
      <c r="Y402" s="190"/>
      <c r="Z402" s="190"/>
      <c r="AA402" s="120"/>
      <c r="AB402" s="120"/>
      <c r="AC402" s="120"/>
    </row>
    <row r="403" spans="1:29" ht="14.25" customHeight="1">
      <c r="A403" s="120"/>
      <c r="B403" s="120"/>
      <c r="C403" s="120"/>
      <c r="D403" s="121"/>
      <c r="E403" s="121"/>
      <c r="F403" s="120"/>
      <c r="G403" s="120"/>
      <c r="H403" s="121"/>
      <c r="I403" s="121"/>
      <c r="J403" s="121"/>
      <c r="K403" s="120"/>
      <c r="L403" s="120"/>
      <c r="M403" s="122"/>
      <c r="N403" s="121"/>
      <c r="O403" s="121"/>
      <c r="P403" s="121"/>
      <c r="Q403" s="121"/>
      <c r="R403" s="120"/>
      <c r="S403" s="120"/>
      <c r="T403" s="120"/>
      <c r="U403" s="190"/>
      <c r="V403" s="190"/>
      <c r="W403" s="190"/>
      <c r="X403" s="190"/>
      <c r="Y403" s="190"/>
      <c r="Z403" s="190"/>
      <c r="AA403" s="120"/>
      <c r="AB403" s="120"/>
      <c r="AC403" s="120"/>
    </row>
    <row r="404" spans="1:29" ht="14.25" customHeight="1">
      <c r="A404" s="120"/>
      <c r="B404" s="120"/>
      <c r="C404" s="120"/>
      <c r="D404" s="121"/>
      <c r="E404" s="121"/>
      <c r="F404" s="120"/>
      <c r="G404" s="120"/>
      <c r="H404" s="121"/>
      <c r="I404" s="121"/>
      <c r="J404" s="121"/>
      <c r="K404" s="120"/>
      <c r="L404" s="120"/>
      <c r="M404" s="122"/>
      <c r="N404" s="121"/>
      <c r="O404" s="121"/>
      <c r="P404" s="121"/>
      <c r="Q404" s="121"/>
      <c r="R404" s="120"/>
      <c r="S404" s="120"/>
      <c r="T404" s="120"/>
      <c r="U404" s="190"/>
      <c r="V404" s="190"/>
      <c r="W404" s="190"/>
      <c r="X404" s="190"/>
      <c r="Y404" s="190"/>
      <c r="Z404" s="190"/>
      <c r="AA404" s="120"/>
      <c r="AB404" s="120"/>
      <c r="AC404" s="120"/>
    </row>
    <row r="405" spans="1:29" ht="14.25" customHeight="1">
      <c r="A405" s="120"/>
      <c r="B405" s="120"/>
      <c r="C405" s="120"/>
      <c r="D405" s="121"/>
      <c r="E405" s="121"/>
      <c r="F405" s="120"/>
      <c r="G405" s="120"/>
      <c r="H405" s="121"/>
      <c r="I405" s="121"/>
      <c r="J405" s="121"/>
      <c r="K405" s="120"/>
      <c r="L405" s="120"/>
      <c r="M405" s="122"/>
      <c r="N405" s="121"/>
      <c r="O405" s="121"/>
      <c r="P405" s="121"/>
      <c r="Q405" s="121"/>
      <c r="R405" s="120"/>
      <c r="S405" s="120"/>
      <c r="T405" s="120"/>
      <c r="U405" s="190"/>
      <c r="V405" s="190"/>
      <c r="W405" s="190"/>
      <c r="X405" s="190"/>
      <c r="Y405" s="190"/>
      <c r="Z405" s="190"/>
      <c r="AA405" s="120"/>
      <c r="AB405" s="120"/>
      <c r="AC405" s="120"/>
    </row>
    <row r="406" spans="1:29" ht="14.25" customHeight="1">
      <c r="A406" s="120"/>
      <c r="B406" s="120"/>
      <c r="C406" s="120"/>
      <c r="D406" s="121"/>
      <c r="E406" s="121"/>
      <c r="F406" s="120"/>
      <c r="G406" s="120"/>
      <c r="H406" s="121"/>
      <c r="I406" s="121"/>
      <c r="J406" s="121"/>
      <c r="K406" s="120"/>
      <c r="L406" s="120"/>
      <c r="M406" s="122"/>
      <c r="N406" s="121"/>
      <c r="O406" s="121"/>
      <c r="P406" s="121"/>
      <c r="Q406" s="121"/>
      <c r="R406" s="120"/>
      <c r="S406" s="120"/>
      <c r="T406" s="120"/>
      <c r="U406" s="190"/>
      <c r="V406" s="190"/>
      <c r="W406" s="190"/>
      <c r="X406" s="190"/>
      <c r="Y406" s="190"/>
      <c r="Z406" s="190"/>
      <c r="AA406" s="120"/>
      <c r="AB406" s="120"/>
      <c r="AC406" s="120"/>
    </row>
    <row r="407" spans="1:29" ht="14.25" customHeight="1">
      <c r="A407" s="120"/>
      <c r="B407" s="120"/>
      <c r="C407" s="120"/>
      <c r="D407" s="121"/>
      <c r="E407" s="121"/>
      <c r="F407" s="120"/>
      <c r="G407" s="120"/>
      <c r="H407" s="121"/>
      <c r="I407" s="121"/>
      <c r="J407" s="121"/>
      <c r="K407" s="120"/>
      <c r="L407" s="120"/>
      <c r="M407" s="122"/>
      <c r="N407" s="121"/>
      <c r="O407" s="121"/>
      <c r="P407" s="121"/>
      <c r="Q407" s="121"/>
      <c r="R407" s="120"/>
      <c r="S407" s="120"/>
      <c r="T407" s="120"/>
      <c r="U407" s="190"/>
      <c r="V407" s="190"/>
      <c r="W407" s="190"/>
      <c r="X407" s="190"/>
      <c r="Y407" s="190"/>
      <c r="Z407" s="190"/>
      <c r="AA407" s="120"/>
      <c r="AB407" s="120"/>
      <c r="AC407" s="120"/>
    </row>
    <row r="408" spans="1:29" ht="14.25" customHeight="1">
      <c r="A408" s="120"/>
      <c r="B408" s="120"/>
      <c r="C408" s="120"/>
      <c r="D408" s="121"/>
      <c r="E408" s="121"/>
      <c r="F408" s="120"/>
      <c r="G408" s="120"/>
      <c r="H408" s="121"/>
      <c r="I408" s="121"/>
      <c r="J408" s="121"/>
      <c r="K408" s="120"/>
      <c r="L408" s="120"/>
      <c r="M408" s="122"/>
      <c r="N408" s="121"/>
      <c r="O408" s="121"/>
      <c r="P408" s="121"/>
      <c r="Q408" s="121"/>
      <c r="R408" s="120"/>
      <c r="S408" s="120"/>
      <c r="T408" s="120"/>
      <c r="U408" s="190"/>
      <c r="V408" s="190"/>
      <c r="W408" s="190"/>
      <c r="X408" s="190"/>
      <c r="Y408" s="190"/>
      <c r="Z408" s="190"/>
      <c r="AA408" s="120"/>
      <c r="AB408" s="120"/>
      <c r="AC408" s="120"/>
    </row>
    <row r="409" spans="1:29" ht="14.25" customHeight="1">
      <c r="A409" s="120"/>
      <c r="B409" s="120"/>
      <c r="C409" s="120"/>
      <c r="D409" s="121"/>
      <c r="E409" s="121"/>
      <c r="F409" s="120"/>
      <c r="G409" s="120"/>
      <c r="H409" s="121"/>
      <c r="I409" s="121"/>
      <c r="J409" s="121"/>
      <c r="K409" s="120"/>
      <c r="L409" s="120"/>
      <c r="M409" s="122"/>
      <c r="N409" s="121"/>
      <c r="O409" s="121"/>
      <c r="P409" s="121"/>
      <c r="Q409" s="121"/>
      <c r="R409" s="120"/>
      <c r="S409" s="120"/>
      <c r="T409" s="120"/>
      <c r="U409" s="190"/>
      <c r="V409" s="190"/>
      <c r="W409" s="190"/>
      <c r="X409" s="190"/>
      <c r="Y409" s="190"/>
      <c r="Z409" s="190"/>
      <c r="AA409" s="120"/>
      <c r="AB409" s="120"/>
      <c r="AC409" s="120"/>
    </row>
    <row r="410" spans="1:29" ht="14.25" customHeight="1">
      <c r="A410" s="120"/>
      <c r="B410" s="120"/>
      <c r="C410" s="120"/>
      <c r="D410" s="121"/>
      <c r="E410" s="121"/>
      <c r="F410" s="120"/>
      <c r="G410" s="120"/>
      <c r="H410" s="121"/>
      <c r="I410" s="121"/>
      <c r="J410" s="121"/>
      <c r="K410" s="120"/>
      <c r="L410" s="120"/>
      <c r="M410" s="122"/>
      <c r="N410" s="121"/>
      <c r="O410" s="121"/>
      <c r="P410" s="121"/>
      <c r="Q410" s="121"/>
      <c r="R410" s="120"/>
      <c r="S410" s="120"/>
      <c r="T410" s="120"/>
      <c r="U410" s="190"/>
      <c r="V410" s="190"/>
      <c r="W410" s="190"/>
      <c r="X410" s="190"/>
      <c r="Y410" s="190"/>
      <c r="Z410" s="190"/>
      <c r="AA410" s="120"/>
      <c r="AB410" s="120"/>
      <c r="AC410" s="120"/>
    </row>
    <row r="411" spans="1:29" ht="14.25" customHeight="1">
      <c r="A411" s="120"/>
      <c r="B411" s="120"/>
      <c r="C411" s="120"/>
      <c r="D411" s="121"/>
      <c r="E411" s="121"/>
      <c r="F411" s="120"/>
      <c r="G411" s="120"/>
      <c r="H411" s="121"/>
      <c r="I411" s="121"/>
      <c r="J411" s="121"/>
      <c r="K411" s="120"/>
      <c r="L411" s="120"/>
      <c r="M411" s="122"/>
      <c r="N411" s="121"/>
      <c r="O411" s="121"/>
      <c r="P411" s="121"/>
      <c r="Q411" s="121"/>
      <c r="R411" s="120"/>
      <c r="S411" s="120"/>
      <c r="T411" s="120"/>
      <c r="U411" s="190"/>
      <c r="V411" s="190"/>
      <c r="W411" s="190"/>
      <c r="X411" s="190"/>
      <c r="Y411" s="190"/>
      <c r="Z411" s="190"/>
      <c r="AA411" s="120"/>
      <c r="AB411" s="120"/>
      <c r="AC411" s="120"/>
    </row>
    <row r="412" spans="1:29" ht="14.25" customHeight="1">
      <c r="A412" s="120"/>
      <c r="B412" s="120"/>
      <c r="C412" s="120"/>
      <c r="D412" s="121"/>
      <c r="E412" s="121"/>
      <c r="F412" s="120"/>
      <c r="G412" s="120"/>
      <c r="H412" s="121"/>
      <c r="I412" s="121"/>
      <c r="J412" s="121"/>
      <c r="K412" s="120"/>
      <c r="L412" s="120"/>
      <c r="M412" s="122"/>
      <c r="N412" s="121"/>
      <c r="O412" s="121"/>
      <c r="P412" s="121"/>
      <c r="Q412" s="121"/>
      <c r="R412" s="120"/>
      <c r="S412" s="120"/>
      <c r="T412" s="120"/>
      <c r="U412" s="190"/>
      <c r="V412" s="190"/>
      <c r="W412" s="190"/>
      <c r="X412" s="190"/>
      <c r="Y412" s="190"/>
      <c r="Z412" s="190"/>
      <c r="AA412" s="120"/>
      <c r="AB412" s="120"/>
      <c r="AC412" s="120"/>
    </row>
    <row r="413" spans="1:29" ht="14.25" customHeight="1">
      <c r="A413" s="120"/>
      <c r="B413" s="120"/>
      <c r="C413" s="120"/>
      <c r="D413" s="121"/>
      <c r="E413" s="121"/>
      <c r="F413" s="120"/>
      <c r="G413" s="120"/>
      <c r="H413" s="121"/>
      <c r="I413" s="121"/>
      <c r="J413" s="121"/>
      <c r="K413" s="120"/>
      <c r="L413" s="120"/>
      <c r="M413" s="122"/>
      <c r="N413" s="121"/>
      <c r="O413" s="121"/>
      <c r="P413" s="121"/>
      <c r="Q413" s="121"/>
      <c r="R413" s="120"/>
      <c r="S413" s="120"/>
      <c r="T413" s="120"/>
      <c r="U413" s="190"/>
      <c r="V413" s="190"/>
      <c r="W413" s="190"/>
      <c r="X413" s="190"/>
      <c r="Y413" s="190"/>
      <c r="Z413" s="190"/>
      <c r="AA413" s="120"/>
      <c r="AB413" s="120"/>
      <c r="AC413" s="120"/>
    </row>
    <row r="414" spans="1:29" ht="14.25" customHeight="1">
      <c r="A414" s="120"/>
      <c r="B414" s="120"/>
      <c r="C414" s="120"/>
      <c r="D414" s="121"/>
      <c r="E414" s="121"/>
      <c r="F414" s="120"/>
      <c r="G414" s="120"/>
      <c r="H414" s="121"/>
      <c r="I414" s="121"/>
      <c r="J414" s="121"/>
      <c r="K414" s="120"/>
      <c r="L414" s="120"/>
      <c r="M414" s="122"/>
      <c r="N414" s="121"/>
      <c r="O414" s="121"/>
      <c r="P414" s="121"/>
      <c r="Q414" s="121"/>
      <c r="R414" s="120"/>
      <c r="S414" s="120"/>
      <c r="T414" s="120"/>
      <c r="U414" s="190"/>
      <c r="V414" s="190"/>
      <c r="W414" s="190"/>
      <c r="X414" s="190"/>
      <c r="Y414" s="190"/>
      <c r="Z414" s="190"/>
      <c r="AA414" s="120"/>
      <c r="AB414" s="120"/>
      <c r="AC414" s="120"/>
    </row>
    <row r="415" spans="1:29" ht="14.25" customHeight="1">
      <c r="A415" s="120"/>
      <c r="B415" s="120"/>
      <c r="C415" s="120"/>
      <c r="D415" s="121"/>
      <c r="E415" s="121"/>
      <c r="F415" s="120"/>
      <c r="G415" s="120"/>
      <c r="H415" s="121"/>
      <c r="I415" s="121"/>
      <c r="J415" s="121"/>
      <c r="K415" s="120"/>
      <c r="L415" s="120"/>
      <c r="M415" s="122"/>
      <c r="N415" s="121"/>
      <c r="O415" s="121"/>
      <c r="P415" s="121"/>
      <c r="Q415" s="121"/>
      <c r="R415" s="120"/>
      <c r="S415" s="120"/>
      <c r="T415" s="120"/>
      <c r="U415" s="190"/>
      <c r="V415" s="190"/>
      <c r="W415" s="190"/>
      <c r="X415" s="190"/>
      <c r="Y415" s="190"/>
      <c r="Z415" s="190"/>
      <c r="AA415" s="120"/>
      <c r="AB415" s="120"/>
      <c r="AC415" s="120"/>
    </row>
    <row r="416" spans="1:29" ht="14.25" customHeight="1">
      <c r="A416" s="120"/>
      <c r="B416" s="120"/>
      <c r="C416" s="120"/>
      <c r="D416" s="121"/>
      <c r="E416" s="121"/>
      <c r="F416" s="120"/>
      <c r="G416" s="120"/>
      <c r="H416" s="121"/>
      <c r="I416" s="121"/>
      <c r="J416" s="121"/>
      <c r="K416" s="120"/>
      <c r="L416" s="120"/>
      <c r="M416" s="122"/>
      <c r="N416" s="121"/>
      <c r="O416" s="121"/>
      <c r="P416" s="121"/>
      <c r="Q416" s="121"/>
      <c r="R416" s="120"/>
      <c r="S416" s="120"/>
      <c r="T416" s="120"/>
      <c r="U416" s="190"/>
      <c r="V416" s="190"/>
      <c r="W416" s="190"/>
      <c r="X416" s="190"/>
      <c r="Y416" s="190"/>
      <c r="Z416" s="190"/>
      <c r="AA416" s="120"/>
      <c r="AB416" s="120"/>
      <c r="AC416" s="120"/>
    </row>
    <row r="417" spans="1:29" ht="14.25" customHeight="1">
      <c r="A417" s="120"/>
      <c r="B417" s="120"/>
      <c r="C417" s="120"/>
      <c r="D417" s="121"/>
      <c r="E417" s="121"/>
      <c r="F417" s="120"/>
      <c r="G417" s="120"/>
      <c r="H417" s="121"/>
      <c r="I417" s="121"/>
      <c r="J417" s="121"/>
      <c r="K417" s="120"/>
      <c r="L417" s="120"/>
      <c r="M417" s="122"/>
      <c r="N417" s="121"/>
      <c r="O417" s="121"/>
      <c r="P417" s="121"/>
      <c r="Q417" s="121"/>
      <c r="R417" s="120"/>
      <c r="S417" s="120"/>
      <c r="T417" s="120"/>
      <c r="U417" s="190"/>
      <c r="V417" s="190"/>
      <c r="W417" s="190"/>
      <c r="X417" s="190"/>
      <c r="Y417" s="190"/>
      <c r="Z417" s="190"/>
      <c r="AA417" s="120"/>
      <c r="AB417" s="120"/>
      <c r="AC417" s="120"/>
    </row>
    <row r="418" spans="1:29" ht="14.25" customHeight="1">
      <c r="A418" s="120"/>
      <c r="B418" s="120"/>
      <c r="C418" s="120"/>
      <c r="D418" s="121"/>
      <c r="E418" s="121"/>
      <c r="F418" s="120"/>
      <c r="G418" s="120"/>
      <c r="H418" s="121"/>
      <c r="I418" s="121"/>
      <c r="J418" s="121"/>
      <c r="K418" s="120"/>
      <c r="L418" s="120"/>
      <c r="M418" s="122"/>
      <c r="N418" s="121"/>
      <c r="O418" s="121"/>
      <c r="P418" s="121"/>
      <c r="Q418" s="121"/>
      <c r="R418" s="120"/>
      <c r="S418" s="120"/>
      <c r="T418" s="120"/>
      <c r="U418" s="190"/>
      <c r="V418" s="190"/>
      <c r="W418" s="190"/>
      <c r="X418" s="190"/>
      <c r="Y418" s="190"/>
      <c r="Z418" s="190"/>
      <c r="AA418" s="120"/>
      <c r="AB418" s="120"/>
      <c r="AC418" s="120"/>
    </row>
    <row r="419" spans="1:29" ht="14.25" customHeight="1">
      <c r="A419" s="120"/>
      <c r="B419" s="120"/>
      <c r="C419" s="120"/>
      <c r="D419" s="121"/>
      <c r="E419" s="121"/>
      <c r="F419" s="120"/>
      <c r="G419" s="120"/>
      <c r="H419" s="121"/>
      <c r="I419" s="121"/>
      <c r="J419" s="121"/>
      <c r="K419" s="120"/>
      <c r="L419" s="120"/>
      <c r="M419" s="122"/>
      <c r="N419" s="121"/>
      <c r="O419" s="121"/>
      <c r="P419" s="121"/>
      <c r="Q419" s="121"/>
      <c r="R419" s="120"/>
      <c r="S419" s="120"/>
      <c r="T419" s="120"/>
      <c r="U419" s="190"/>
      <c r="V419" s="190"/>
      <c r="W419" s="190"/>
      <c r="X419" s="190"/>
      <c r="Y419" s="190"/>
      <c r="Z419" s="190"/>
      <c r="AA419" s="120"/>
      <c r="AB419" s="120"/>
      <c r="AC419" s="120"/>
    </row>
    <row r="420" spans="1:29" ht="14.25" customHeight="1">
      <c r="A420" s="120"/>
      <c r="B420" s="120"/>
      <c r="C420" s="120"/>
      <c r="D420" s="121"/>
      <c r="E420" s="121"/>
      <c r="F420" s="120"/>
      <c r="G420" s="120"/>
      <c r="H420" s="121"/>
      <c r="I420" s="121"/>
      <c r="J420" s="121"/>
      <c r="K420" s="120"/>
      <c r="L420" s="120"/>
      <c r="M420" s="122"/>
      <c r="N420" s="121"/>
      <c r="O420" s="121"/>
      <c r="P420" s="121"/>
      <c r="Q420" s="121"/>
      <c r="R420" s="120"/>
      <c r="S420" s="120"/>
      <c r="T420" s="120"/>
      <c r="U420" s="190"/>
      <c r="V420" s="190"/>
      <c r="W420" s="190"/>
      <c r="X420" s="190"/>
      <c r="Y420" s="190"/>
      <c r="Z420" s="190"/>
      <c r="AA420" s="120"/>
      <c r="AB420" s="120"/>
      <c r="AC420" s="120"/>
    </row>
    <row r="421" spans="1:29" ht="14.25" customHeight="1">
      <c r="A421" s="120"/>
      <c r="B421" s="120"/>
      <c r="C421" s="120"/>
      <c r="D421" s="121"/>
      <c r="E421" s="121"/>
      <c r="F421" s="120"/>
      <c r="G421" s="120"/>
      <c r="H421" s="121"/>
      <c r="I421" s="121"/>
      <c r="J421" s="121"/>
      <c r="K421" s="120"/>
      <c r="L421" s="120"/>
      <c r="M421" s="122"/>
      <c r="N421" s="121"/>
      <c r="O421" s="121"/>
      <c r="P421" s="121"/>
      <c r="Q421" s="121"/>
      <c r="R421" s="120"/>
      <c r="S421" s="120"/>
      <c r="T421" s="120"/>
      <c r="U421" s="190"/>
      <c r="V421" s="190"/>
      <c r="W421" s="190"/>
      <c r="X421" s="190"/>
      <c r="Y421" s="190"/>
      <c r="Z421" s="190"/>
      <c r="AA421" s="120"/>
      <c r="AB421" s="120"/>
      <c r="AC421" s="120"/>
    </row>
    <row r="422" spans="1:29" ht="14.25" customHeight="1">
      <c r="A422" s="120"/>
      <c r="B422" s="120"/>
      <c r="C422" s="120"/>
      <c r="D422" s="121"/>
      <c r="E422" s="121"/>
      <c r="F422" s="120"/>
      <c r="G422" s="120"/>
      <c r="H422" s="121"/>
      <c r="I422" s="121"/>
      <c r="J422" s="121"/>
      <c r="K422" s="120"/>
      <c r="L422" s="120"/>
      <c r="M422" s="122"/>
      <c r="N422" s="121"/>
      <c r="O422" s="121"/>
      <c r="P422" s="121"/>
      <c r="Q422" s="121"/>
      <c r="R422" s="120"/>
      <c r="S422" s="120"/>
      <c r="T422" s="120"/>
      <c r="U422" s="190"/>
      <c r="V422" s="190"/>
      <c r="W422" s="190"/>
      <c r="X422" s="190"/>
      <c r="Y422" s="190"/>
      <c r="Z422" s="190"/>
      <c r="AA422" s="120"/>
      <c r="AB422" s="120"/>
      <c r="AC422" s="120"/>
    </row>
    <row r="423" spans="1:29" ht="14.25" customHeight="1">
      <c r="A423" s="120"/>
      <c r="B423" s="120"/>
      <c r="C423" s="120"/>
      <c r="D423" s="121"/>
      <c r="E423" s="121"/>
      <c r="F423" s="120"/>
      <c r="G423" s="120"/>
      <c r="H423" s="121"/>
      <c r="I423" s="121"/>
      <c r="J423" s="121"/>
      <c r="K423" s="120"/>
      <c r="L423" s="120"/>
      <c r="M423" s="122"/>
      <c r="N423" s="121"/>
      <c r="O423" s="121"/>
      <c r="P423" s="121"/>
      <c r="Q423" s="121"/>
      <c r="R423" s="120"/>
      <c r="S423" s="120"/>
      <c r="T423" s="120"/>
      <c r="U423" s="190"/>
      <c r="V423" s="190"/>
      <c r="W423" s="190"/>
      <c r="X423" s="190"/>
      <c r="Y423" s="190"/>
      <c r="Z423" s="190"/>
      <c r="AA423" s="120"/>
      <c r="AB423" s="120"/>
      <c r="AC423" s="120"/>
    </row>
    <row r="424" spans="1:29" ht="14.25" customHeight="1">
      <c r="A424" s="120"/>
      <c r="B424" s="120"/>
      <c r="C424" s="120"/>
      <c r="D424" s="121"/>
      <c r="E424" s="121"/>
      <c r="F424" s="120"/>
      <c r="G424" s="120"/>
      <c r="H424" s="121"/>
      <c r="I424" s="121"/>
      <c r="J424" s="121"/>
      <c r="K424" s="120"/>
      <c r="L424" s="120"/>
      <c r="M424" s="122"/>
      <c r="N424" s="121"/>
      <c r="O424" s="121"/>
      <c r="P424" s="121"/>
      <c r="Q424" s="121"/>
      <c r="R424" s="120"/>
      <c r="S424" s="120"/>
      <c r="T424" s="120"/>
      <c r="U424" s="190"/>
      <c r="V424" s="190"/>
      <c r="W424" s="190"/>
      <c r="X424" s="190"/>
      <c r="Y424" s="190"/>
      <c r="Z424" s="190"/>
      <c r="AA424" s="120"/>
      <c r="AB424" s="120"/>
      <c r="AC424" s="120"/>
    </row>
    <row r="425" spans="1:29" ht="14.25" customHeight="1">
      <c r="A425" s="120"/>
      <c r="B425" s="120"/>
      <c r="C425" s="120"/>
      <c r="D425" s="121"/>
      <c r="E425" s="121"/>
      <c r="F425" s="120"/>
      <c r="G425" s="120"/>
      <c r="H425" s="121"/>
      <c r="I425" s="121"/>
      <c r="J425" s="121"/>
      <c r="K425" s="120"/>
      <c r="L425" s="120"/>
      <c r="M425" s="122"/>
      <c r="N425" s="121"/>
      <c r="O425" s="121"/>
      <c r="P425" s="121"/>
      <c r="Q425" s="121"/>
      <c r="R425" s="120"/>
      <c r="S425" s="120"/>
      <c r="T425" s="120"/>
      <c r="U425" s="190"/>
      <c r="V425" s="190"/>
      <c r="W425" s="190"/>
      <c r="X425" s="190"/>
      <c r="Y425" s="190"/>
      <c r="Z425" s="190"/>
      <c r="AA425" s="120"/>
      <c r="AB425" s="120"/>
      <c r="AC425" s="120"/>
    </row>
    <row r="426" spans="1:29" ht="14.25" customHeight="1">
      <c r="A426" s="120"/>
      <c r="B426" s="120"/>
      <c r="C426" s="120"/>
      <c r="D426" s="121"/>
      <c r="E426" s="121"/>
      <c r="F426" s="120"/>
      <c r="G426" s="120"/>
      <c r="H426" s="121"/>
      <c r="I426" s="121"/>
      <c r="J426" s="121"/>
      <c r="K426" s="120"/>
      <c r="L426" s="120"/>
      <c r="M426" s="122"/>
      <c r="N426" s="121"/>
      <c r="O426" s="121"/>
      <c r="P426" s="121"/>
      <c r="Q426" s="121"/>
      <c r="R426" s="120"/>
      <c r="S426" s="120"/>
      <c r="T426" s="120"/>
      <c r="U426" s="190"/>
      <c r="V426" s="190"/>
      <c r="W426" s="190"/>
      <c r="X426" s="190"/>
      <c r="Y426" s="190"/>
      <c r="Z426" s="190"/>
      <c r="AA426" s="120"/>
      <c r="AB426" s="120"/>
      <c r="AC426" s="120"/>
    </row>
    <row r="427" spans="1:29" ht="14.25" customHeight="1">
      <c r="A427" s="120"/>
      <c r="B427" s="120"/>
      <c r="C427" s="120"/>
      <c r="D427" s="121"/>
      <c r="E427" s="121"/>
      <c r="F427" s="120"/>
      <c r="G427" s="120"/>
      <c r="H427" s="121"/>
      <c r="I427" s="121"/>
      <c r="J427" s="121"/>
      <c r="K427" s="120"/>
      <c r="L427" s="120"/>
      <c r="M427" s="122"/>
      <c r="N427" s="121"/>
      <c r="O427" s="121"/>
      <c r="P427" s="121"/>
      <c r="Q427" s="121"/>
      <c r="R427" s="120"/>
      <c r="S427" s="120"/>
      <c r="T427" s="120"/>
      <c r="U427" s="190"/>
      <c r="V427" s="190"/>
      <c r="W427" s="190"/>
      <c r="X427" s="190"/>
      <c r="Y427" s="190"/>
      <c r="Z427" s="190"/>
      <c r="AA427" s="120"/>
      <c r="AB427" s="120"/>
      <c r="AC427" s="120"/>
    </row>
    <row r="428" spans="1:29" ht="14.25" customHeight="1">
      <c r="A428" s="120"/>
      <c r="B428" s="120"/>
      <c r="C428" s="120"/>
      <c r="D428" s="121"/>
      <c r="E428" s="121"/>
      <c r="F428" s="120"/>
      <c r="G428" s="120"/>
      <c r="H428" s="121"/>
      <c r="I428" s="121"/>
      <c r="J428" s="121"/>
      <c r="K428" s="120"/>
      <c r="L428" s="120"/>
      <c r="M428" s="122"/>
      <c r="N428" s="121"/>
      <c r="O428" s="121"/>
      <c r="P428" s="121"/>
      <c r="Q428" s="121"/>
      <c r="R428" s="120"/>
      <c r="S428" s="120"/>
      <c r="T428" s="120"/>
      <c r="U428" s="190"/>
      <c r="V428" s="190"/>
      <c r="W428" s="190"/>
      <c r="X428" s="190"/>
      <c r="Y428" s="190"/>
      <c r="Z428" s="190"/>
      <c r="AA428" s="120"/>
      <c r="AB428" s="120"/>
      <c r="AC428" s="120"/>
    </row>
    <row r="429" spans="1:29" ht="14.25" customHeight="1">
      <c r="A429" s="120"/>
      <c r="B429" s="120"/>
      <c r="C429" s="120"/>
      <c r="D429" s="121"/>
      <c r="E429" s="121"/>
      <c r="F429" s="120"/>
      <c r="G429" s="120"/>
      <c r="H429" s="121"/>
      <c r="I429" s="121"/>
      <c r="J429" s="121"/>
      <c r="K429" s="120"/>
      <c r="L429" s="120"/>
      <c r="M429" s="122"/>
      <c r="N429" s="121"/>
      <c r="O429" s="121"/>
      <c r="P429" s="121"/>
      <c r="Q429" s="121"/>
      <c r="R429" s="120"/>
      <c r="S429" s="120"/>
      <c r="T429" s="120"/>
      <c r="U429" s="190"/>
      <c r="V429" s="190"/>
      <c r="W429" s="190"/>
      <c r="X429" s="190"/>
      <c r="Y429" s="190"/>
      <c r="Z429" s="190"/>
      <c r="AA429" s="120"/>
      <c r="AB429" s="120"/>
      <c r="AC429" s="120"/>
    </row>
    <row r="430" spans="1:29" ht="14.25" customHeight="1">
      <c r="A430" s="120"/>
      <c r="B430" s="120"/>
      <c r="C430" s="120"/>
      <c r="D430" s="121"/>
      <c r="E430" s="121"/>
      <c r="F430" s="120"/>
      <c r="G430" s="120"/>
      <c r="H430" s="121"/>
      <c r="I430" s="121"/>
      <c r="J430" s="121"/>
      <c r="K430" s="120"/>
      <c r="L430" s="120"/>
      <c r="M430" s="122"/>
      <c r="N430" s="121"/>
      <c r="O430" s="121"/>
      <c r="P430" s="121"/>
      <c r="Q430" s="121"/>
      <c r="R430" s="120"/>
      <c r="S430" s="120"/>
      <c r="T430" s="120"/>
      <c r="U430" s="190"/>
      <c r="V430" s="190"/>
      <c r="W430" s="190"/>
      <c r="X430" s="190"/>
      <c r="Y430" s="190"/>
      <c r="Z430" s="190"/>
      <c r="AA430" s="120"/>
      <c r="AB430" s="120"/>
      <c r="AC430" s="120"/>
    </row>
    <row r="431" spans="1:29" ht="14.25" customHeight="1">
      <c r="A431" s="120"/>
      <c r="B431" s="120"/>
      <c r="C431" s="120"/>
      <c r="D431" s="121"/>
      <c r="E431" s="121"/>
      <c r="F431" s="120"/>
      <c r="G431" s="120"/>
      <c r="H431" s="121"/>
      <c r="I431" s="121"/>
      <c r="J431" s="121"/>
      <c r="K431" s="120"/>
      <c r="L431" s="120"/>
      <c r="M431" s="122"/>
      <c r="N431" s="121"/>
      <c r="O431" s="121"/>
      <c r="P431" s="121"/>
      <c r="Q431" s="121"/>
      <c r="R431" s="120"/>
      <c r="S431" s="120"/>
      <c r="T431" s="120"/>
      <c r="U431" s="190"/>
      <c r="V431" s="190"/>
      <c r="W431" s="190"/>
      <c r="X431" s="190"/>
      <c r="Y431" s="190"/>
      <c r="Z431" s="190"/>
      <c r="AA431" s="120"/>
      <c r="AB431" s="120"/>
      <c r="AC431" s="120"/>
    </row>
    <row r="432" spans="1:29" ht="14.25" customHeight="1">
      <c r="A432" s="120"/>
      <c r="B432" s="120"/>
      <c r="C432" s="120"/>
      <c r="D432" s="121"/>
      <c r="E432" s="121"/>
      <c r="F432" s="120"/>
      <c r="G432" s="120"/>
      <c r="H432" s="121"/>
      <c r="I432" s="121"/>
      <c r="J432" s="121"/>
      <c r="K432" s="120"/>
      <c r="L432" s="120"/>
      <c r="M432" s="122"/>
      <c r="N432" s="121"/>
      <c r="O432" s="121"/>
      <c r="P432" s="121"/>
      <c r="Q432" s="121"/>
      <c r="R432" s="120"/>
      <c r="S432" s="120"/>
      <c r="T432" s="120"/>
      <c r="U432" s="190"/>
      <c r="V432" s="190"/>
      <c r="W432" s="190"/>
      <c r="X432" s="190"/>
      <c r="Y432" s="190"/>
      <c r="Z432" s="190"/>
      <c r="AA432" s="120"/>
      <c r="AB432" s="120"/>
      <c r="AC432" s="120"/>
    </row>
    <row r="433" spans="1:29" ht="14.25" customHeight="1">
      <c r="A433" s="120"/>
      <c r="B433" s="120"/>
      <c r="C433" s="120"/>
      <c r="D433" s="121"/>
      <c r="E433" s="121"/>
      <c r="F433" s="120"/>
      <c r="G433" s="120"/>
      <c r="H433" s="121"/>
      <c r="I433" s="121"/>
      <c r="J433" s="121"/>
      <c r="K433" s="120"/>
      <c r="L433" s="120"/>
      <c r="M433" s="122"/>
      <c r="N433" s="121"/>
      <c r="O433" s="121"/>
      <c r="P433" s="121"/>
      <c r="Q433" s="121"/>
      <c r="R433" s="120"/>
      <c r="S433" s="120"/>
      <c r="T433" s="120"/>
      <c r="U433" s="190"/>
      <c r="V433" s="190"/>
      <c r="W433" s="190"/>
      <c r="X433" s="190"/>
      <c r="Y433" s="190"/>
      <c r="Z433" s="190"/>
      <c r="AA433" s="120"/>
      <c r="AB433" s="120"/>
      <c r="AC433" s="120"/>
    </row>
    <row r="434" spans="1:29" ht="14.25" customHeight="1">
      <c r="A434" s="120"/>
      <c r="B434" s="120"/>
      <c r="C434" s="120"/>
      <c r="D434" s="121"/>
      <c r="E434" s="121"/>
      <c r="F434" s="120"/>
      <c r="G434" s="120"/>
      <c r="H434" s="121"/>
      <c r="I434" s="121"/>
      <c r="J434" s="121"/>
      <c r="K434" s="120"/>
      <c r="L434" s="120"/>
      <c r="M434" s="122"/>
      <c r="N434" s="121"/>
      <c r="O434" s="121"/>
      <c r="P434" s="121"/>
      <c r="Q434" s="121"/>
      <c r="R434" s="120"/>
      <c r="S434" s="120"/>
      <c r="T434" s="120"/>
      <c r="U434" s="190"/>
      <c r="V434" s="190"/>
      <c r="W434" s="190"/>
      <c r="X434" s="190"/>
      <c r="Y434" s="190"/>
      <c r="Z434" s="190"/>
      <c r="AA434" s="120"/>
      <c r="AB434" s="120"/>
      <c r="AC434" s="120"/>
    </row>
    <row r="435" spans="1:29" ht="14.25" customHeight="1">
      <c r="A435" s="120"/>
      <c r="B435" s="120"/>
      <c r="C435" s="120"/>
      <c r="D435" s="121"/>
      <c r="E435" s="121"/>
      <c r="F435" s="120"/>
      <c r="G435" s="120"/>
      <c r="H435" s="121"/>
      <c r="I435" s="121"/>
      <c r="J435" s="121"/>
      <c r="K435" s="120"/>
      <c r="L435" s="120"/>
      <c r="M435" s="122"/>
      <c r="N435" s="121"/>
      <c r="O435" s="121"/>
      <c r="P435" s="121"/>
      <c r="Q435" s="121"/>
      <c r="R435" s="120"/>
      <c r="S435" s="120"/>
      <c r="T435" s="120"/>
      <c r="U435" s="190"/>
      <c r="V435" s="190"/>
      <c r="W435" s="190"/>
      <c r="X435" s="190"/>
      <c r="Y435" s="190"/>
      <c r="Z435" s="190"/>
      <c r="AA435" s="120"/>
      <c r="AB435" s="120"/>
      <c r="AC435" s="120"/>
    </row>
    <row r="436" spans="1:29" ht="14.25" customHeight="1">
      <c r="A436" s="120"/>
      <c r="B436" s="120"/>
      <c r="C436" s="120"/>
      <c r="D436" s="121"/>
      <c r="E436" s="121"/>
      <c r="F436" s="120"/>
      <c r="G436" s="120"/>
      <c r="H436" s="121"/>
      <c r="I436" s="121"/>
      <c r="J436" s="121"/>
      <c r="K436" s="120"/>
      <c r="L436" s="120"/>
      <c r="M436" s="122"/>
      <c r="N436" s="121"/>
      <c r="O436" s="121"/>
      <c r="P436" s="121"/>
      <c r="Q436" s="121"/>
      <c r="R436" s="120"/>
      <c r="S436" s="120"/>
      <c r="T436" s="120"/>
      <c r="U436" s="190"/>
      <c r="V436" s="190"/>
      <c r="W436" s="190"/>
      <c r="X436" s="190"/>
      <c r="Y436" s="190"/>
      <c r="Z436" s="190"/>
      <c r="AA436" s="120"/>
      <c r="AB436" s="120"/>
      <c r="AC436" s="120"/>
    </row>
    <row r="437" spans="1:29" ht="14.25" customHeight="1">
      <c r="A437" s="120"/>
      <c r="B437" s="120"/>
      <c r="C437" s="120"/>
      <c r="D437" s="121"/>
      <c r="E437" s="121"/>
      <c r="F437" s="120"/>
      <c r="G437" s="120"/>
      <c r="H437" s="121"/>
      <c r="I437" s="121"/>
      <c r="J437" s="121"/>
      <c r="K437" s="120"/>
      <c r="L437" s="120"/>
      <c r="M437" s="122"/>
      <c r="N437" s="121"/>
      <c r="O437" s="121"/>
      <c r="P437" s="121"/>
      <c r="Q437" s="121"/>
      <c r="R437" s="120"/>
      <c r="S437" s="120"/>
      <c r="T437" s="120"/>
      <c r="U437" s="190"/>
      <c r="V437" s="190"/>
      <c r="W437" s="190"/>
      <c r="X437" s="190"/>
      <c r="Y437" s="190"/>
      <c r="Z437" s="190"/>
      <c r="AA437" s="120"/>
      <c r="AB437" s="120"/>
      <c r="AC437" s="120"/>
    </row>
    <row r="438" spans="1:29" ht="14.25" customHeight="1">
      <c r="A438" s="120"/>
      <c r="B438" s="120"/>
      <c r="C438" s="120"/>
      <c r="D438" s="121"/>
      <c r="E438" s="121"/>
      <c r="F438" s="120"/>
      <c r="G438" s="120"/>
      <c r="H438" s="121"/>
      <c r="I438" s="121"/>
      <c r="J438" s="121"/>
      <c r="K438" s="120"/>
      <c r="L438" s="120"/>
      <c r="M438" s="122"/>
      <c r="N438" s="121"/>
      <c r="O438" s="121"/>
      <c r="P438" s="121"/>
      <c r="Q438" s="121"/>
      <c r="R438" s="120"/>
      <c r="S438" s="120"/>
      <c r="T438" s="120"/>
      <c r="U438" s="190"/>
      <c r="V438" s="190"/>
      <c r="W438" s="190"/>
      <c r="X438" s="190"/>
      <c r="Y438" s="190"/>
      <c r="Z438" s="190"/>
      <c r="AA438" s="120"/>
      <c r="AB438" s="120"/>
      <c r="AC438" s="120"/>
    </row>
    <row r="439" spans="1:29" ht="14.25" customHeight="1">
      <c r="A439" s="120"/>
      <c r="B439" s="120"/>
      <c r="C439" s="120"/>
      <c r="D439" s="121"/>
      <c r="E439" s="121"/>
      <c r="F439" s="120"/>
      <c r="G439" s="120"/>
      <c r="H439" s="121"/>
      <c r="I439" s="121"/>
      <c r="J439" s="121"/>
      <c r="K439" s="120"/>
      <c r="L439" s="120"/>
      <c r="M439" s="122"/>
      <c r="N439" s="121"/>
      <c r="O439" s="121"/>
      <c r="P439" s="121"/>
      <c r="Q439" s="121"/>
      <c r="R439" s="120"/>
      <c r="S439" s="120"/>
      <c r="T439" s="120"/>
      <c r="U439" s="190"/>
      <c r="V439" s="190"/>
      <c r="W439" s="190"/>
      <c r="X439" s="190"/>
      <c r="Y439" s="190"/>
      <c r="Z439" s="190"/>
      <c r="AA439" s="120"/>
      <c r="AB439" s="120"/>
      <c r="AC439" s="120"/>
    </row>
    <row r="440" spans="1:29" ht="14.25" customHeight="1">
      <c r="A440" s="120"/>
      <c r="B440" s="120"/>
      <c r="C440" s="120"/>
      <c r="D440" s="121"/>
      <c r="E440" s="121"/>
      <c r="F440" s="120"/>
      <c r="G440" s="120"/>
      <c r="H440" s="121"/>
      <c r="I440" s="121"/>
      <c r="J440" s="121"/>
      <c r="K440" s="120"/>
      <c r="L440" s="120"/>
      <c r="M440" s="122"/>
      <c r="N440" s="121"/>
      <c r="O440" s="121"/>
      <c r="P440" s="121"/>
      <c r="Q440" s="121"/>
      <c r="R440" s="120"/>
      <c r="S440" s="120"/>
      <c r="T440" s="120"/>
      <c r="U440" s="190"/>
      <c r="V440" s="190"/>
      <c r="W440" s="190"/>
      <c r="X440" s="190"/>
      <c r="Y440" s="190"/>
      <c r="Z440" s="190"/>
      <c r="AA440" s="120"/>
      <c r="AB440" s="120"/>
      <c r="AC440" s="120"/>
    </row>
    <row r="441" spans="1:29" ht="14.25" customHeight="1">
      <c r="A441" s="120"/>
      <c r="B441" s="120"/>
      <c r="C441" s="120"/>
      <c r="D441" s="121"/>
      <c r="E441" s="121"/>
      <c r="F441" s="120"/>
      <c r="G441" s="120"/>
      <c r="H441" s="121"/>
      <c r="I441" s="121"/>
      <c r="J441" s="121"/>
      <c r="K441" s="120"/>
      <c r="L441" s="120"/>
      <c r="M441" s="122"/>
      <c r="N441" s="121"/>
      <c r="O441" s="121"/>
      <c r="P441" s="121"/>
      <c r="Q441" s="121"/>
      <c r="R441" s="120"/>
      <c r="S441" s="120"/>
      <c r="T441" s="120"/>
      <c r="U441" s="190"/>
      <c r="V441" s="190"/>
      <c r="W441" s="190"/>
      <c r="X441" s="190"/>
      <c r="Y441" s="190"/>
      <c r="Z441" s="190"/>
      <c r="AA441" s="120"/>
      <c r="AB441" s="120"/>
      <c r="AC441" s="120"/>
    </row>
    <row r="442" spans="1:29" ht="14.25" customHeight="1">
      <c r="A442" s="120"/>
      <c r="B442" s="120"/>
      <c r="C442" s="120"/>
      <c r="D442" s="121"/>
      <c r="E442" s="121"/>
      <c r="F442" s="120"/>
      <c r="G442" s="120"/>
      <c r="H442" s="121"/>
      <c r="I442" s="121"/>
      <c r="J442" s="121"/>
      <c r="K442" s="120"/>
      <c r="L442" s="120"/>
      <c r="M442" s="122"/>
      <c r="N442" s="121"/>
      <c r="O442" s="121"/>
      <c r="P442" s="121"/>
      <c r="Q442" s="121"/>
      <c r="R442" s="120"/>
      <c r="S442" s="120"/>
      <c r="T442" s="120"/>
      <c r="U442" s="190"/>
      <c r="V442" s="190"/>
      <c r="W442" s="190"/>
      <c r="X442" s="190"/>
      <c r="Y442" s="190"/>
      <c r="Z442" s="190"/>
      <c r="AA442" s="120"/>
      <c r="AB442" s="120"/>
      <c r="AC442" s="120"/>
    </row>
    <row r="443" spans="1:29" ht="14.25" customHeight="1">
      <c r="A443" s="120"/>
      <c r="B443" s="120"/>
      <c r="C443" s="120"/>
      <c r="D443" s="121"/>
      <c r="E443" s="121"/>
      <c r="F443" s="120"/>
      <c r="G443" s="120"/>
      <c r="H443" s="121"/>
      <c r="I443" s="121"/>
      <c r="J443" s="121"/>
      <c r="K443" s="120"/>
      <c r="L443" s="120"/>
      <c r="M443" s="122"/>
      <c r="N443" s="121"/>
      <c r="O443" s="121"/>
      <c r="P443" s="121"/>
      <c r="Q443" s="121"/>
      <c r="R443" s="120"/>
      <c r="S443" s="120"/>
      <c r="T443" s="120"/>
      <c r="U443" s="190"/>
      <c r="V443" s="190"/>
      <c r="W443" s="190"/>
      <c r="X443" s="190"/>
      <c r="Y443" s="190"/>
      <c r="Z443" s="190"/>
      <c r="AA443" s="120"/>
      <c r="AB443" s="120"/>
      <c r="AC443" s="120"/>
    </row>
    <row r="444" spans="1:29" ht="14.25" customHeight="1">
      <c r="A444" s="120"/>
      <c r="B444" s="120"/>
      <c r="C444" s="120"/>
      <c r="D444" s="121"/>
      <c r="E444" s="121"/>
      <c r="F444" s="120"/>
      <c r="G444" s="120"/>
      <c r="H444" s="121"/>
      <c r="I444" s="121"/>
      <c r="J444" s="121"/>
      <c r="K444" s="120"/>
      <c r="L444" s="120"/>
      <c r="M444" s="122"/>
      <c r="N444" s="121"/>
      <c r="O444" s="121"/>
      <c r="P444" s="121"/>
      <c r="Q444" s="121"/>
      <c r="R444" s="120"/>
      <c r="S444" s="120"/>
      <c r="T444" s="120"/>
      <c r="U444" s="190"/>
      <c r="V444" s="190"/>
      <c r="W444" s="190"/>
      <c r="X444" s="190"/>
      <c r="Y444" s="190"/>
      <c r="Z444" s="190"/>
      <c r="AA444" s="120"/>
      <c r="AB444" s="120"/>
      <c r="AC444" s="120"/>
    </row>
    <row r="445" spans="1:29" ht="14.25" customHeight="1">
      <c r="A445" s="120"/>
      <c r="B445" s="120"/>
      <c r="C445" s="120"/>
      <c r="D445" s="121"/>
      <c r="E445" s="121"/>
      <c r="F445" s="120"/>
      <c r="G445" s="120"/>
      <c r="H445" s="121"/>
      <c r="I445" s="121"/>
      <c r="J445" s="121"/>
      <c r="K445" s="120"/>
      <c r="L445" s="120"/>
      <c r="M445" s="122"/>
      <c r="N445" s="121"/>
      <c r="O445" s="121"/>
      <c r="P445" s="121"/>
      <c r="Q445" s="121"/>
      <c r="R445" s="120"/>
      <c r="S445" s="120"/>
      <c r="T445" s="120"/>
      <c r="U445" s="190"/>
      <c r="V445" s="190"/>
      <c r="W445" s="190"/>
      <c r="X445" s="190"/>
      <c r="Y445" s="190"/>
      <c r="Z445" s="190"/>
      <c r="AA445" s="120"/>
      <c r="AB445" s="120"/>
      <c r="AC445" s="120"/>
    </row>
    <row r="446" spans="1:29" ht="14.25" customHeight="1">
      <c r="A446" s="120"/>
      <c r="B446" s="120"/>
      <c r="C446" s="120"/>
      <c r="D446" s="121"/>
      <c r="E446" s="121"/>
      <c r="F446" s="120"/>
      <c r="G446" s="120"/>
      <c r="H446" s="121"/>
      <c r="I446" s="121"/>
      <c r="J446" s="121"/>
      <c r="K446" s="120"/>
      <c r="L446" s="120"/>
      <c r="M446" s="122"/>
      <c r="N446" s="121"/>
      <c r="O446" s="121"/>
      <c r="P446" s="121"/>
      <c r="Q446" s="121"/>
      <c r="R446" s="120"/>
      <c r="S446" s="120"/>
      <c r="T446" s="120"/>
      <c r="U446" s="190"/>
      <c r="V446" s="190"/>
      <c r="W446" s="190"/>
      <c r="X446" s="190"/>
      <c r="Y446" s="190"/>
      <c r="Z446" s="190"/>
      <c r="AA446" s="120"/>
      <c r="AB446" s="120"/>
      <c r="AC446" s="120"/>
    </row>
    <row r="447" spans="1:29" ht="14.25" customHeight="1">
      <c r="A447" s="120"/>
      <c r="B447" s="120"/>
      <c r="C447" s="120"/>
      <c r="D447" s="121"/>
      <c r="E447" s="121"/>
      <c r="F447" s="120"/>
      <c r="G447" s="120"/>
      <c r="H447" s="121"/>
      <c r="I447" s="121"/>
      <c r="J447" s="121"/>
      <c r="K447" s="120"/>
      <c r="L447" s="120"/>
      <c r="M447" s="122"/>
      <c r="N447" s="121"/>
      <c r="O447" s="121"/>
      <c r="P447" s="121"/>
      <c r="Q447" s="121"/>
      <c r="R447" s="120"/>
      <c r="S447" s="120"/>
      <c r="T447" s="120"/>
      <c r="U447" s="190"/>
      <c r="V447" s="190"/>
      <c r="W447" s="190"/>
      <c r="X447" s="190"/>
      <c r="Y447" s="190"/>
      <c r="Z447" s="190"/>
      <c r="AA447" s="120"/>
      <c r="AB447" s="120"/>
      <c r="AC447" s="120"/>
    </row>
    <row r="448" spans="1:29" ht="14.25" customHeight="1">
      <c r="A448" s="120"/>
      <c r="B448" s="120"/>
      <c r="C448" s="120"/>
      <c r="D448" s="121"/>
      <c r="E448" s="121"/>
      <c r="F448" s="120"/>
      <c r="G448" s="120"/>
      <c r="H448" s="121"/>
      <c r="I448" s="121"/>
      <c r="J448" s="121"/>
      <c r="K448" s="120"/>
      <c r="L448" s="120"/>
      <c r="M448" s="122"/>
      <c r="N448" s="121"/>
      <c r="O448" s="121"/>
      <c r="P448" s="121"/>
      <c r="Q448" s="121"/>
      <c r="R448" s="120"/>
      <c r="S448" s="120"/>
      <c r="T448" s="120"/>
      <c r="U448" s="190"/>
      <c r="V448" s="190"/>
      <c r="W448" s="190"/>
      <c r="X448" s="190"/>
      <c r="Y448" s="190"/>
      <c r="Z448" s="190"/>
      <c r="AA448" s="120"/>
      <c r="AB448" s="120"/>
      <c r="AC448" s="120"/>
    </row>
    <row r="449" spans="1:29" ht="14.25" customHeight="1">
      <c r="A449" s="120"/>
      <c r="B449" s="120"/>
      <c r="C449" s="120"/>
      <c r="D449" s="121"/>
      <c r="E449" s="121"/>
      <c r="F449" s="120"/>
      <c r="G449" s="120"/>
      <c r="H449" s="121"/>
      <c r="I449" s="121"/>
      <c r="J449" s="121"/>
      <c r="K449" s="120"/>
      <c r="L449" s="120"/>
      <c r="M449" s="122"/>
      <c r="N449" s="121"/>
      <c r="O449" s="121"/>
      <c r="P449" s="121"/>
      <c r="Q449" s="121"/>
      <c r="R449" s="120"/>
      <c r="S449" s="120"/>
      <c r="T449" s="120"/>
      <c r="U449" s="190"/>
      <c r="V449" s="190"/>
      <c r="W449" s="190"/>
      <c r="X449" s="190"/>
      <c r="Y449" s="190"/>
      <c r="Z449" s="190"/>
      <c r="AA449" s="120"/>
      <c r="AB449" s="120"/>
      <c r="AC449" s="120"/>
    </row>
    <row r="450" spans="1:29" ht="14.25" customHeight="1">
      <c r="A450" s="120"/>
      <c r="B450" s="120"/>
      <c r="C450" s="120"/>
      <c r="D450" s="121"/>
      <c r="E450" s="121"/>
      <c r="F450" s="120"/>
      <c r="G450" s="120"/>
      <c r="H450" s="121"/>
      <c r="I450" s="121"/>
      <c r="J450" s="121"/>
      <c r="K450" s="120"/>
      <c r="L450" s="120"/>
      <c r="M450" s="122"/>
      <c r="N450" s="121"/>
      <c r="O450" s="121"/>
      <c r="P450" s="121"/>
      <c r="Q450" s="121"/>
      <c r="R450" s="120"/>
      <c r="S450" s="120"/>
      <c r="T450" s="120"/>
      <c r="U450" s="190"/>
      <c r="V450" s="190"/>
      <c r="W450" s="190"/>
      <c r="X450" s="190"/>
      <c r="Y450" s="190"/>
      <c r="Z450" s="190"/>
      <c r="AA450" s="120"/>
      <c r="AB450" s="120"/>
      <c r="AC450" s="120"/>
    </row>
    <row r="451" spans="1:29" ht="14.25" customHeight="1">
      <c r="A451" s="120"/>
      <c r="B451" s="120"/>
      <c r="C451" s="120"/>
      <c r="D451" s="121"/>
      <c r="E451" s="121"/>
      <c r="F451" s="120"/>
      <c r="G451" s="120"/>
      <c r="H451" s="121"/>
      <c r="I451" s="121"/>
      <c r="J451" s="121"/>
      <c r="K451" s="120"/>
      <c r="L451" s="120"/>
      <c r="M451" s="122"/>
      <c r="N451" s="121"/>
      <c r="O451" s="121"/>
      <c r="P451" s="121"/>
      <c r="Q451" s="121"/>
      <c r="R451" s="120"/>
      <c r="S451" s="120"/>
      <c r="T451" s="120"/>
      <c r="U451" s="190"/>
      <c r="V451" s="190"/>
      <c r="W451" s="190"/>
      <c r="X451" s="190"/>
      <c r="Y451" s="190"/>
      <c r="Z451" s="190"/>
      <c r="AA451" s="120"/>
      <c r="AB451" s="120"/>
      <c r="AC451" s="120"/>
    </row>
    <row r="452" spans="1:29" ht="14.25" customHeight="1">
      <c r="A452" s="120"/>
      <c r="B452" s="120"/>
      <c r="C452" s="120"/>
      <c r="D452" s="121"/>
      <c r="E452" s="121"/>
      <c r="F452" s="120"/>
      <c r="G452" s="120"/>
      <c r="H452" s="121"/>
      <c r="I452" s="121"/>
      <c r="J452" s="121"/>
      <c r="K452" s="120"/>
      <c r="L452" s="120"/>
      <c r="M452" s="122"/>
      <c r="N452" s="121"/>
      <c r="O452" s="121"/>
      <c r="P452" s="121"/>
      <c r="Q452" s="121"/>
      <c r="R452" s="120"/>
      <c r="S452" s="120"/>
      <c r="T452" s="120"/>
      <c r="U452" s="190"/>
      <c r="V452" s="190"/>
      <c r="W452" s="190"/>
      <c r="X452" s="190"/>
      <c r="Y452" s="190"/>
      <c r="Z452" s="190"/>
      <c r="AA452" s="120"/>
      <c r="AB452" s="120"/>
      <c r="AC452" s="120"/>
    </row>
    <row r="453" spans="1:29" ht="14.25" customHeight="1">
      <c r="A453" s="120"/>
      <c r="B453" s="120"/>
      <c r="C453" s="120"/>
      <c r="D453" s="121"/>
      <c r="E453" s="121"/>
      <c r="F453" s="120"/>
      <c r="G453" s="120"/>
      <c r="H453" s="121"/>
      <c r="I453" s="121"/>
      <c r="J453" s="121"/>
      <c r="K453" s="120"/>
      <c r="L453" s="120"/>
      <c r="M453" s="122"/>
      <c r="N453" s="121"/>
      <c r="O453" s="121"/>
      <c r="P453" s="121"/>
      <c r="Q453" s="121"/>
      <c r="R453" s="120"/>
      <c r="S453" s="120"/>
      <c r="T453" s="120"/>
      <c r="U453" s="190"/>
      <c r="V453" s="190"/>
      <c r="W453" s="190"/>
      <c r="X453" s="190"/>
      <c r="Y453" s="190"/>
      <c r="Z453" s="190"/>
      <c r="AA453" s="120"/>
      <c r="AB453" s="120"/>
      <c r="AC453" s="120"/>
    </row>
    <row r="454" spans="1:29" ht="14.25" customHeight="1">
      <c r="A454" s="120"/>
      <c r="B454" s="120"/>
      <c r="C454" s="120"/>
      <c r="D454" s="121"/>
      <c r="E454" s="121"/>
      <c r="F454" s="120"/>
      <c r="G454" s="120"/>
      <c r="H454" s="121"/>
      <c r="I454" s="121"/>
      <c r="J454" s="121"/>
      <c r="K454" s="120"/>
      <c r="L454" s="120"/>
      <c r="M454" s="122"/>
      <c r="N454" s="121"/>
      <c r="O454" s="121"/>
      <c r="P454" s="121"/>
      <c r="Q454" s="121"/>
      <c r="R454" s="120"/>
      <c r="S454" s="120"/>
      <c r="T454" s="120"/>
      <c r="U454" s="190"/>
      <c r="V454" s="190"/>
      <c r="W454" s="190"/>
      <c r="X454" s="190"/>
      <c r="Y454" s="190"/>
      <c r="Z454" s="190"/>
      <c r="AA454" s="120"/>
      <c r="AB454" s="120"/>
      <c r="AC454" s="120"/>
    </row>
    <row r="455" spans="1:29" ht="14.25" customHeight="1">
      <c r="A455" s="120"/>
      <c r="B455" s="120"/>
      <c r="C455" s="120"/>
      <c r="D455" s="121"/>
      <c r="E455" s="121"/>
      <c r="F455" s="120"/>
      <c r="G455" s="120"/>
      <c r="H455" s="121"/>
      <c r="I455" s="121"/>
      <c r="J455" s="121"/>
      <c r="K455" s="120"/>
      <c r="L455" s="120"/>
      <c r="M455" s="122"/>
      <c r="N455" s="121"/>
      <c r="O455" s="121"/>
      <c r="P455" s="121"/>
      <c r="Q455" s="121"/>
      <c r="R455" s="120"/>
      <c r="S455" s="120"/>
      <c r="T455" s="120"/>
      <c r="U455" s="190"/>
      <c r="V455" s="190"/>
      <c r="W455" s="190"/>
      <c r="X455" s="190"/>
      <c r="Y455" s="190"/>
      <c r="Z455" s="190"/>
      <c r="AA455" s="120"/>
      <c r="AB455" s="120"/>
      <c r="AC455" s="120"/>
    </row>
    <row r="456" spans="1:29" ht="14.25" customHeight="1">
      <c r="A456" s="120"/>
      <c r="B456" s="120"/>
      <c r="C456" s="120"/>
      <c r="D456" s="121"/>
      <c r="E456" s="121"/>
      <c r="F456" s="120"/>
      <c r="G456" s="120"/>
      <c r="H456" s="121"/>
      <c r="I456" s="121"/>
      <c r="J456" s="121"/>
      <c r="K456" s="120"/>
      <c r="L456" s="120"/>
      <c r="M456" s="122"/>
      <c r="N456" s="121"/>
      <c r="O456" s="121"/>
      <c r="P456" s="121"/>
      <c r="Q456" s="121"/>
      <c r="R456" s="120"/>
      <c r="S456" s="120"/>
      <c r="T456" s="120"/>
      <c r="U456" s="190"/>
      <c r="V456" s="190"/>
      <c r="W456" s="190"/>
      <c r="X456" s="190"/>
      <c r="Y456" s="190"/>
      <c r="Z456" s="190"/>
      <c r="AA456" s="120"/>
      <c r="AB456" s="120"/>
      <c r="AC456" s="120"/>
    </row>
    <row r="457" spans="1:29" ht="14.25" customHeight="1">
      <c r="A457" s="120"/>
      <c r="B457" s="120"/>
      <c r="C457" s="120"/>
      <c r="D457" s="121"/>
      <c r="E457" s="121"/>
      <c r="F457" s="120"/>
      <c r="G457" s="120"/>
      <c r="H457" s="121"/>
      <c r="I457" s="121"/>
      <c r="J457" s="121"/>
      <c r="K457" s="120"/>
      <c r="L457" s="120"/>
      <c r="M457" s="122"/>
      <c r="N457" s="121"/>
      <c r="O457" s="121"/>
      <c r="P457" s="121"/>
      <c r="Q457" s="121"/>
      <c r="R457" s="120"/>
      <c r="S457" s="120"/>
      <c r="T457" s="120"/>
      <c r="U457" s="190"/>
      <c r="V457" s="190"/>
      <c r="W457" s="190"/>
      <c r="X457" s="190"/>
      <c r="Y457" s="190"/>
      <c r="Z457" s="190"/>
      <c r="AA457" s="120"/>
      <c r="AB457" s="120"/>
      <c r="AC457" s="120"/>
    </row>
    <row r="458" spans="1:29" ht="14.25" customHeight="1">
      <c r="A458" s="120"/>
      <c r="B458" s="120"/>
      <c r="C458" s="120"/>
      <c r="D458" s="121"/>
      <c r="E458" s="121"/>
      <c r="F458" s="120"/>
      <c r="G458" s="120"/>
      <c r="H458" s="121"/>
      <c r="I458" s="121"/>
      <c r="J458" s="121"/>
      <c r="K458" s="120"/>
      <c r="L458" s="120"/>
      <c r="M458" s="122"/>
      <c r="N458" s="121"/>
      <c r="O458" s="121"/>
      <c r="P458" s="121"/>
      <c r="Q458" s="121"/>
      <c r="R458" s="120"/>
      <c r="S458" s="120"/>
      <c r="T458" s="120"/>
      <c r="U458" s="190"/>
      <c r="V458" s="190"/>
      <c r="W458" s="190"/>
      <c r="X458" s="190"/>
      <c r="Y458" s="190"/>
      <c r="Z458" s="190"/>
      <c r="AA458" s="120"/>
      <c r="AB458" s="120"/>
      <c r="AC458" s="120"/>
    </row>
    <row r="459" spans="1:29" ht="14.25" customHeight="1">
      <c r="A459" s="120"/>
      <c r="B459" s="120"/>
      <c r="C459" s="120"/>
      <c r="D459" s="121"/>
      <c r="E459" s="121"/>
      <c r="F459" s="120"/>
      <c r="G459" s="120"/>
      <c r="H459" s="121"/>
      <c r="I459" s="121"/>
      <c r="J459" s="121"/>
      <c r="K459" s="120"/>
      <c r="L459" s="120"/>
      <c r="M459" s="122"/>
      <c r="N459" s="121"/>
      <c r="O459" s="121"/>
      <c r="P459" s="121"/>
      <c r="Q459" s="121"/>
      <c r="R459" s="120"/>
      <c r="S459" s="120"/>
      <c r="T459" s="120"/>
      <c r="U459" s="190"/>
      <c r="V459" s="190"/>
      <c r="W459" s="190"/>
      <c r="X459" s="190"/>
      <c r="Y459" s="190"/>
      <c r="Z459" s="190"/>
      <c r="AA459" s="120"/>
      <c r="AB459" s="120"/>
      <c r="AC459" s="120"/>
    </row>
    <row r="460" spans="1:29" ht="14.25" customHeight="1">
      <c r="A460" s="120"/>
      <c r="B460" s="120"/>
      <c r="C460" s="120"/>
      <c r="D460" s="121"/>
      <c r="E460" s="121"/>
      <c r="F460" s="120"/>
      <c r="G460" s="120"/>
      <c r="H460" s="121"/>
      <c r="I460" s="121"/>
      <c r="J460" s="121"/>
      <c r="K460" s="120"/>
      <c r="L460" s="120"/>
      <c r="M460" s="122"/>
      <c r="N460" s="121"/>
      <c r="O460" s="121"/>
      <c r="P460" s="121"/>
      <c r="Q460" s="121"/>
      <c r="R460" s="120"/>
      <c r="S460" s="120"/>
      <c r="T460" s="120"/>
      <c r="U460" s="190"/>
      <c r="V460" s="190"/>
      <c r="W460" s="190"/>
      <c r="X460" s="190"/>
      <c r="Y460" s="190"/>
      <c r="Z460" s="190"/>
      <c r="AA460" s="120"/>
      <c r="AB460" s="120"/>
      <c r="AC460" s="120"/>
    </row>
    <row r="461" spans="1:29" ht="14.25" customHeight="1">
      <c r="A461" s="120"/>
      <c r="B461" s="120"/>
      <c r="C461" s="120"/>
      <c r="D461" s="121"/>
      <c r="E461" s="121"/>
      <c r="F461" s="120"/>
      <c r="G461" s="120"/>
      <c r="H461" s="121"/>
      <c r="I461" s="121"/>
      <c r="J461" s="121"/>
      <c r="K461" s="120"/>
      <c r="L461" s="120"/>
      <c r="M461" s="122"/>
      <c r="N461" s="121"/>
      <c r="O461" s="121"/>
      <c r="P461" s="121"/>
      <c r="Q461" s="121"/>
      <c r="R461" s="120"/>
      <c r="S461" s="120"/>
      <c r="T461" s="120"/>
      <c r="U461" s="190"/>
      <c r="V461" s="190"/>
      <c r="W461" s="190"/>
      <c r="X461" s="190"/>
      <c r="Y461" s="190"/>
      <c r="Z461" s="190"/>
      <c r="AA461" s="120"/>
      <c r="AB461" s="120"/>
      <c r="AC461" s="120"/>
    </row>
    <row r="462" spans="1:29" ht="14.25" customHeight="1">
      <c r="A462" s="120"/>
      <c r="B462" s="120"/>
      <c r="C462" s="120"/>
      <c r="D462" s="121"/>
      <c r="E462" s="121"/>
      <c r="F462" s="120"/>
      <c r="G462" s="120"/>
      <c r="H462" s="121"/>
      <c r="I462" s="121"/>
      <c r="J462" s="121"/>
      <c r="K462" s="120"/>
      <c r="L462" s="120"/>
      <c r="M462" s="122"/>
      <c r="N462" s="121"/>
      <c r="O462" s="121"/>
      <c r="P462" s="121"/>
      <c r="Q462" s="121"/>
      <c r="R462" s="120"/>
      <c r="S462" s="120"/>
      <c r="T462" s="120"/>
      <c r="U462" s="190"/>
      <c r="V462" s="190"/>
      <c r="W462" s="190"/>
      <c r="X462" s="190"/>
      <c r="Y462" s="190"/>
      <c r="Z462" s="190"/>
      <c r="AA462" s="120"/>
      <c r="AB462" s="120"/>
      <c r="AC462" s="120"/>
    </row>
    <row r="463" spans="1:29" ht="14.25" customHeight="1">
      <c r="A463" s="120"/>
      <c r="B463" s="120"/>
      <c r="C463" s="120"/>
      <c r="D463" s="121"/>
      <c r="E463" s="121"/>
      <c r="F463" s="120"/>
      <c r="G463" s="120"/>
      <c r="H463" s="121"/>
      <c r="I463" s="121"/>
      <c r="J463" s="121"/>
      <c r="K463" s="120"/>
      <c r="L463" s="120"/>
      <c r="M463" s="122"/>
      <c r="N463" s="121"/>
      <c r="O463" s="121"/>
      <c r="P463" s="121"/>
      <c r="Q463" s="121"/>
      <c r="R463" s="120"/>
      <c r="S463" s="120"/>
      <c r="T463" s="120"/>
      <c r="U463" s="190"/>
      <c r="V463" s="190"/>
      <c r="W463" s="190"/>
      <c r="X463" s="190"/>
      <c r="Y463" s="190"/>
      <c r="Z463" s="190"/>
      <c r="AA463" s="120"/>
      <c r="AB463" s="120"/>
      <c r="AC463" s="120"/>
    </row>
    <row r="464" spans="1:29" ht="14.25" customHeight="1">
      <c r="A464" s="120"/>
      <c r="B464" s="120"/>
      <c r="C464" s="120"/>
      <c r="D464" s="121"/>
      <c r="E464" s="121"/>
      <c r="F464" s="120"/>
      <c r="G464" s="120"/>
      <c r="H464" s="121"/>
      <c r="I464" s="121"/>
      <c r="J464" s="121"/>
      <c r="K464" s="120"/>
      <c r="L464" s="120"/>
      <c r="M464" s="122"/>
      <c r="N464" s="121"/>
      <c r="O464" s="121"/>
      <c r="P464" s="121"/>
      <c r="Q464" s="121"/>
      <c r="R464" s="120"/>
      <c r="S464" s="120"/>
      <c r="T464" s="120"/>
      <c r="U464" s="190"/>
      <c r="V464" s="190"/>
      <c r="W464" s="190"/>
      <c r="X464" s="190"/>
      <c r="Y464" s="190"/>
      <c r="Z464" s="190"/>
      <c r="AA464" s="120"/>
      <c r="AB464" s="120"/>
      <c r="AC464" s="120"/>
    </row>
    <row r="465" spans="1:29" ht="14.25" customHeight="1">
      <c r="A465" s="120"/>
      <c r="B465" s="120"/>
      <c r="C465" s="120"/>
      <c r="D465" s="121"/>
      <c r="E465" s="121"/>
      <c r="F465" s="120"/>
      <c r="G465" s="120"/>
      <c r="H465" s="121"/>
      <c r="I465" s="121"/>
      <c r="J465" s="121"/>
      <c r="K465" s="120"/>
      <c r="L465" s="120"/>
      <c r="M465" s="122"/>
      <c r="N465" s="121"/>
      <c r="O465" s="121"/>
      <c r="P465" s="121"/>
      <c r="Q465" s="121"/>
      <c r="R465" s="120"/>
      <c r="S465" s="120"/>
      <c r="T465" s="120"/>
      <c r="U465" s="190"/>
      <c r="V465" s="190"/>
      <c r="W465" s="190"/>
      <c r="X465" s="190"/>
      <c r="Y465" s="190"/>
      <c r="Z465" s="190"/>
      <c r="AA465" s="120"/>
      <c r="AB465" s="120"/>
      <c r="AC465" s="120"/>
    </row>
    <row r="466" spans="1:29" ht="14.25" customHeight="1">
      <c r="A466" s="120"/>
      <c r="B466" s="120"/>
      <c r="C466" s="120"/>
      <c r="D466" s="121"/>
      <c r="E466" s="121"/>
      <c r="F466" s="120"/>
      <c r="G466" s="120"/>
      <c r="H466" s="121"/>
      <c r="I466" s="121"/>
      <c r="J466" s="121"/>
      <c r="K466" s="120"/>
      <c r="L466" s="120"/>
      <c r="M466" s="122"/>
      <c r="N466" s="121"/>
      <c r="O466" s="121"/>
      <c r="P466" s="121"/>
      <c r="Q466" s="121"/>
      <c r="R466" s="120"/>
      <c r="S466" s="120"/>
      <c r="T466" s="120"/>
      <c r="U466" s="190"/>
      <c r="V466" s="190"/>
      <c r="W466" s="190"/>
      <c r="X466" s="190"/>
      <c r="Y466" s="190"/>
      <c r="Z466" s="190"/>
      <c r="AA466" s="120"/>
      <c r="AB466" s="120"/>
      <c r="AC466" s="120"/>
    </row>
    <row r="467" spans="1:29" ht="14.25" customHeight="1">
      <c r="A467" s="120"/>
      <c r="B467" s="120"/>
      <c r="C467" s="120"/>
      <c r="D467" s="121"/>
      <c r="E467" s="121"/>
      <c r="F467" s="120"/>
      <c r="G467" s="120"/>
      <c r="H467" s="121"/>
      <c r="I467" s="121"/>
      <c r="J467" s="121"/>
      <c r="K467" s="120"/>
      <c r="L467" s="120"/>
      <c r="M467" s="122"/>
      <c r="N467" s="121"/>
      <c r="O467" s="121"/>
      <c r="P467" s="121"/>
      <c r="Q467" s="121"/>
      <c r="R467" s="120"/>
      <c r="S467" s="120"/>
      <c r="T467" s="120"/>
      <c r="U467" s="190"/>
      <c r="V467" s="190"/>
      <c r="W467" s="190"/>
      <c r="X467" s="190"/>
      <c r="Y467" s="190"/>
      <c r="Z467" s="190"/>
      <c r="AA467" s="120"/>
      <c r="AB467" s="120"/>
      <c r="AC467" s="120"/>
    </row>
    <row r="468" spans="1:29" ht="14.25" customHeight="1">
      <c r="A468" s="120"/>
      <c r="B468" s="120"/>
      <c r="C468" s="120"/>
      <c r="D468" s="121"/>
      <c r="E468" s="121"/>
      <c r="F468" s="120"/>
      <c r="G468" s="120"/>
      <c r="H468" s="121"/>
      <c r="I468" s="121"/>
      <c r="J468" s="121"/>
      <c r="K468" s="120"/>
      <c r="L468" s="120"/>
      <c r="M468" s="122"/>
      <c r="N468" s="121"/>
      <c r="O468" s="121"/>
      <c r="P468" s="121"/>
      <c r="Q468" s="121"/>
      <c r="R468" s="120"/>
      <c r="S468" s="120"/>
      <c r="T468" s="120"/>
      <c r="U468" s="190"/>
      <c r="V468" s="190"/>
      <c r="W468" s="190"/>
      <c r="X468" s="190"/>
      <c r="Y468" s="190"/>
      <c r="Z468" s="190"/>
      <c r="AA468" s="120"/>
      <c r="AB468" s="120"/>
      <c r="AC468" s="120"/>
    </row>
    <row r="469" spans="1:29" ht="14.25" customHeight="1">
      <c r="A469" s="120"/>
      <c r="B469" s="120"/>
      <c r="C469" s="120"/>
      <c r="D469" s="121"/>
      <c r="E469" s="121"/>
      <c r="F469" s="120"/>
      <c r="G469" s="120"/>
      <c r="H469" s="121"/>
      <c r="I469" s="121"/>
      <c r="J469" s="121"/>
      <c r="K469" s="120"/>
      <c r="L469" s="120"/>
      <c r="M469" s="122"/>
      <c r="N469" s="121"/>
      <c r="O469" s="121"/>
      <c r="P469" s="121"/>
      <c r="Q469" s="121"/>
      <c r="R469" s="120"/>
      <c r="S469" s="120"/>
      <c r="T469" s="120"/>
      <c r="U469" s="190"/>
      <c r="V469" s="190"/>
      <c r="W469" s="190"/>
      <c r="X469" s="190"/>
      <c r="Y469" s="190"/>
      <c r="Z469" s="190"/>
      <c r="AA469" s="120"/>
      <c r="AB469" s="120"/>
      <c r="AC469" s="120"/>
    </row>
    <row r="470" spans="1:29" ht="14.25" customHeight="1">
      <c r="A470" s="120"/>
      <c r="B470" s="120"/>
      <c r="C470" s="120"/>
      <c r="D470" s="121"/>
      <c r="E470" s="121"/>
      <c r="F470" s="120"/>
      <c r="G470" s="120"/>
      <c r="H470" s="121"/>
      <c r="I470" s="121"/>
      <c r="J470" s="121"/>
      <c r="K470" s="120"/>
      <c r="L470" s="120"/>
      <c r="M470" s="122"/>
      <c r="N470" s="121"/>
      <c r="O470" s="121"/>
      <c r="P470" s="121"/>
      <c r="Q470" s="121"/>
      <c r="R470" s="120"/>
      <c r="S470" s="120"/>
      <c r="T470" s="120"/>
      <c r="U470" s="190"/>
      <c r="V470" s="190"/>
      <c r="W470" s="190"/>
      <c r="X470" s="190"/>
      <c r="Y470" s="190"/>
      <c r="Z470" s="190"/>
      <c r="AA470" s="120"/>
      <c r="AB470" s="120"/>
      <c r="AC470" s="120"/>
    </row>
    <row r="471" spans="1:29" ht="14.25" customHeight="1">
      <c r="A471" s="120"/>
      <c r="B471" s="120"/>
      <c r="C471" s="120"/>
      <c r="D471" s="121"/>
      <c r="E471" s="121"/>
      <c r="F471" s="120"/>
      <c r="G471" s="120"/>
      <c r="H471" s="121"/>
      <c r="I471" s="121"/>
      <c r="J471" s="121"/>
      <c r="K471" s="120"/>
      <c r="L471" s="120"/>
      <c r="M471" s="122"/>
      <c r="N471" s="121"/>
      <c r="O471" s="121"/>
      <c r="P471" s="121"/>
      <c r="Q471" s="121"/>
      <c r="R471" s="120"/>
      <c r="S471" s="120"/>
      <c r="T471" s="120"/>
      <c r="U471" s="190"/>
      <c r="V471" s="190"/>
      <c r="W471" s="190"/>
      <c r="X471" s="190"/>
      <c r="Y471" s="190"/>
      <c r="Z471" s="190"/>
      <c r="AA471" s="120"/>
      <c r="AB471" s="120"/>
      <c r="AC471" s="120"/>
    </row>
    <row r="472" spans="1:29" ht="14.25" customHeight="1">
      <c r="A472" s="120"/>
      <c r="B472" s="120"/>
      <c r="C472" s="120"/>
      <c r="D472" s="121"/>
      <c r="E472" s="121"/>
      <c r="F472" s="120"/>
      <c r="G472" s="120"/>
      <c r="H472" s="121"/>
      <c r="I472" s="121"/>
      <c r="J472" s="121"/>
      <c r="K472" s="120"/>
      <c r="L472" s="120"/>
      <c r="M472" s="122"/>
      <c r="N472" s="121"/>
      <c r="O472" s="121"/>
      <c r="P472" s="121"/>
      <c r="Q472" s="121"/>
      <c r="R472" s="120"/>
      <c r="S472" s="120"/>
      <c r="T472" s="120"/>
      <c r="U472" s="190"/>
      <c r="V472" s="190"/>
      <c r="W472" s="190"/>
      <c r="X472" s="190"/>
      <c r="Y472" s="190"/>
      <c r="Z472" s="190"/>
      <c r="AA472" s="120"/>
      <c r="AB472" s="120"/>
      <c r="AC472" s="120"/>
    </row>
    <row r="473" spans="1:29" ht="14.25" customHeight="1">
      <c r="A473" s="120"/>
      <c r="B473" s="120"/>
      <c r="C473" s="120"/>
      <c r="D473" s="121"/>
      <c r="E473" s="121"/>
      <c r="F473" s="120"/>
      <c r="G473" s="120"/>
      <c r="H473" s="121"/>
      <c r="I473" s="121"/>
      <c r="J473" s="121"/>
      <c r="K473" s="120"/>
      <c r="L473" s="120"/>
      <c r="M473" s="122"/>
      <c r="N473" s="121"/>
      <c r="O473" s="121"/>
      <c r="P473" s="121"/>
      <c r="Q473" s="121"/>
      <c r="R473" s="120"/>
      <c r="S473" s="120"/>
      <c r="T473" s="120"/>
      <c r="U473" s="190"/>
      <c r="V473" s="190"/>
      <c r="W473" s="190"/>
      <c r="X473" s="190"/>
      <c r="Y473" s="190"/>
      <c r="Z473" s="190"/>
      <c r="AA473" s="120"/>
      <c r="AB473" s="120"/>
      <c r="AC473" s="120"/>
    </row>
    <row r="474" spans="1:29" ht="14.25" customHeight="1">
      <c r="A474" s="120"/>
      <c r="B474" s="120"/>
      <c r="C474" s="120"/>
      <c r="D474" s="121"/>
      <c r="E474" s="121"/>
      <c r="F474" s="120"/>
      <c r="G474" s="120"/>
      <c r="H474" s="121"/>
      <c r="I474" s="121"/>
      <c r="J474" s="121"/>
      <c r="K474" s="120"/>
      <c r="L474" s="120"/>
      <c r="M474" s="122"/>
      <c r="N474" s="121"/>
      <c r="O474" s="121"/>
      <c r="P474" s="121"/>
      <c r="Q474" s="121"/>
      <c r="R474" s="120"/>
      <c r="S474" s="120"/>
      <c r="T474" s="120"/>
      <c r="U474" s="190"/>
      <c r="V474" s="190"/>
      <c r="W474" s="190"/>
      <c r="X474" s="190"/>
      <c r="Y474" s="190"/>
      <c r="Z474" s="190"/>
      <c r="AA474" s="120"/>
      <c r="AB474" s="120"/>
      <c r="AC474" s="120"/>
    </row>
    <row r="475" spans="1:29" ht="14.25" customHeight="1">
      <c r="A475" s="120"/>
      <c r="B475" s="120"/>
      <c r="C475" s="120"/>
      <c r="D475" s="121"/>
      <c r="E475" s="121"/>
      <c r="F475" s="120"/>
      <c r="G475" s="120"/>
      <c r="H475" s="121"/>
      <c r="I475" s="121"/>
      <c r="J475" s="121"/>
      <c r="K475" s="120"/>
      <c r="L475" s="120"/>
      <c r="M475" s="122"/>
      <c r="N475" s="121"/>
      <c r="O475" s="121"/>
      <c r="P475" s="121"/>
      <c r="Q475" s="121"/>
      <c r="R475" s="120"/>
      <c r="S475" s="120"/>
      <c r="T475" s="120"/>
      <c r="U475" s="190"/>
      <c r="V475" s="190"/>
      <c r="W475" s="190"/>
      <c r="X475" s="190"/>
      <c r="Y475" s="190"/>
      <c r="Z475" s="190"/>
      <c r="AA475" s="120"/>
      <c r="AB475" s="120"/>
      <c r="AC475" s="120"/>
    </row>
    <row r="476" spans="1:29" ht="14.25" customHeight="1">
      <c r="A476" s="120"/>
      <c r="B476" s="120"/>
      <c r="C476" s="120"/>
      <c r="D476" s="121"/>
      <c r="E476" s="121"/>
      <c r="F476" s="120"/>
      <c r="G476" s="120"/>
      <c r="H476" s="121"/>
      <c r="I476" s="121"/>
      <c r="J476" s="121"/>
      <c r="K476" s="120"/>
      <c r="L476" s="120"/>
      <c r="M476" s="122"/>
      <c r="N476" s="121"/>
      <c r="O476" s="121"/>
      <c r="P476" s="121"/>
      <c r="Q476" s="121"/>
      <c r="R476" s="120"/>
      <c r="S476" s="120"/>
      <c r="T476" s="120"/>
      <c r="U476" s="190"/>
      <c r="V476" s="190"/>
      <c r="W476" s="190"/>
      <c r="X476" s="190"/>
      <c r="Y476" s="190"/>
      <c r="Z476" s="190"/>
      <c r="AA476" s="120"/>
      <c r="AB476" s="120"/>
      <c r="AC476" s="120"/>
    </row>
    <row r="477" spans="1:29" ht="14.25" customHeight="1">
      <c r="A477" s="120"/>
      <c r="B477" s="120"/>
      <c r="C477" s="120"/>
      <c r="D477" s="121"/>
      <c r="E477" s="121"/>
      <c r="F477" s="120"/>
      <c r="G477" s="120"/>
      <c r="H477" s="121"/>
      <c r="I477" s="121"/>
      <c r="J477" s="121"/>
      <c r="K477" s="120"/>
      <c r="L477" s="120"/>
      <c r="M477" s="122"/>
      <c r="N477" s="121"/>
      <c r="O477" s="121"/>
      <c r="P477" s="121"/>
      <c r="Q477" s="121"/>
      <c r="R477" s="120"/>
      <c r="S477" s="120"/>
      <c r="T477" s="120"/>
      <c r="U477" s="190"/>
      <c r="V477" s="190"/>
      <c r="W477" s="190"/>
      <c r="X477" s="190"/>
      <c r="Y477" s="190"/>
      <c r="Z477" s="190"/>
      <c r="AA477" s="120"/>
      <c r="AB477" s="120"/>
      <c r="AC477" s="120"/>
    </row>
    <row r="478" spans="1:29" ht="14.25" customHeight="1">
      <c r="A478" s="120"/>
      <c r="B478" s="120"/>
      <c r="C478" s="120"/>
      <c r="D478" s="121"/>
      <c r="E478" s="121"/>
      <c r="F478" s="120"/>
      <c r="G478" s="120"/>
      <c r="H478" s="121"/>
      <c r="I478" s="121"/>
      <c r="J478" s="121"/>
      <c r="K478" s="120"/>
      <c r="L478" s="120"/>
      <c r="M478" s="122"/>
      <c r="N478" s="121"/>
      <c r="O478" s="121"/>
      <c r="P478" s="121"/>
      <c r="Q478" s="121"/>
      <c r="R478" s="120"/>
      <c r="S478" s="120"/>
      <c r="T478" s="120"/>
      <c r="U478" s="190"/>
      <c r="V478" s="190"/>
      <c r="W478" s="190"/>
      <c r="X478" s="190"/>
      <c r="Y478" s="190"/>
      <c r="Z478" s="190"/>
      <c r="AA478" s="120"/>
      <c r="AB478" s="120"/>
      <c r="AC478" s="120"/>
    </row>
    <row r="479" spans="1:29" ht="14.25" customHeight="1">
      <c r="A479" s="120"/>
      <c r="B479" s="120"/>
      <c r="C479" s="120"/>
      <c r="D479" s="121"/>
      <c r="E479" s="121"/>
      <c r="F479" s="120"/>
      <c r="G479" s="120"/>
      <c r="H479" s="121"/>
      <c r="I479" s="121"/>
      <c r="J479" s="121"/>
      <c r="K479" s="120"/>
      <c r="L479" s="120"/>
      <c r="M479" s="122"/>
      <c r="N479" s="121"/>
      <c r="O479" s="121"/>
      <c r="P479" s="121"/>
      <c r="Q479" s="121"/>
      <c r="R479" s="120"/>
      <c r="S479" s="120"/>
      <c r="T479" s="120"/>
      <c r="U479" s="190"/>
      <c r="V479" s="190"/>
      <c r="W479" s="190"/>
      <c r="X479" s="190"/>
      <c r="Y479" s="190"/>
      <c r="Z479" s="190"/>
      <c r="AA479" s="120"/>
      <c r="AB479" s="120"/>
      <c r="AC479" s="120"/>
    </row>
    <row r="480" spans="1:29" ht="14.25" customHeight="1">
      <c r="A480" s="120"/>
      <c r="B480" s="120"/>
      <c r="C480" s="120"/>
      <c r="D480" s="121"/>
      <c r="E480" s="121"/>
      <c r="F480" s="120"/>
      <c r="G480" s="120"/>
      <c r="H480" s="121"/>
      <c r="I480" s="121"/>
      <c r="J480" s="121"/>
      <c r="K480" s="120"/>
      <c r="L480" s="120"/>
      <c r="M480" s="122"/>
      <c r="N480" s="121"/>
      <c r="O480" s="121"/>
      <c r="P480" s="121"/>
      <c r="Q480" s="121"/>
      <c r="R480" s="120"/>
      <c r="S480" s="120"/>
      <c r="T480" s="120"/>
      <c r="U480" s="190"/>
      <c r="V480" s="190"/>
      <c r="W480" s="190"/>
      <c r="X480" s="190"/>
      <c r="Y480" s="190"/>
      <c r="Z480" s="190"/>
      <c r="AA480" s="120"/>
      <c r="AB480" s="120"/>
      <c r="AC480" s="120"/>
    </row>
    <row r="481" spans="1:29" ht="14.25" customHeight="1">
      <c r="A481" s="120"/>
      <c r="B481" s="120"/>
      <c r="C481" s="120"/>
      <c r="D481" s="121"/>
      <c r="E481" s="121"/>
      <c r="F481" s="120"/>
      <c r="G481" s="120"/>
      <c r="H481" s="121"/>
      <c r="I481" s="121"/>
      <c r="J481" s="121"/>
      <c r="K481" s="120"/>
      <c r="L481" s="120"/>
      <c r="M481" s="122"/>
      <c r="N481" s="121"/>
      <c r="O481" s="121"/>
      <c r="P481" s="121"/>
      <c r="Q481" s="121"/>
      <c r="R481" s="120"/>
      <c r="S481" s="120"/>
      <c r="T481" s="120"/>
      <c r="U481" s="190"/>
      <c r="V481" s="190"/>
      <c r="W481" s="190"/>
      <c r="X481" s="190"/>
      <c r="Y481" s="190"/>
      <c r="Z481" s="190"/>
      <c r="AA481" s="120"/>
      <c r="AB481" s="120"/>
      <c r="AC481" s="120"/>
    </row>
    <row r="482" spans="1:29" ht="14.25" customHeight="1">
      <c r="A482" s="120"/>
      <c r="B482" s="120"/>
      <c r="C482" s="120"/>
      <c r="D482" s="121"/>
      <c r="E482" s="121"/>
      <c r="F482" s="120"/>
      <c r="G482" s="120"/>
      <c r="H482" s="121"/>
      <c r="I482" s="121"/>
      <c r="J482" s="121"/>
      <c r="K482" s="120"/>
      <c r="L482" s="120"/>
      <c r="M482" s="122"/>
      <c r="N482" s="121"/>
      <c r="O482" s="121"/>
      <c r="P482" s="121"/>
      <c r="Q482" s="121"/>
      <c r="R482" s="120"/>
      <c r="S482" s="120"/>
      <c r="T482" s="120"/>
      <c r="U482" s="190"/>
      <c r="V482" s="190"/>
      <c r="W482" s="190"/>
      <c r="X482" s="190"/>
      <c r="Y482" s="190"/>
      <c r="Z482" s="190"/>
      <c r="AA482" s="120"/>
      <c r="AB482" s="120"/>
      <c r="AC482" s="120"/>
    </row>
    <row r="483" spans="1:29" ht="14.25" customHeight="1">
      <c r="A483" s="120"/>
      <c r="B483" s="120"/>
      <c r="C483" s="120"/>
      <c r="D483" s="121"/>
      <c r="E483" s="121"/>
      <c r="F483" s="120"/>
      <c r="G483" s="120"/>
      <c r="H483" s="121"/>
      <c r="I483" s="121"/>
      <c r="J483" s="121"/>
      <c r="K483" s="120"/>
      <c r="L483" s="120"/>
      <c r="M483" s="122"/>
      <c r="N483" s="121"/>
      <c r="O483" s="121"/>
      <c r="P483" s="121"/>
      <c r="Q483" s="121"/>
      <c r="R483" s="120"/>
      <c r="S483" s="120"/>
      <c r="T483" s="120"/>
      <c r="U483" s="190"/>
      <c r="V483" s="190"/>
      <c r="W483" s="190"/>
      <c r="X483" s="190"/>
      <c r="Y483" s="190"/>
      <c r="Z483" s="190"/>
      <c r="AA483" s="120"/>
      <c r="AB483" s="120"/>
      <c r="AC483" s="120"/>
    </row>
    <row r="484" spans="1:29" ht="14.25" customHeight="1">
      <c r="A484" s="120"/>
      <c r="B484" s="120"/>
      <c r="C484" s="120"/>
      <c r="D484" s="121"/>
      <c r="E484" s="121"/>
      <c r="F484" s="120"/>
      <c r="G484" s="120"/>
      <c r="H484" s="121"/>
      <c r="I484" s="121"/>
      <c r="J484" s="121"/>
      <c r="K484" s="120"/>
      <c r="L484" s="120"/>
      <c r="M484" s="122"/>
      <c r="N484" s="121"/>
      <c r="O484" s="121"/>
      <c r="P484" s="121"/>
      <c r="Q484" s="121"/>
      <c r="R484" s="120"/>
      <c r="S484" s="120"/>
      <c r="T484" s="120"/>
      <c r="U484" s="190"/>
      <c r="V484" s="190"/>
      <c r="W484" s="190"/>
      <c r="X484" s="190"/>
      <c r="Y484" s="190"/>
      <c r="Z484" s="190"/>
      <c r="AA484" s="120"/>
      <c r="AB484" s="120"/>
      <c r="AC484" s="120"/>
    </row>
    <row r="485" spans="1:29" ht="14.25" customHeight="1">
      <c r="A485" s="120"/>
      <c r="B485" s="120"/>
      <c r="C485" s="120"/>
      <c r="D485" s="121"/>
      <c r="E485" s="121"/>
      <c r="F485" s="120"/>
      <c r="G485" s="120"/>
      <c r="H485" s="121"/>
      <c r="I485" s="121"/>
      <c r="J485" s="121"/>
      <c r="K485" s="120"/>
      <c r="L485" s="120"/>
      <c r="M485" s="122"/>
      <c r="N485" s="121"/>
      <c r="O485" s="121"/>
      <c r="P485" s="121"/>
      <c r="Q485" s="121"/>
      <c r="R485" s="120"/>
      <c r="S485" s="120"/>
      <c r="T485" s="120"/>
      <c r="U485" s="190"/>
      <c r="V485" s="190"/>
      <c r="W485" s="190"/>
      <c r="X485" s="190"/>
      <c r="Y485" s="190"/>
      <c r="Z485" s="190"/>
      <c r="AA485" s="120"/>
      <c r="AB485" s="120"/>
      <c r="AC485" s="120"/>
    </row>
    <row r="486" spans="1:29" ht="14.25" customHeight="1">
      <c r="A486" s="120"/>
      <c r="B486" s="120"/>
      <c r="C486" s="120"/>
      <c r="D486" s="121"/>
      <c r="E486" s="121"/>
      <c r="F486" s="120"/>
      <c r="G486" s="120"/>
      <c r="H486" s="121"/>
      <c r="I486" s="121"/>
      <c r="J486" s="121"/>
      <c r="K486" s="120"/>
      <c r="L486" s="120"/>
      <c r="M486" s="122"/>
      <c r="N486" s="121"/>
      <c r="O486" s="121"/>
      <c r="P486" s="121"/>
      <c r="Q486" s="121"/>
      <c r="R486" s="120"/>
      <c r="S486" s="120"/>
      <c r="T486" s="120"/>
      <c r="U486" s="190"/>
      <c r="V486" s="190"/>
      <c r="W486" s="190"/>
      <c r="X486" s="190"/>
      <c r="Y486" s="190"/>
      <c r="Z486" s="190"/>
      <c r="AA486" s="120"/>
      <c r="AB486" s="120"/>
      <c r="AC486" s="120"/>
    </row>
    <row r="487" spans="1:29" ht="14.25" customHeight="1">
      <c r="A487" s="120"/>
      <c r="B487" s="120"/>
      <c r="C487" s="120"/>
      <c r="D487" s="121"/>
      <c r="E487" s="121"/>
      <c r="F487" s="120"/>
      <c r="G487" s="120"/>
      <c r="H487" s="121"/>
      <c r="I487" s="121"/>
      <c r="J487" s="121"/>
      <c r="K487" s="120"/>
      <c r="L487" s="120"/>
      <c r="M487" s="122"/>
      <c r="N487" s="121"/>
      <c r="O487" s="121"/>
      <c r="P487" s="121"/>
      <c r="Q487" s="121"/>
      <c r="R487" s="120"/>
      <c r="S487" s="120"/>
      <c r="T487" s="120"/>
      <c r="U487" s="190"/>
      <c r="V487" s="190"/>
      <c r="W487" s="190"/>
      <c r="X487" s="190"/>
      <c r="Y487" s="190"/>
      <c r="Z487" s="190"/>
      <c r="AA487" s="120"/>
      <c r="AB487" s="120"/>
      <c r="AC487" s="120"/>
    </row>
    <row r="488" spans="1:29" ht="14.25" customHeight="1">
      <c r="A488" s="120"/>
      <c r="B488" s="120"/>
      <c r="C488" s="120"/>
      <c r="D488" s="121"/>
      <c r="E488" s="121"/>
      <c r="F488" s="120"/>
      <c r="G488" s="120"/>
      <c r="H488" s="121"/>
      <c r="I488" s="121"/>
      <c r="J488" s="121"/>
      <c r="K488" s="120"/>
      <c r="L488" s="120"/>
      <c r="M488" s="122"/>
      <c r="N488" s="121"/>
      <c r="O488" s="121"/>
      <c r="P488" s="121"/>
      <c r="Q488" s="121"/>
      <c r="R488" s="120"/>
      <c r="S488" s="120"/>
      <c r="T488" s="120"/>
      <c r="U488" s="190"/>
      <c r="V488" s="190"/>
      <c r="W488" s="190"/>
      <c r="X488" s="190"/>
      <c r="Y488" s="190"/>
      <c r="Z488" s="190"/>
      <c r="AA488" s="120"/>
      <c r="AB488" s="120"/>
      <c r="AC488" s="120"/>
    </row>
    <row r="489" spans="1:29" ht="14.25" customHeight="1">
      <c r="A489" s="120"/>
      <c r="B489" s="120"/>
      <c r="C489" s="120"/>
      <c r="D489" s="121"/>
      <c r="E489" s="121"/>
      <c r="F489" s="120"/>
      <c r="G489" s="120"/>
      <c r="H489" s="121"/>
      <c r="I489" s="121"/>
      <c r="J489" s="121"/>
      <c r="K489" s="120"/>
      <c r="L489" s="120"/>
      <c r="M489" s="122"/>
      <c r="N489" s="121"/>
      <c r="O489" s="121"/>
      <c r="P489" s="121"/>
      <c r="Q489" s="121"/>
      <c r="R489" s="120"/>
      <c r="S489" s="120"/>
      <c r="T489" s="120"/>
      <c r="U489" s="190"/>
      <c r="V489" s="190"/>
      <c r="W489" s="190"/>
      <c r="X489" s="190"/>
      <c r="Y489" s="190"/>
      <c r="Z489" s="190"/>
      <c r="AA489" s="120"/>
      <c r="AB489" s="120"/>
      <c r="AC489" s="120"/>
    </row>
    <row r="490" spans="1:29" ht="14.25" customHeight="1">
      <c r="A490" s="120"/>
      <c r="B490" s="120"/>
      <c r="C490" s="120"/>
      <c r="D490" s="121"/>
      <c r="E490" s="121"/>
      <c r="F490" s="120"/>
      <c r="G490" s="120"/>
      <c r="H490" s="121"/>
      <c r="I490" s="121"/>
      <c r="J490" s="121"/>
      <c r="K490" s="120"/>
      <c r="L490" s="120"/>
      <c r="M490" s="122"/>
      <c r="N490" s="121"/>
      <c r="O490" s="121"/>
      <c r="P490" s="121"/>
      <c r="Q490" s="121"/>
      <c r="R490" s="120"/>
      <c r="S490" s="120"/>
      <c r="T490" s="120"/>
      <c r="U490" s="190"/>
      <c r="V490" s="190"/>
      <c r="W490" s="190"/>
      <c r="X490" s="190"/>
      <c r="Y490" s="190"/>
      <c r="Z490" s="190"/>
      <c r="AA490" s="120"/>
      <c r="AB490" s="120"/>
      <c r="AC490" s="120"/>
    </row>
    <row r="491" spans="1:29" ht="14.25" customHeight="1">
      <c r="A491" s="120"/>
      <c r="B491" s="120"/>
      <c r="C491" s="120"/>
      <c r="D491" s="121"/>
      <c r="E491" s="121"/>
      <c r="F491" s="120"/>
      <c r="G491" s="120"/>
      <c r="H491" s="121"/>
      <c r="I491" s="121"/>
      <c r="J491" s="121"/>
      <c r="K491" s="120"/>
      <c r="L491" s="120"/>
      <c r="M491" s="122"/>
      <c r="N491" s="121"/>
      <c r="O491" s="121"/>
      <c r="P491" s="121"/>
      <c r="Q491" s="121"/>
      <c r="R491" s="120"/>
      <c r="S491" s="120"/>
      <c r="T491" s="120"/>
      <c r="U491" s="190"/>
      <c r="V491" s="190"/>
      <c r="W491" s="190"/>
      <c r="X491" s="190"/>
      <c r="Y491" s="190"/>
      <c r="Z491" s="190"/>
      <c r="AA491" s="120"/>
      <c r="AB491" s="120"/>
      <c r="AC491" s="120"/>
    </row>
    <row r="492" spans="1:29" ht="14.25" customHeight="1">
      <c r="A492" s="120"/>
      <c r="B492" s="120"/>
      <c r="C492" s="120"/>
      <c r="D492" s="121"/>
      <c r="E492" s="121"/>
      <c r="F492" s="120"/>
      <c r="G492" s="120"/>
      <c r="H492" s="121"/>
      <c r="I492" s="121"/>
      <c r="J492" s="121"/>
      <c r="K492" s="120"/>
      <c r="L492" s="120"/>
      <c r="M492" s="122"/>
      <c r="N492" s="121"/>
      <c r="O492" s="121"/>
      <c r="P492" s="121"/>
      <c r="Q492" s="121"/>
      <c r="R492" s="120"/>
      <c r="S492" s="120"/>
      <c r="T492" s="120"/>
      <c r="U492" s="190"/>
      <c r="V492" s="190"/>
      <c r="W492" s="190"/>
      <c r="X492" s="190"/>
      <c r="Y492" s="190"/>
      <c r="Z492" s="190"/>
      <c r="AA492" s="120"/>
      <c r="AB492" s="120"/>
      <c r="AC492" s="120"/>
    </row>
    <row r="493" spans="1:29" ht="14.25" customHeight="1">
      <c r="A493" s="120"/>
      <c r="B493" s="120"/>
      <c r="C493" s="120"/>
      <c r="D493" s="121"/>
      <c r="E493" s="121"/>
      <c r="F493" s="120"/>
      <c r="G493" s="120"/>
      <c r="H493" s="121"/>
      <c r="I493" s="121"/>
      <c r="J493" s="121"/>
      <c r="K493" s="120"/>
      <c r="L493" s="120"/>
      <c r="M493" s="122"/>
      <c r="N493" s="121"/>
      <c r="O493" s="121"/>
      <c r="P493" s="121"/>
      <c r="Q493" s="121"/>
      <c r="R493" s="120"/>
      <c r="S493" s="120"/>
      <c r="T493" s="120"/>
      <c r="U493" s="190"/>
      <c r="V493" s="190"/>
      <c r="W493" s="190"/>
      <c r="X493" s="190"/>
      <c r="Y493" s="190"/>
      <c r="Z493" s="190"/>
      <c r="AA493" s="120"/>
      <c r="AB493" s="120"/>
      <c r="AC493" s="120"/>
    </row>
    <row r="494" spans="1:29" ht="14.25" customHeight="1">
      <c r="A494" s="120"/>
      <c r="B494" s="120"/>
      <c r="C494" s="120"/>
      <c r="D494" s="121"/>
      <c r="E494" s="121"/>
      <c r="F494" s="120"/>
      <c r="G494" s="120"/>
      <c r="H494" s="121"/>
      <c r="I494" s="121"/>
      <c r="J494" s="121"/>
      <c r="K494" s="120"/>
      <c r="L494" s="120"/>
      <c r="M494" s="122"/>
      <c r="N494" s="121"/>
      <c r="O494" s="121"/>
      <c r="P494" s="121"/>
      <c r="Q494" s="121"/>
      <c r="R494" s="120"/>
      <c r="S494" s="120"/>
      <c r="T494" s="120"/>
      <c r="U494" s="190"/>
      <c r="V494" s="190"/>
      <c r="W494" s="190"/>
      <c r="X494" s="190"/>
      <c r="Y494" s="190"/>
      <c r="Z494" s="190"/>
      <c r="AA494" s="120"/>
      <c r="AB494" s="120"/>
      <c r="AC494" s="120"/>
    </row>
    <row r="495" spans="1:29" ht="14.25" customHeight="1">
      <c r="A495" s="120"/>
      <c r="B495" s="120"/>
      <c r="C495" s="120"/>
      <c r="D495" s="121"/>
      <c r="E495" s="121"/>
      <c r="F495" s="120"/>
      <c r="G495" s="120"/>
      <c r="H495" s="121"/>
      <c r="I495" s="121"/>
      <c r="J495" s="121"/>
      <c r="K495" s="120"/>
      <c r="L495" s="120"/>
      <c r="M495" s="122"/>
      <c r="N495" s="121"/>
      <c r="O495" s="121"/>
      <c r="P495" s="121"/>
      <c r="Q495" s="121"/>
      <c r="R495" s="120"/>
      <c r="S495" s="120"/>
      <c r="T495" s="120"/>
      <c r="U495" s="190"/>
      <c r="V495" s="190"/>
      <c r="W495" s="190"/>
      <c r="X495" s="190"/>
      <c r="Y495" s="190"/>
      <c r="Z495" s="190"/>
      <c r="AA495" s="120"/>
      <c r="AB495" s="120"/>
      <c r="AC495" s="120"/>
    </row>
    <row r="496" spans="1:29" ht="14.25" customHeight="1">
      <c r="A496" s="120"/>
      <c r="B496" s="120"/>
      <c r="C496" s="120"/>
      <c r="D496" s="121"/>
      <c r="E496" s="121"/>
      <c r="F496" s="120"/>
      <c r="G496" s="120"/>
      <c r="H496" s="121"/>
      <c r="I496" s="121"/>
      <c r="J496" s="121"/>
      <c r="K496" s="120"/>
      <c r="L496" s="120"/>
      <c r="M496" s="122"/>
      <c r="N496" s="121"/>
      <c r="O496" s="121"/>
      <c r="P496" s="121"/>
      <c r="Q496" s="121"/>
      <c r="R496" s="120"/>
      <c r="S496" s="120"/>
      <c r="T496" s="120"/>
      <c r="U496" s="190"/>
      <c r="V496" s="190"/>
      <c r="W496" s="190"/>
      <c r="X496" s="190"/>
      <c r="Y496" s="190"/>
      <c r="Z496" s="190"/>
      <c r="AA496" s="120"/>
      <c r="AB496" s="120"/>
      <c r="AC496" s="120"/>
    </row>
    <row r="497" spans="1:29" ht="14.25" customHeight="1">
      <c r="A497" s="120"/>
      <c r="B497" s="120"/>
      <c r="C497" s="120"/>
      <c r="D497" s="121"/>
      <c r="E497" s="121"/>
      <c r="F497" s="120"/>
      <c r="G497" s="120"/>
      <c r="H497" s="121"/>
      <c r="I497" s="121"/>
      <c r="J497" s="121"/>
      <c r="K497" s="120"/>
      <c r="L497" s="120"/>
      <c r="M497" s="122"/>
      <c r="N497" s="121"/>
      <c r="O497" s="121"/>
      <c r="P497" s="121"/>
      <c r="Q497" s="121"/>
      <c r="R497" s="120"/>
      <c r="S497" s="120"/>
      <c r="T497" s="120"/>
      <c r="U497" s="190"/>
      <c r="V497" s="190"/>
      <c r="W497" s="190"/>
      <c r="X497" s="190"/>
      <c r="Y497" s="190"/>
      <c r="Z497" s="190"/>
      <c r="AA497" s="120"/>
      <c r="AB497" s="120"/>
      <c r="AC497" s="120"/>
    </row>
    <row r="498" spans="1:29" ht="14.25" customHeight="1">
      <c r="A498" s="120"/>
      <c r="B498" s="120"/>
      <c r="C498" s="120"/>
      <c r="D498" s="121"/>
      <c r="E498" s="121"/>
      <c r="F498" s="120"/>
      <c r="G498" s="120"/>
      <c r="H498" s="121"/>
      <c r="I498" s="121"/>
      <c r="J498" s="121"/>
      <c r="K498" s="120"/>
      <c r="L498" s="120"/>
      <c r="M498" s="122"/>
      <c r="N498" s="121"/>
      <c r="O498" s="121"/>
      <c r="P498" s="121"/>
      <c r="Q498" s="121"/>
      <c r="R498" s="120"/>
      <c r="S498" s="120"/>
      <c r="T498" s="120"/>
      <c r="U498" s="190"/>
      <c r="V498" s="190"/>
      <c r="W498" s="190"/>
      <c r="X498" s="190"/>
      <c r="Y498" s="190"/>
      <c r="Z498" s="190"/>
      <c r="AA498" s="120"/>
      <c r="AB498" s="120"/>
      <c r="AC498" s="120"/>
    </row>
    <row r="499" spans="1:29" ht="14.25" customHeight="1">
      <c r="A499" s="120"/>
      <c r="B499" s="120"/>
      <c r="C499" s="120"/>
      <c r="D499" s="121"/>
      <c r="E499" s="121"/>
      <c r="F499" s="120"/>
      <c r="G499" s="120"/>
      <c r="H499" s="121"/>
      <c r="I499" s="121"/>
      <c r="J499" s="121"/>
      <c r="K499" s="120"/>
      <c r="L499" s="120"/>
      <c r="M499" s="122"/>
      <c r="N499" s="121"/>
      <c r="O499" s="121"/>
      <c r="P499" s="121"/>
      <c r="Q499" s="121"/>
      <c r="R499" s="120"/>
      <c r="S499" s="120"/>
      <c r="T499" s="120"/>
      <c r="U499" s="190"/>
      <c r="V499" s="190"/>
      <c r="W499" s="190"/>
      <c r="X499" s="190"/>
      <c r="Y499" s="190"/>
      <c r="Z499" s="190"/>
      <c r="AA499" s="120"/>
      <c r="AB499" s="120"/>
      <c r="AC499" s="120"/>
    </row>
    <row r="500" spans="1:29" ht="14.25" customHeight="1">
      <c r="A500" s="120"/>
      <c r="B500" s="120"/>
      <c r="C500" s="120"/>
      <c r="D500" s="121"/>
      <c r="E500" s="121"/>
      <c r="F500" s="120"/>
      <c r="G500" s="120"/>
      <c r="H500" s="121"/>
      <c r="I500" s="121"/>
      <c r="J500" s="121"/>
      <c r="K500" s="120"/>
      <c r="L500" s="120"/>
      <c r="M500" s="122"/>
      <c r="N500" s="121"/>
      <c r="O500" s="121"/>
      <c r="P500" s="121"/>
      <c r="Q500" s="121"/>
      <c r="R500" s="120"/>
      <c r="S500" s="120"/>
      <c r="T500" s="120"/>
      <c r="U500" s="190"/>
      <c r="V500" s="190"/>
      <c r="W500" s="190"/>
      <c r="X500" s="190"/>
      <c r="Y500" s="190"/>
      <c r="Z500" s="190"/>
      <c r="AA500" s="120"/>
      <c r="AB500" s="120"/>
      <c r="AC500" s="120"/>
    </row>
    <row r="501" spans="1:29" ht="14.25" customHeight="1">
      <c r="A501" s="120"/>
      <c r="B501" s="120"/>
      <c r="C501" s="120"/>
      <c r="D501" s="121"/>
      <c r="E501" s="121"/>
      <c r="F501" s="120"/>
      <c r="G501" s="120"/>
      <c r="H501" s="121"/>
      <c r="I501" s="121"/>
      <c r="J501" s="121"/>
      <c r="K501" s="120"/>
      <c r="L501" s="120"/>
      <c r="M501" s="122"/>
      <c r="N501" s="121"/>
      <c r="O501" s="121"/>
      <c r="P501" s="121"/>
      <c r="Q501" s="121"/>
      <c r="R501" s="120"/>
      <c r="S501" s="120"/>
      <c r="T501" s="120"/>
      <c r="U501" s="190"/>
      <c r="V501" s="190"/>
      <c r="W501" s="190"/>
      <c r="X501" s="190"/>
      <c r="Y501" s="190"/>
      <c r="Z501" s="190"/>
      <c r="AA501" s="120"/>
      <c r="AB501" s="120"/>
      <c r="AC501" s="120"/>
    </row>
    <row r="502" spans="1:29" ht="14.25" customHeight="1">
      <c r="A502" s="120"/>
      <c r="B502" s="120"/>
      <c r="C502" s="120"/>
      <c r="D502" s="121"/>
      <c r="E502" s="121"/>
      <c r="F502" s="120"/>
      <c r="G502" s="120"/>
      <c r="H502" s="121"/>
      <c r="I502" s="121"/>
      <c r="J502" s="121"/>
      <c r="K502" s="120"/>
      <c r="L502" s="120"/>
      <c r="M502" s="122"/>
      <c r="N502" s="121"/>
      <c r="O502" s="121"/>
      <c r="P502" s="121"/>
      <c r="Q502" s="121"/>
      <c r="R502" s="120"/>
      <c r="S502" s="120"/>
      <c r="T502" s="120"/>
      <c r="U502" s="190"/>
      <c r="V502" s="190"/>
      <c r="W502" s="190"/>
      <c r="X502" s="190"/>
      <c r="Y502" s="190"/>
      <c r="Z502" s="190"/>
      <c r="AA502" s="120"/>
      <c r="AB502" s="120"/>
      <c r="AC502" s="120"/>
    </row>
    <row r="503" spans="1:29" ht="14.25" customHeight="1">
      <c r="A503" s="120"/>
      <c r="B503" s="120"/>
      <c r="C503" s="120"/>
      <c r="D503" s="121"/>
      <c r="E503" s="121"/>
      <c r="F503" s="120"/>
      <c r="G503" s="120"/>
      <c r="H503" s="121"/>
      <c r="I503" s="121"/>
      <c r="J503" s="121"/>
      <c r="K503" s="120"/>
      <c r="L503" s="120"/>
      <c r="M503" s="122"/>
      <c r="N503" s="121"/>
      <c r="O503" s="121"/>
      <c r="P503" s="121"/>
      <c r="Q503" s="121"/>
      <c r="R503" s="120"/>
      <c r="S503" s="120"/>
      <c r="T503" s="120"/>
      <c r="U503" s="190"/>
      <c r="V503" s="190"/>
      <c r="W503" s="190"/>
      <c r="X503" s="190"/>
      <c r="Y503" s="190"/>
      <c r="Z503" s="190"/>
      <c r="AA503" s="120"/>
      <c r="AB503" s="120"/>
      <c r="AC503" s="120"/>
    </row>
    <row r="504" spans="1:29" ht="14.25" customHeight="1">
      <c r="A504" s="120"/>
      <c r="B504" s="120"/>
      <c r="C504" s="120"/>
      <c r="D504" s="121"/>
      <c r="E504" s="121"/>
      <c r="F504" s="120"/>
      <c r="G504" s="120"/>
      <c r="H504" s="121"/>
      <c r="I504" s="121"/>
      <c r="J504" s="121"/>
      <c r="K504" s="120"/>
      <c r="L504" s="120"/>
      <c r="M504" s="122"/>
      <c r="N504" s="121"/>
      <c r="O504" s="121"/>
      <c r="P504" s="121"/>
      <c r="Q504" s="121"/>
      <c r="R504" s="120"/>
      <c r="S504" s="120"/>
      <c r="T504" s="120"/>
      <c r="U504" s="190"/>
      <c r="V504" s="190"/>
      <c r="W504" s="190"/>
      <c r="X504" s="190"/>
      <c r="Y504" s="190"/>
      <c r="Z504" s="190"/>
      <c r="AA504" s="120"/>
      <c r="AB504" s="120"/>
      <c r="AC504" s="120"/>
    </row>
    <row r="505" spans="1:29" ht="14.25" customHeight="1">
      <c r="A505" s="120"/>
      <c r="B505" s="120"/>
      <c r="C505" s="120"/>
      <c r="D505" s="121"/>
      <c r="E505" s="121"/>
      <c r="F505" s="120"/>
      <c r="G505" s="120"/>
      <c r="H505" s="121"/>
      <c r="I505" s="121"/>
      <c r="J505" s="121"/>
      <c r="K505" s="120"/>
      <c r="L505" s="120"/>
      <c r="M505" s="122"/>
      <c r="N505" s="121"/>
      <c r="O505" s="121"/>
      <c r="P505" s="121"/>
      <c r="Q505" s="121"/>
      <c r="R505" s="120"/>
      <c r="S505" s="120"/>
      <c r="T505" s="120"/>
      <c r="U505" s="190"/>
      <c r="V505" s="190"/>
      <c r="W505" s="190"/>
      <c r="X505" s="190"/>
      <c r="Y505" s="190"/>
      <c r="Z505" s="190"/>
      <c r="AA505" s="120"/>
      <c r="AB505" s="120"/>
      <c r="AC505" s="120"/>
    </row>
    <row r="506" spans="1:29" ht="14.25" customHeight="1">
      <c r="A506" s="120"/>
      <c r="B506" s="120"/>
      <c r="C506" s="120"/>
      <c r="D506" s="121"/>
      <c r="E506" s="121"/>
      <c r="F506" s="120"/>
      <c r="G506" s="120"/>
      <c r="H506" s="121"/>
      <c r="I506" s="121"/>
      <c r="J506" s="121"/>
      <c r="K506" s="120"/>
      <c r="L506" s="120"/>
      <c r="M506" s="122"/>
      <c r="N506" s="121"/>
      <c r="O506" s="121"/>
      <c r="P506" s="121"/>
      <c r="Q506" s="121"/>
      <c r="R506" s="120"/>
      <c r="S506" s="120"/>
      <c r="T506" s="120"/>
      <c r="U506" s="190"/>
      <c r="V506" s="190"/>
      <c r="W506" s="190"/>
      <c r="X506" s="190"/>
      <c r="Y506" s="190"/>
      <c r="Z506" s="190"/>
      <c r="AA506" s="120"/>
      <c r="AB506" s="120"/>
      <c r="AC506" s="120"/>
    </row>
    <row r="507" spans="1:29" ht="14.25" customHeight="1">
      <c r="A507" s="120"/>
      <c r="B507" s="120"/>
      <c r="C507" s="120"/>
      <c r="D507" s="121"/>
      <c r="E507" s="121"/>
      <c r="F507" s="120"/>
      <c r="G507" s="120"/>
      <c r="H507" s="121"/>
      <c r="I507" s="121"/>
      <c r="J507" s="121"/>
      <c r="K507" s="120"/>
      <c r="L507" s="120"/>
      <c r="M507" s="122"/>
      <c r="N507" s="121"/>
      <c r="O507" s="121"/>
      <c r="P507" s="121"/>
      <c r="Q507" s="121"/>
      <c r="R507" s="120"/>
      <c r="S507" s="120"/>
      <c r="T507" s="120"/>
      <c r="U507" s="190"/>
      <c r="V507" s="190"/>
      <c r="W507" s="190"/>
      <c r="X507" s="190"/>
      <c r="Y507" s="190"/>
      <c r="Z507" s="190"/>
      <c r="AA507" s="120"/>
      <c r="AB507" s="120"/>
      <c r="AC507" s="120"/>
    </row>
    <row r="508" spans="1:29" ht="14.25" customHeight="1">
      <c r="A508" s="120"/>
      <c r="B508" s="120"/>
      <c r="C508" s="120"/>
      <c r="D508" s="121"/>
      <c r="E508" s="121"/>
      <c r="F508" s="120"/>
      <c r="G508" s="120"/>
      <c r="H508" s="121"/>
      <c r="I508" s="121"/>
      <c r="J508" s="121"/>
      <c r="K508" s="120"/>
      <c r="L508" s="120"/>
      <c r="M508" s="122"/>
      <c r="N508" s="121"/>
      <c r="O508" s="121"/>
      <c r="P508" s="121"/>
      <c r="Q508" s="121"/>
      <c r="R508" s="120"/>
      <c r="S508" s="120"/>
      <c r="T508" s="120"/>
      <c r="U508" s="190"/>
      <c r="V508" s="190"/>
      <c r="W508" s="190"/>
      <c r="X508" s="190"/>
      <c r="Y508" s="190"/>
      <c r="Z508" s="190"/>
      <c r="AA508" s="120"/>
      <c r="AB508" s="120"/>
      <c r="AC508" s="120"/>
    </row>
    <row r="509" spans="1:29" ht="14.25" customHeight="1">
      <c r="A509" s="120"/>
      <c r="B509" s="120"/>
      <c r="C509" s="120"/>
      <c r="D509" s="121"/>
      <c r="E509" s="121"/>
      <c r="F509" s="120"/>
      <c r="G509" s="120"/>
      <c r="H509" s="121"/>
      <c r="I509" s="121"/>
      <c r="J509" s="121"/>
      <c r="K509" s="120"/>
      <c r="L509" s="120"/>
      <c r="M509" s="122"/>
      <c r="N509" s="121"/>
      <c r="O509" s="121"/>
      <c r="P509" s="121"/>
      <c r="Q509" s="121"/>
      <c r="R509" s="120"/>
      <c r="S509" s="120"/>
      <c r="T509" s="120"/>
      <c r="U509" s="190"/>
      <c r="V509" s="190"/>
      <c r="W509" s="190"/>
      <c r="X509" s="190"/>
      <c r="Y509" s="190"/>
      <c r="Z509" s="190"/>
      <c r="AA509" s="120"/>
      <c r="AB509" s="120"/>
      <c r="AC509" s="120"/>
    </row>
    <row r="510" spans="1:29" ht="14.25" customHeight="1">
      <c r="A510" s="120"/>
      <c r="B510" s="120"/>
      <c r="C510" s="120"/>
      <c r="D510" s="121"/>
      <c r="E510" s="121"/>
      <c r="F510" s="120"/>
      <c r="G510" s="120"/>
      <c r="H510" s="121"/>
      <c r="I510" s="121"/>
      <c r="J510" s="121"/>
      <c r="K510" s="120"/>
      <c r="L510" s="120"/>
      <c r="M510" s="122"/>
      <c r="N510" s="121"/>
      <c r="O510" s="121"/>
      <c r="P510" s="121"/>
      <c r="Q510" s="121"/>
      <c r="R510" s="120"/>
      <c r="S510" s="120"/>
      <c r="T510" s="120"/>
      <c r="U510" s="190"/>
      <c r="V510" s="190"/>
      <c r="W510" s="190"/>
      <c r="X510" s="190"/>
      <c r="Y510" s="190"/>
      <c r="Z510" s="190"/>
      <c r="AA510" s="120"/>
      <c r="AB510" s="120"/>
      <c r="AC510" s="120"/>
    </row>
    <row r="511" spans="1:29" ht="14.25" customHeight="1">
      <c r="A511" s="120"/>
      <c r="B511" s="120"/>
      <c r="C511" s="120"/>
      <c r="D511" s="121"/>
      <c r="E511" s="121"/>
      <c r="F511" s="120"/>
      <c r="G511" s="120"/>
      <c r="H511" s="121"/>
      <c r="I511" s="121"/>
      <c r="J511" s="121"/>
      <c r="K511" s="120"/>
      <c r="L511" s="120"/>
      <c r="M511" s="122"/>
      <c r="N511" s="121"/>
      <c r="O511" s="121"/>
      <c r="P511" s="121"/>
      <c r="Q511" s="121"/>
      <c r="R511" s="120"/>
      <c r="S511" s="120"/>
      <c r="T511" s="120"/>
      <c r="U511" s="190"/>
      <c r="V511" s="190"/>
      <c r="W511" s="190"/>
      <c r="X511" s="190"/>
      <c r="Y511" s="190"/>
      <c r="Z511" s="190"/>
      <c r="AA511" s="120"/>
      <c r="AB511" s="120"/>
      <c r="AC511" s="120"/>
    </row>
    <row r="512" spans="1:29" ht="14.25" customHeight="1">
      <c r="A512" s="120"/>
      <c r="B512" s="120"/>
      <c r="C512" s="120"/>
      <c r="D512" s="121"/>
      <c r="E512" s="121"/>
      <c r="F512" s="120"/>
      <c r="G512" s="120"/>
      <c r="H512" s="121"/>
      <c r="I512" s="121"/>
      <c r="J512" s="121"/>
      <c r="K512" s="120"/>
      <c r="L512" s="120"/>
      <c r="M512" s="122"/>
      <c r="N512" s="121"/>
      <c r="O512" s="121"/>
      <c r="P512" s="121"/>
      <c r="Q512" s="121"/>
      <c r="R512" s="120"/>
      <c r="S512" s="120"/>
      <c r="T512" s="120"/>
      <c r="U512" s="190"/>
      <c r="V512" s="190"/>
      <c r="W512" s="190"/>
      <c r="X512" s="190"/>
      <c r="Y512" s="190"/>
      <c r="Z512" s="190"/>
      <c r="AA512" s="120"/>
      <c r="AB512" s="120"/>
      <c r="AC512" s="120"/>
    </row>
    <row r="513" spans="1:29" ht="14.25" customHeight="1">
      <c r="A513" s="120"/>
      <c r="B513" s="120"/>
      <c r="C513" s="120"/>
      <c r="D513" s="121"/>
      <c r="E513" s="121"/>
      <c r="F513" s="120"/>
      <c r="G513" s="120"/>
      <c r="H513" s="121"/>
      <c r="I513" s="121"/>
      <c r="J513" s="121"/>
      <c r="K513" s="120"/>
      <c r="L513" s="120"/>
      <c r="M513" s="122"/>
      <c r="N513" s="121"/>
      <c r="O513" s="121"/>
      <c r="P513" s="121"/>
      <c r="Q513" s="121"/>
      <c r="R513" s="120"/>
      <c r="S513" s="120"/>
      <c r="T513" s="120"/>
      <c r="U513" s="190"/>
      <c r="V513" s="190"/>
      <c r="W513" s="190"/>
      <c r="X513" s="190"/>
      <c r="Y513" s="190"/>
      <c r="Z513" s="190"/>
      <c r="AA513" s="120"/>
      <c r="AB513" s="120"/>
      <c r="AC513" s="120"/>
    </row>
    <row r="514" spans="1:29" ht="14.25" customHeight="1">
      <c r="A514" s="120"/>
      <c r="B514" s="120"/>
      <c r="C514" s="120"/>
      <c r="D514" s="121"/>
      <c r="E514" s="121"/>
      <c r="F514" s="120"/>
      <c r="G514" s="120"/>
      <c r="H514" s="121"/>
      <c r="I514" s="121"/>
      <c r="J514" s="121"/>
      <c r="K514" s="120"/>
      <c r="L514" s="120"/>
      <c r="M514" s="122"/>
      <c r="N514" s="121"/>
      <c r="O514" s="121"/>
      <c r="P514" s="121"/>
      <c r="Q514" s="121"/>
      <c r="R514" s="120"/>
      <c r="S514" s="120"/>
      <c r="T514" s="120"/>
      <c r="U514" s="190"/>
      <c r="V514" s="190"/>
      <c r="W514" s="190"/>
      <c r="X514" s="190"/>
      <c r="Y514" s="190"/>
      <c r="Z514" s="190"/>
      <c r="AA514" s="120"/>
      <c r="AB514" s="120"/>
      <c r="AC514" s="120"/>
    </row>
    <row r="515" spans="1:29" ht="14.25" customHeight="1">
      <c r="A515" s="120"/>
      <c r="B515" s="120"/>
      <c r="C515" s="120"/>
      <c r="D515" s="121"/>
      <c r="E515" s="121"/>
      <c r="F515" s="120"/>
      <c r="G515" s="120"/>
      <c r="H515" s="121"/>
      <c r="I515" s="121"/>
      <c r="J515" s="121"/>
      <c r="K515" s="120"/>
      <c r="L515" s="120"/>
      <c r="M515" s="122"/>
      <c r="N515" s="121"/>
      <c r="O515" s="121"/>
      <c r="P515" s="121"/>
      <c r="Q515" s="121"/>
      <c r="R515" s="120"/>
      <c r="S515" s="120"/>
      <c r="T515" s="120"/>
      <c r="U515" s="190"/>
      <c r="V515" s="190"/>
      <c r="W515" s="190"/>
      <c r="X515" s="190"/>
      <c r="Y515" s="190"/>
      <c r="Z515" s="190"/>
      <c r="AA515" s="120"/>
      <c r="AB515" s="120"/>
      <c r="AC515" s="120"/>
    </row>
    <row r="516" spans="1:29" ht="14.25" customHeight="1">
      <c r="A516" s="120"/>
      <c r="B516" s="120"/>
      <c r="C516" s="120"/>
      <c r="D516" s="121"/>
      <c r="E516" s="121"/>
      <c r="F516" s="120"/>
      <c r="G516" s="120"/>
      <c r="H516" s="121"/>
      <c r="I516" s="121"/>
      <c r="J516" s="121"/>
      <c r="K516" s="120"/>
      <c r="L516" s="120"/>
      <c r="M516" s="122"/>
      <c r="N516" s="121"/>
      <c r="O516" s="121"/>
      <c r="P516" s="121"/>
      <c r="Q516" s="121"/>
      <c r="R516" s="120"/>
      <c r="S516" s="120"/>
      <c r="T516" s="120"/>
      <c r="U516" s="190"/>
      <c r="V516" s="190"/>
      <c r="W516" s="190"/>
      <c r="X516" s="190"/>
      <c r="Y516" s="190"/>
      <c r="Z516" s="190"/>
      <c r="AA516" s="120"/>
      <c r="AB516" s="120"/>
      <c r="AC516" s="120"/>
    </row>
    <row r="517" spans="1:29" ht="14.25" customHeight="1">
      <c r="A517" s="120"/>
      <c r="B517" s="120"/>
      <c r="C517" s="120"/>
      <c r="D517" s="121"/>
      <c r="E517" s="121"/>
      <c r="F517" s="120"/>
      <c r="G517" s="120"/>
      <c r="H517" s="121"/>
      <c r="I517" s="121"/>
      <c r="J517" s="121"/>
      <c r="K517" s="120"/>
      <c r="L517" s="120"/>
      <c r="M517" s="122"/>
      <c r="N517" s="121"/>
      <c r="O517" s="121"/>
      <c r="P517" s="121"/>
      <c r="Q517" s="121"/>
      <c r="R517" s="120"/>
      <c r="S517" s="120"/>
      <c r="T517" s="120"/>
      <c r="U517" s="190"/>
      <c r="V517" s="190"/>
      <c r="W517" s="190"/>
      <c r="X517" s="190"/>
      <c r="Y517" s="190"/>
      <c r="Z517" s="190"/>
      <c r="AA517" s="120"/>
      <c r="AB517" s="120"/>
      <c r="AC517" s="120"/>
    </row>
    <row r="518" spans="1:29" ht="14.25" customHeight="1">
      <c r="A518" s="120"/>
      <c r="B518" s="120"/>
      <c r="C518" s="120"/>
      <c r="D518" s="121"/>
      <c r="E518" s="121"/>
      <c r="F518" s="120"/>
      <c r="G518" s="120"/>
      <c r="H518" s="121"/>
      <c r="I518" s="121"/>
      <c r="J518" s="121"/>
      <c r="K518" s="120"/>
      <c r="L518" s="120"/>
      <c r="M518" s="122"/>
      <c r="N518" s="121"/>
      <c r="O518" s="121"/>
      <c r="P518" s="121"/>
      <c r="Q518" s="121"/>
      <c r="R518" s="120"/>
      <c r="S518" s="120"/>
      <c r="T518" s="120"/>
      <c r="U518" s="190"/>
      <c r="V518" s="190"/>
      <c r="W518" s="190"/>
      <c r="X518" s="190"/>
      <c r="Y518" s="190"/>
      <c r="Z518" s="190"/>
      <c r="AA518" s="120"/>
      <c r="AB518" s="120"/>
      <c r="AC518" s="120"/>
    </row>
    <row r="519" spans="1:29" ht="14.25" customHeight="1">
      <c r="A519" s="120"/>
      <c r="B519" s="120"/>
      <c r="C519" s="120"/>
      <c r="D519" s="121"/>
      <c r="E519" s="121"/>
      <c r="F519" s="120"/>
      <c r="G519" s="120"/>
      <c r="H519" s="121"/>
      <c r="I519" s="121"/>
      <c r="J519" s="121"/>
      <c r="K519" s="120"/>
      <c r="L519" s="120"/>
      <c r="M519" s="122"/>
      <c r="N519" s="121"/>
      <c r="O519" s="121"/>
      <c r="P519" s="121"/>
      <c r="Q519" s="121"/>
      <c r="R519" s="120"/>
      <c r="S519" s="120"/>
      <c r="T519" s="120"/>
      <c r="U519" s="190"/>
      <c r="V519" s="190"/>
      <c r="W519" s="190"/>
      <c r="X519" s="190"/>
      <c r="Y519" s="190"/>
      <c r="Z519" s="190"/>
      <c r="AA519" s="120"/>
      <c r="AB519" s="120"/>
      <c r="AC519" s="120"/>
    </row>
    <row r="520" spans="1:29" ht="14.25" customHeight="1">
      <c r="A520" s="120"/>
      <c r="B520" s="120"/>
      <c r="C520" s="120"/>
      <c r="D520" s="121"/>
      <c r="E520" s="121"/>
      <c r="F520" s="120"/>
      <c r="G520" s="120"/>
      <c r="H520" s="121"/>
      <c r="I520" s="121"/>
      <c r="J520" s="121"/>
      <c r="K520" s="120"/>
      <c r="L520" s="120"/>
      <c r="M520" s="122"/>
      <c r="N520" s="121"/>
      <c r="O520" s="121"/>
      <c r="P520" s="121"/>
      <c r="Q520" s="121"/>
      <c r="R520" s="120"/>
      <c r="S520" s="120"/>
      <c r="T520" s="120"/>
      <c r="U520" s="190"/>
      <c r="V520" s="190"/>
      <c r="W520" s="190"/>
      <c r="X520" s="190"/>
      <c r="Y520" s="190"/>
      <c r="Z520" s="190"/>
      <c r="AA520" s="120"/>
      <c r="AB520" s="120"/>
      <c r="AC520" s="120"/>
    </row>
    <row r="521" spans="1:29" ht="14.25" customHeight="1">
      <c r="A521" s="120"/>
      <c r="B521" s="120"/>
      <c r="C521" s="120"/>
      <c r="D521" s="121"/>
      <c r="E521" s="121"/>
      <c r="F521" s="120"/>
      <c r="G521" s="120"/>
      <c r="H521" s="121"/>
      <c r="I521" s="121"/>
      <c r="J521" s="121"/>
      <c r="K521" s="120"/>
      <c r="L521" s="120"/>
      <c r="M521" s="122"/>
      <c r="N521" s="121"/>
      <c r="O521" s="121"/>
      <c r="P521" s="121"/>
      <c r="Q521" s="121"/>
      <c r="R521" s="120"/>
      <c r="S521" s="120"/>
      <c r="T521" s="120"/>
      <c r="U521" s="190"/>
      <c r="V521" s="190"/>
      <c r="W521" s="190"/>
      <c r="X521" s="190"/>
      <c r="Y521" s="190"/>
      <c r="Z521" s="190"/>
      <c r="AA521" s="120"/>
      <c r="AB521" s="120"/>
      <c r="AC521" s="120"/>
    </row>
    <row r="522" spans="1:29" ht="14.25" customHeight="1">
      <c r="A522" s="120"/>
      <c r="B522" s="120"/>
      <c r="C522" s="120"/>
      <c r="D522" s="121"/>
      <c r="E522" s="121"/>
      <c r="F522" s="120"/>
      <c r="G522" s="120"/>
      <c r="H522" s="121"/>
      <c r="I522" s="121"/>
      <c r="J522" s="121"/>
      <c r="K522" s="120"/>
      <c r="L522" s="120"/>
      <c r="M522" s="122"/>
      <c r="N522" s="121"/>
      <c r="O522" s="121"/>
      <c r="P522" s="121"/>
      <c r="Q522" s="121"/>
      <c r="R522" s="120"/>
      <c r="S522" s="120"/>
      <c r="T522" s="120"/>
      <c r="U522" s="190"/>
      <c r="V522" s="190"/>
      <c r="W522" s="190"/>
      <c r="X522" s="190"/>
      <c r="Y522" s="190"/>
      <c r="Z522" s="190"/>
      <c r="AA522" s="120"/>
      <c r="AB522" s="120"/>
      <c r="AC522" s="120"/>
    </row>
    <row r="523" spans="1:29" ht="14.25" customHeight="1">
      <c r="A523" s="120"/>
      <c r="B523" s="120"/>
      <c r="C523" s="120"/>
      <c r="D523" s="121"/>
      <c r="E523" s="121"/>
      <c r="F523" s="120"/>
      <c r="G523" s="120"/>
      <c r="H523" s="121"/>
      <c r="I523" s="121"/>
      <c r="J523" s="121"/>
      <c r="K523" s="120"/>
      <c r="L523" s="120"/>
      <c r="M523" s="122"/>
      <c r="N523" s="121"/>
      <c r="O523" s="121"/>
      <c r="P523" s="121"/>
      <c r="Q523" s="121"/>
      <c r="R523" s="120"/>
      <c r="S523" s="120"/>
      <c r="T523" s="120"/>
      <c r="U523" s="190"/>
      <c r="V523" s="190"/>
      <c r="W523" s="190"/>
      <c r="X523" s="190"/>
      <c r="Y523" s="190"/>
      <c r="Z523" s="190"/>
      <c r="AA523" s="120"/>
      <c r="AB523" s="120"/>
      <c r="AC523" s="120"/>
    </row>
    <row r="524" spans="1:29" ht="14.25" customHeight="1">
      <c r="A524" s="120"/>
      <c r="B524" s="120"/>
      <c r="C524" s="120"/>
      <c r="D524" s="121"/>
      <c r="E524" s="121"/>
      <c r="F524" s="120"/>
      <c r="G524" s="120"/>
      <c r="H524" s="121"/>
      <c r="I524" s="121"/>
      <c r="J524" s="121"/>
      <c r="K524" s="120"/>
      <c r="L524" s="120"/>
      <c r="M524" s="122"/>
      <c r="N524" s="121"/>
      <c r="O524" s="121"/>
      <c r="P524" s="121"/>
      <c r="Q524" s="121"/>
      <c r="R524" s="120"/>
      <c r="S524" s="120"/>
      <c r="T524" s="120"/>
      <c r="U524" s="190"/>
      <c r="V524" s="190"/>
      <c r="W524" s="190"/>
      <c r="X524" s="190"/>
      <c r="Y524" s="190"/>
      <c r="Z524" s="190"/>
      <c r="AA524" s="120"/>
      <c r="AB524" s="120"/>
      <c r="AC524" s="120"/>
    </row>
    <row r="525" spans="1:29" ht="14.25" customHeight="1">
      <c r="A525" s="120"/>
      <c r="B525" s="120"/>
      <c r="C525" s="120"/>
      <c r="D525" s="121"/>
      <c r="E525" s="121"/>
      <c r="F525" s="120"/>
      <c r="G525" s="120"/>
      <c r="H525" s="121"/>
      <c r="I525" s="121"/>
      <c r="J525" s="121"/>
      <c r="K525" s="120"/>
      <c r="L525" s="120"/>
      <c r="M525" s="122"/>
      <c r="N525" s="121"/>
      <c r="O525" s="121"/>
      <c r="P525" s="121"/>
      <c r="Q525" s="121"/>
      <c r="R525" s="120"/>
      <c r="S525" s="120"/>
      <c r="T525" s="120"/>
      <c r="U525" s="190"/>
      <c r="V525" s="190"/>
      <c r="W525" s="190"/>
      <c r="X525" s="190"/>
      <c r="Y525" s="190"/>
      <c r="Z525" s="190"/>
      <c r="AA525" s="120"/>
      <c r="AB525" s="120"/>
      <c r="AC525" s="120"/>
    </row>
    <row r="526" spans="1:29" ht="14.25" customHeight="1">
      <c r="A526" s="120"/>
      <c r="B526" s="120"/>
      <c r="C526" s="120"/>
      <c r="D526" s="121"/>
      <c r="E526" s="121"/>
      <c r="F526" s="120"/>
      <c r="G526" s="120"/>
      <c r="H526" s="121"/>
      <c r="I526" s="121"/>
      <c r="J526" s="121"/>
      <c r="K526" s="120"/>
      <c r="L526" s="120"/>
      <c r="M526" s="122"/>
      <c r="N526" s="121"/>
      <c r="O526" s="121"/>
      <c r="P526" s="121"/>
      <c r="Q526" s="121"/>
      <c r="R526" s="120"/>
      <c r="S526" s="120"/>
      <c r="T526" s="120"/>
      <c r="U526" s="190"/>
      <c r="V526" s="190"/>
      <c r="W526" s="190"/>
      <c r="X526" s="190"/>
      <c r="Y526" s="190"/>
      <c r="Z526" s="190"/>
      <c r="AA526" s="120"/>
      <c r="AB526" s="120"/>
      <c r="AC526" s="120"/>
    </row>
    <row r="527" spans="1:29" ht="14.25" customHeight="1">
      <c r="A527" s="120"/>
      <c r="B527" s="120"/>
      <c r="C527" s="120"/>
      <c r="D527" s="121"/>
      <c r="E527" s="121"/>
      <c r="F527" s="120"/>
      <c r="G527" s="120"/>
      <c r="H527" s="121"/>
      <c r="I527" s="121"/>
      <c r="J527" s="121"/>
      <c r="K527" s="120"/>
      <c r="L527" s="120"/>
      <c r="M527" s="122"/>
      <c r="N527" s="121"/>
      <c r="O527" s="121"/>
      <c r="P527" s="121"/>
      <c r="Q527" s="121"/>
      <c r="R527" s="120"/>
      <c r="S527" s="120"/>
      <c r="T527" s="120"/>
      <c r="U527" s="190"/>
      <c r="V527" s="190"/>
      <c r="W527" s="190"/>
      <c r="X527" s="190"/>
      <c r="Y527" s="190"/>
      <c r="Z527" s="190"/>
      <c r="AA527" s="120"/>
      <c r="AB527" s="120"/>
      <c r="AC527" s="120"/>
    </row>
    <row r="528" spans="1:29" ht="14.25" customHeight="1">
      <c r="A528" s="120"/>
      <c r="B528" s="120"/>
      <c r="C528" s="120"/>
      <c r="D528" s="121"/>
      <c r="E528" s="121"/>
      <c r="F528" s="120"/>
      <c r="G528" s="120"/>
      <c r="H528" s="121"/>
      <c r="I528" s="121"/>
      <c r="J528" s="121"/>
      <c r="K528" s="120"/>
      <c r="L528" s="120"/>
      <c r="M528" s="122"/>
      <c r="N528" s="121"/>
      <c r="O528" s="121"/>
      <c r="P528" s="121"/>
      <c r="Q528" s="121"/>
      <c r="R528" s="120"/>
      <c r="S528" s="120"/>
      <c r="T528" s="120"/>
      <c r="U528" s="190"/>
      <c r="V528" s="190"/>
      <c r="W528" s="190"/>
      <c r="X528" s="190"/>
      <c r="Y528" s="190"/>
      <c r="Z528" s="190"/>
      <c r="AA528" s="120"/>
      <c r="AB528" s="120"/>
      <c r="AC528" s="120"/>
    </row>
    <row r="529" spans="1:29" ht="14.25" customHeight="1">
      <c r="A529" s="120"/>
      <c r="B529" s="120"/>
      <c r="C529" s="120"/>
      <c r="D529" s="121"/>
      <c r="E529" s="121"/>
      <c r="F529" s="120"/>
      <c r="G529" s="120"/>
      <c r="H529" s="121"/>
      <c r="I529" s="121"/>
      <c r="J529" s="121"/>
      <c r="K529" s="120"/>
      <c r="L529" s="120"/>
      <c r="M529" s="122"/>
      <c r="N529" s="121"/>
      <c r="O529" s="121"/>
      <c r="P529" s="121"/>
      <c r="Q529" s="121"/>
      <c r="R529" s="120"/>
      <c r="S529" s="120"/>
      <c r="T529" s="120"/>
      <c r="U529" s="190"/>
      <c r="V529" s="190"/>
      <c r="W529" s="190"/>
      <c r="X529" s="190"/>
      <c r="Y529" s="190"/>
      <c r="Z529" s="190"/>
      <c r="AA529" s="120"/>
      <c r="AB529" s="120"/>
      <c r="AC529" s="120"/>
    </row>
    <row r="530" spans="1:29" ht="14.25" customHeight="1">
      <c r="A530" s="120"/>
      <c r="B530" s="120"/>
      <c r="C530" s="120"/>
      <c r="D530" s="121"/>
      <c r="E530" s="121"/>
      <c r="F530" s="120"/>
      <c r="G530" s="120"/>
      <c r="H530" s="121"/>
      <c r="I530" s="121"/>
      <c r="J530" s="121"/>
      <c r="K530" s="120"/>
      <c r="L530" s="120"/>
      <c r="M530" s="122"/>
      <c r="N530" s="121"/>
      <c r="O530" s="121"/>
      <c r="P530" s="121"/>
      <c r="Q530" s="121"/>
      <c r="R530" s="120"/>
      <c r="S530" s="120"/>
      <c r="T530" s="120"/>
      <c r="U530" s="190"/>
      <c r="V530" s="190"/>
      <c r="W530" s="190"/>
      <c r="X530" s="190"/>
      <c r="Y530" s="190"/>
      <c r="Z530" s="190"/>
      <c r="AA530" s="120"/>
      <c r="AB530" s="120"/>
      <c r="AC530" s="120"/>
    </row>
    <row r="531" spans="1:29" ht="14.25" customHeight="1">
      <c r="A531" s="120"/>
      <c r="B531" s="120"/>
      <c r="C531" s="120"/>
      <c r="D531" s="121"/>
      <c r="E531" s="121"/>
      <c r="F531" s="120"/>
      <c r="G531" s="120"/>
      <c r="H531" s="121"/>
      <c r="I531" s="121"/>
      <c r="J531" s="121"/>
      <c r="K531" s="120"/>
      <c r="L531" s="120"/>
      <c r="M531" s="122"/>
      <c r="N531" s="121"/>
      <c r="O531" s="121"/>
      <c r="P531" s="121"/>
      <c r="Q531" s="121"/>
      <c r="R531" s="120"/>
      <c r="S531" s="120"/>
      <c r="T531" s="120"/>
      <c r="U531" s="190"/>
      <c r="V531" s="190"/>
      <c r="W531" s="190"/>
      <c r="X531" s="190"/>
      <c r="Y531" s="190"/>
      <c r="Z531" s="190"/>
      <c r="AA531" s="120"/>
      <c r="AB531" s="120"/>
      <c r="AC531" s="120"/>
    </row>
    <row r="532" spans="1:29" ht="14.25" customHeight="1">
      <c r="A532" s="120"/>
      <c r="B532" s="120"/>
      <c r="C532" s="120"/>
      <c r="D532" s="121"/>
      <c r="E532" s="121"/>
      <c r="F532" s="120"/>
      <c r="G532" s="120"/>
      <c r="H532" s="121"/>
      <c r="I532" s="121"/>
      <c r="J532" s="121"/>
      <c r="K532" s="120"/>
      <c r="L532" s="120"/>
      <c r="M532" s="122"/>
      <c r="N532" s="121"/>
      <c r="O532" s="121"/>
      <c r="P532" s="121"/>
      <c r="Q532" s="121"/>
      <c r="R532" s="120"/>
      <c r="S532" s="120"/>
      <c r="T532" s="120"/>
      <c r="U532" s="190"/>
      <c r="V532" s="190"/>
      <c r="W532" s="190"/>
      <c r="X532" s="190"/>
      <c r="Y532" s="190"/>
      <c r="Z532" s="190"/>
      <c r="AA532" s="120"/>
      <c r="AB532" s="120"/>
      <c r="AC532" s="120"/>
    </row>
    <row r="533" spans="1:29" ht="14.25" customHeight="1">
      <c r="A533" s="120"/>
      <c r="B533" s="120"/>
      <c r="C533" s="120"/>
      <c r="D533" s="121"/>
      <c r="E533" s="121"/>
      <c r="F533" s="120"/>
      <c r="G533" s="120"/>
      <c r="H533" s="121"/>
      <c r="I533" s="121"/>
      <c r="J533" s="121"/>
      <c r="K533" s="120"/>
      <c r="L533" s="120"/>
      <c r="M533" s="122"/>
      <c r="N533" s="121"/>
      <c r="O533" s="121"/>
      <c r="P533" s="121"/>
      <c r="Q533" s="121"/>
      <c r="R533" s="120"/>
      <c r="S533" s="120"/>
      <c r="T533" s="120"/>
      <c r="U533" s="190"/>
      <c r="V533" s="190"/>
      <c r="W533" s="190"/>
      <c r="X533" s="190"/>
      <c r="Y533" s="190"/>
      <c r="Z533" s="190"/>
      <c r="AA533" s="120"/>
      <c r="AB533" s="120"/>
      <c r="AC533" s="120"/>
    </row>
    <row r="534" spans="1:29" ht="14.25" customHeight="1">
      <c r="A534" s="120"/>
      <c r="B534" s="120"/>
      <c r="C534" s="120"/>
      <c r="D534" s="121"/>
      <c r="E534" s="121"/>
      <c r="F534" s="120"/>
      <c r="G534" s="120"/>
      <c r="H534" s="121"/>
      <c r="I534" s="121"/>
      <c r="J534" s="121"/>
      <c r="K534" s="120"/>
      <c r="L534" s="120"/>
      <c r="M534" s="122"/>
      <c r="N534" s="121"/>
      <c r="O534" s="121"/>
      <c r="P534" s="121"/>
      <c r="Q534" s="121"/>
      <c r="R534" s="120"/>
      <c r="S534" s="120"/>
      <c r="T534" s="120"/>
      <c r="U534" s="190"/>
      <c r="V534" s="190"/>
      <c r="W534" s="190"/>
      <c r="X534" s="190"/>
      <c r="Y534" s="190"/>
      <c r="Z534" s="190"/>
      <c r="AA534" s="120"/>
      <c r="AB534" s="120"/>
      <c r="AC534" s="120"/>
    </row>
    <row r="535" spans="1:29" ht="14.25" customHeight="1">
      <c r="A535" s="120"/>
      <c r="B535" s="120"/>
      <c r="C535" s="120"/>
      <c r="D535" s="121"/>
      <c r="E535" s="121"/>
      <c r="F535" s="120"/>
      <c r="G535" s="120"/>
      <c r="H535" s="121"/>
      <c r="I535" s="121"/>
      <c r="J535" s="121"/>
      <c r="K535" s="120"/>
      <c r="L535" s="120"/>
      <c r="M535" s="122"/>
      <c r="N535" s="121"/>
      <c r="O535" s="121"/>
      <c r="P535" s="121"/>
      <c r="Q535" s="121"/>
      <c r="R535" s="120"/>
      <c r="S535" s="120"/>
      <c r="T535" s="120"/>
      <c r="U535" s="190"/>
      <c r="V535" s="190"/>
      <c r="W535" s="190"/>
      <c r="X535" s="190"/>
      <c r="Y535" s="190"/>
      <c r="Z535" s="190"/>
      <c r="AA535" s="120"/>
      <c r="AB535" s="120"/>
      <c r="AC535" s="120"/>
    </row>
    <row r="536" spans="1:29" ht="14.25" customHeight="1">
      <c r="A536" s="120"/>
      <c r="B536" s="120"/>
      <c r="C536" s="120"/>
      <c r="D536" s="121"/>
      <c r="E536" s="121"/>
      <c r="F536" s="120"/>
      <c r="G536" s="120"/>
      <c r="H536" s="121"/>
      <c r="I536" s="121"/>
      <c r="J536" s="121"/>
      <c r="K536" s="120"/>
      <c r="L536" s="120"/>
      <c r="M536" s="122"/>
      <c r="N536" s="121"/>
      <c r="O536" s="121"/>
      <c r="P536" s="121"/>
      <c r="Q536" s="121"/>
      <c r="R536" s="120"/>
      <c r="S536" s="120"/>
      <c r="T536" s="120"/>
      <c r="U536" s="190"/>
      <c r="V536" s="190"/>
      <c r="W536" s="190"/>
      <c r="X536" s="190"/>
      <c r="Y536" s="190"/>
      <c r="Z536" s="190"/>
      <c r="AA536" s="120"/>
      <c r="AB536" s="120"/>
      <c r="AC536" s="120"/>
    </row>
    <row r="537" spans="1:29" ht="14.25" customHeight="1">
      <c r="A537" s="120"/>
      <c r="B537" s="120"/>
      <c r="C537" s="120"/>
      <c r="D537" s="121"/>
      <c r="E537" s="121"/>
      <c r="F537" s="120"/>
      <c r="G537" s="120"/>
      <c r="H537" s="121"/>
      <c r="I537" s="121"/>
      <c r="J537" s="121"/>
      <c r="K537" s="120"/>
      <c r="L537" s="120"/>
      <c r="M537" s="122"/>
      <c r="N537" s="121"/>
      <c r="O537" s="121"/>
      <c r="P537" s="121"/>
      <c r="Q537" s="121"/>
      <c r="R537" s="120"/>
      <c r="S537" s="120"/>
      <c r="T537" s="120"/>
      <c r="U537" s="190"/>
      <c r="V537" s="190"/>
      <c r="W537" s="190"/>
      <c r="X537" s="190"/>
      <c r="Y537" s="190"/>
      <c r="Z537" s="190"/>
      <c r="AA537" s="120"/>
      <c r="AB537" s="120"/>
      <c r="AC537" s="120"/>
    </row>
    <row r="538" spans="1:29" ht="14.25" customHeight="1">
      <c r="A538" s="120"/>
      <c r="B538" s="120"/>
      <c r="C538" s="120"/>
      <c r="D538" s="121"/>
      <c r="E538" s="121"/>
      <c r="F538" s="120"/>
      <c r="G538" s="120"/>
      <c r="H538" s="121"/>
      <c r="I538" s="121"/>
      <c r="J538" s="121"/>
      <c r="K538" s="120"/>
      <c r="L538" s="120"/>
      <c r="M538" s="122"/>
      <c r="N538" s="121"/>
      <c r="O538" s="121"/>
      <c r="P538" s="121"/>
      <c r="Q538" s="121"/>
      <c r="R538" s="120"/>
      <c r="S538" s="120"/>
      <c r="T538" s="120"/>
      <c r="U538" s="190"/>
      <c r="V538" s="190"/>
      <c r="W538" s="190"/>
      <c r="X538" s="190"/>
      <c r="Y538" s="190"/>
      <c r="Z538" s="190"/>
      <c r="AA538" s="120"/>
      <c r="AB538" s="120"/>
      <c r="AC538" s="120"/>
    </row>
    <row r="539" spans="1:29" ht="14.25" customHeight="1">
      <c r="A539" s="120"/>
      <c r="B539" s="120"/>
      <c r="C539" s="120"/>
      <c r="D539" s="121"/>
      <c r="E539" s="121"/>
      <c r="F539" s="120"/>
      <c r="G539" s="120"/>
      <c r="H539" s="121"/>
      <c r="I539" s="121"/>
      <c r="J539" s="121"/>
      <c r="K539" s="120"/>
      <c r="L539" s="120"/>
      <c r="M539" s="122"/>
      <c r="N539" s="121"/>
      <c r="O539" s="121"/>
      <c r="P539" s="121"/>
      <c r="Q539" s="121"/>
      <c r="R539" s="120"/>
      <c r="S539" s="120"/>
      <c r="T539" s="120"/>
      <c r="U539" s="190"/>
      <c r="V539" s="190"/>
      <c r="W539" s="190"/>
      <c r="X539" s="190"/>
      <c r="Y539" s="190"/>
      <c r="Z539" s="190"/>
      <c r="AA539" s="120"/>
      <c r="AB539" s="120"/>
      <c r="AC539" s="120"/>
    </row>
    <row r="540" spans="1:29" ht="14.25" customHeight="1">
      <c r="A540" s="120"/>
      <c r="B540" s="120"/>
      <c r="C540" s="120"/>
      <c r="D540" s="121"/>
      <c r="E540" s="121"/>
      <c r="F540" s="120"/>
      <c r="G540" s="120"/>
      <c r="H540" s="121"/>
      <c r="I540" s="121"/>
      <c r="J540" s="121"/>
      <c r="K540" s="120"/>
      <c r="L540" s="120"/>
      <c r="M540" s="122"/>
      <c r="N540" s="121"/>
      <c r="O540" s="121"/>
      <c r="P540" s="121"/>
      <c r="Q540" s="121"/>
      <c r="R540" s="120"/>
      <c r="S540" s="120"/>
      <c r="T540" s="120"/>
      <c r="U540" s="190"/>
      <c r="V540" s="190"/>
      <c r="W540" s="190"/>
      <c r="X540" s="190"/>
      <c r="Y540" s="190"/>
      <c r="Z540" s="190"/>
      <c r="AA540" s="120"/>
      <c r="AB540" s="120"/>
      <c r="AC540" s="120"/>
    </row>
    <row r="541" spans="1:29" ht="14.25" customHeight="1">
      <c r="A541" s="120"/>
      <c r="B541" s="120"/>
      <c r="C541" s="120"/>
      <c r="D541" s="121"/>
      <c r="E541" s="121"/>
      <c r="F541" s="120"/>
      <c r="G541" s="120"/>
      <c r="H541" s="121"/>
      <c r="I541" s="121"/>
      <c r="J541" s="121"/>
      <c r="K541" s="120"/>
      <c r="L541" s="120"/>
      <c r="M541" s="122"/>
      <c r="N541" s="121"/>
      <c r="O541" s="121"/>
      <c r="P541" s="121"/>
      <c r="Q541" s="121"/>
      <c r="R541" s="120"/>
      <c r="S541" s="120"/>
      <c r="T541" s="120"/>
      <c r="U541" s="190"/>
      <c r="V541" s="190"/>
      <c r="W541" s="190"/>
      <c r="X541" s="190"/>
      <c r="Y541" s="190"/>
      <c r="Z541" s="190"/>
      <c r="AA541" s="120"/>
      <c r="AB541" s="120"/>
      <c r="AC541" s="120"/>
    </row>
    <row r="542" spans="1:29" ht="14.25" customHeight="1">
      <c r="A542" s="120"/>
      <c r="B542" s="120"/>
      <c r="C542" s="120"/>
      <c r="D542" s="121"/>
      <c r="E542" s="121"/>
      <c r="F542" s="120"/>
      <c r="G542" s="120"/>
      <c r="H542" s="121"/>
      <c r="I542" s="121"/>
      <c r="J542" s="121"/>
      <c r="K542" s="120"/>
      <c r="L542" s="120"/>
      <c r="M542" s="122"/>
      <c r="N542" s="121"/>
      <c r="O542" s="121"/>
      <c r="P542" s="121"/>
      <c r="Q542" s="121"/>
      <c r="R542" s="120"/>
      <c r="S542" s="120"/>
      <c r="T542" s="120"/>
      <c r="U542" s="190"/>
      <c r="V542" s="190"/>
      <c r="W542" s="190"/>
      <c r="X542" s="190"/>
      <c r="Y542" s="190"/>
      <c r="Z542" s="190"/>
      <c r="AA542" s="120"/>
      <c r="AB542" s="120"/>
      <c r="AC542" s="120"/>
    </row>
    <row r="543" spans="1:29" ht="14.25" customHeight="1">
      <c r="A543" s="120"/>
      <c r="B543" s="120"/>
      <c r="C543" s="120"/>
      <c r="D543" s="121"/>
      <c r="E543" s="121"/>
      <c r="F543" s="120"/>
      <c r="G543" s="120"/>
      <c r="H543" s="121"/>
      <c r="I543" s="121"/>
      <c r="J543" s="121"/>
      <c r="K543" s="120"/>
      <c r="L543" s="120"/>
      <c r="M543" s="122"/>
      <c r="N543" s="121"/>
      <c r="O543" s="121"/>
      <c r="P543" s="121"/>
      <c r="Q543" s="121"/>
      <c r="R543" s="120"/>
      <c r="S543" s="120"/>
      <c r="T543" s="120"/>
      <c r="U543" s="190"/>
      <c r="V543" s="190"/>
      <c r="W543" s="190"/>
      <c r="X543" s="190"/>
      <c r="Y543" s="190"/>
      <c r="Z543" s="190"/>
      <c r="AA543" s="120"/>
      <c r="AB543" s="120"/>
      <c r="AC543" s="120"/>
    </row>
    <row r="544" spans="1:29" ht="14.25" customHeight="1">
      <c r="A544" s="120"/>
      <c r="B544" s="120"/>
      <c r="C544" s="120"/>
      <c r="D544" s="121"/>
      <c r="E544" s="121"/>
      <c r="F544" s="120"/>
      <c r="G544" s="120"/>
      <c r="H544" s="121"/>
      <c r="I544" s="121"/>
      <c r="J544" s="121"/>
      <c r="K544" s="120"/>
      <c r="L544" s="120"/>
      <c r="M544" s="122"/>
      <c r="N544" s="121"/>
      <c r="O544" s="121"/>
      <c r="P544" s="121"/>
      <c r="Q544" s="121"/>
      <c r="R544" s="120"/>
      <c r="S544" s="120"/>
      <c r="T544" s="120"/>
      <c r="U544" s="190"/>
      <c r="V544" s="190"/>
      <c r="W544" s="190"/>
      <c r="X544" s="190"/>
      <c r="Y544" s="190"/>
      <c r="Z544" s="190"/>
      <c r="AA544" s="120"/>
      <c r="AB544" s="120"/>
      <c r="AC544" s="120"/>
    </row>
    <row r="545" spans="1:29" ht="14.25" customHeight="1">
      <c r="A545" s="120"/>
      <c r="B545" s="120"/>
      <c r="C545" s="120"/>
      <c r="D545" s="121"/>
      <c r="E545" s="121"/>
      <c r="F545" s="120"/>
      <c r="G545" s="120"/>
      <c r="H545" s="121"/>
      <c r="I545" s="121"/>
      <c r="J545" s="121"/>
      <c r="K545" s="120"/>
      <c r="L545" s="120"/>
      <c r="M545" s="122"/>
      <c r="N545" s="121"/>
      <c r="O545" s="121"/>
      <c r="P545" s="121"/>
      <c r="Q545" s="121"/>
      <c r="R545" s="120"/>
      <c r="S545" s="120"/>
      <c r="T545" s="120"/>
      <c r="U545" s="190"/>
      <c r="V545" s="190"/>
      <c r="W545" s="190"/>
      <c r="X545" s="190"/>
      <c r="Y545" s="190"/>
      <c r="Z545" s="190"/>
      <c r="AA545" s="120"/>
      <c r="AB545" s="120"/>
      <c r="AC545" s="120"/>
    </row>
    <row r="546" spans="1:29" ht="14.25" customHeight="1">
      <c r="A546" s="120"/>
      <c r="B546" s="120"/>
      <c r="C546" s="120"/>
      <c r="D546" s="121"/>
      <c r="E546" s="121"/>
      <c r="F546" s="120"/>
      <c r="G546" s="120"/>
      <c r="H546" s="121"/>
      <c r="I546" s="121"/>
      <c r="J546" s="121"/>
      <c r="K546" s="120"/>
      <c r="L546" s="120"/>
      <c r="M546" s="122"/>
      <c r="N546" s="121"/>
      <c r="O546" s="121"/>
      <c r="P546" s="121"/>
      <c r="Q546" s="121"/>
      <c r="R546" s="120"/>
      <c r="S546" s="120"/>
      <c r="T546" s="120"/>
      <c r="U546" s="190"/>
      <c r="V546" s="190"/>
      <c r="W546" s="190"/>
      <c r="X546" s="190"/>
      <c r="Y546" s="190"/>
      <c r="Z546" s="190"/>
      <c r="AA546" s="120"/>
      <c r="AB546" s="120"/>
      <c r="AC546" s="120"/>
    </row>
    <row r="547" spans="1:29" ht="14.25" customHeight="1">
      <c r="A547" s="120"/>
      <c r="B547" s="120"/>
      <c r="C547" s="120"/>
      <c r="D547" s="121"/>
      <c r="E547" s="121"/>
      <c r="F547" s="120"/>
      <c r="G547" s="120"/>
      <c r="H547" s="121"/>
      <c r="I547" s="121"/>
      <c r="J547" s="121"/>
      <c r="K547" s="120"/>
      <c r="L547" s="120"/>
      <c r="M547" s="122"/>
      <c r="N547" s="121"/>
      <c r="O547" s="121"/>
      <c r="P547" s="121"/>
      <c r="Q547" s="121"/>
      <c r="R547" s="120"/>
      <c r="S547" s="120"/>
      <c r="T547" s="120"/>
      <c r="U547" s="190"/>
      <c r="V547" s="190"/>
      <c r="W547" s="190"/>
      <c r="X547" s="190"/>
      <c r="Y547" s="190"/>
      <c r="Z547" s="190"/>
      <c r="AA547" s="120"/>
      <c r="AB547" s="120"/>
      <c r="AC547" s="120"/>
    </row>
    <row r="548" spans="1:29" ht="14.25" customHeight="1">
      <c r="A548" s="120"/>
      <c r="B548" s="120"/>
      <c r="C548" s="120"/>
      <c r="D548" s="121"/>
      <c r="E548" s="121"/>
      <c r="F548" s="120"/>
      <c r="G548" s="120"/>
      <c r="H548" s="121"/>
      <c r="I548" s="121"/>
      <c r="J548" s="121"/>
      <c r="K548" s="120"/>
      <c r="L548" s="120"/>
      <c r="M548" s="122"/>
      <c r="N548" s="121"/>
      <c r="O548" s="121"/>
      <c r="P548" s="121"/>
      <c r="Q548" s="121"/>
      <c r="R548" s="120"/>
      <c r="S548" s="120"/>
      <c r="T548" s="120"/>
      <c r="U548" s="190"/>
      <c r="V548" s="190"/>
      <c r="W548" s="190"/>
      <c r="X548" s="190"/>
      <c r="Y548" s="190"/>
      <c r="Z548" s="190"/>
      <c r="AA548" s="120"/>
      <c r="AB548" s="120"/>
      <c r="AC548" s="120"/>
    </row>
    <row r="549" spans="1:29" ht="14.25" customHeight="1">
      <c r="A549" s="120"/>
      <c r="B549" s="120"/>
      <c r="C549" s="120"/>
      <c r="D549" s="121"/>
      <c r="E549" s="121"/>
      <c r="F549" s="120"/>
      <c r="G549" s="120"/>
      <c r="H549" s="121"/>
      <c r="I549" s="121"/>
      <c r="J549" s="121"/>
      <c r="K549" s="120"/>
      <c r="L549" s="120"/>
      <c r="M549" s="122"/>
      <c r="N549" s="121"/>
      <c r="O549" s="121"/>
      <c r="P549" s="121"/>
      <c r="Q549" s="121"/>
      <c r="R549" s="120"/>
      <c r="S549" s="120"/>
      <c r="T549" s="120"/>
      <c r="U549" s="190"/>
      <c r="V549" s="190"/>
      <c r="W549" s="190"/>
      <c r="X549" s="190"/>
      <c r="Y549" s="190"/>
      <c r="Z549" s="190"/>
      <c r="AA549" s="120"/>
      <c r="AB549" s="120"/>
      <c r="AC549" s="120"/>
    </row>
    <row r="550" spans="1:29" ht="14.25" customHeight="1">
      <c r="A550" s="120"/>
      <c r="B550" s="120"/>
      <c r="C550" s="120"/>
      <c r="D550" s="121"/>
      <c r="E550" s="121"/>
      <c r="F550" s="120"/>
      <c r="G550" s="120"/>
      <c r="H550" s="121"/>
      <c r="I550" s="121"/>
      <c r="J550" s="121"/>
      <c r="K550" s="120"/>
      <c r="L550" s="120"/>
      <c r="M550" s="122"/>
      <c r="N550" s="121"/>
      <c r="O550" s="121"/>
      <c r="P550" s="121"/>
      <c r="Q550" s="121"/>
      <c r="R550" s="120"/>
      <c r="S550" s="120"/>
      <c r="T550" s="120"/>
      <c r="U550" s="190"/>
      <c r="V550" s="190"/>
      <c r="W550" s="190"/>
      <c r="X550" s="190"/>
      <c r="Y550" s="190"/>
      <c r="Z550" s="190"/>
      <c r="AA550" s="120"/>
      <c r="AB550" s="120"/>
      <c r="AC550" s="120"/>
    </row>
    <row r="551" spans="1:29" ht="14.25" customHeight="1">
      <c r="A551" s="120"/>
      <c r="B551" s="120"/>
      <c r="C551" s="120"/>
      <c r="D551" s="121"/>
      <c r="E551" s="121"/>
      <c r="F551" s="120"/>
      <c r="G551" s="120"/>
      <c r="H551" s="121"/>
      <c r="I551" s="121"/>
      <c r="J551" s="121"/>
      <c r="K551" s="120"/>
      <c r="L551" s="120"/>
      <c r="M551" s="122"/>
      <c r="N551" s="121"/>
      <c r="O551" s="121"/>
      <c r="P551" s="121"/>
      <c r="Q551" s="121"/>
      <c r="R551" s="120"/>
      <c r="S551" s="120"/>
      <c r="T551" s="120"/>
      <c r="U551" s="190"/>
      <c r="V551" s="190"/>
      <c r="W551" s="190"/>
      <c r="X551" s="190"/>
      <c r="Y551" s="190"/>
      <c r="Z551" s="190"/>
      <c r="AA551" s="120"/>
      <c r="AB551" s="120"/>
      <c r="AC551" s="120"/>
    </row>
    <row r="552" spans="1:29" ht="14.25" customHeight="1">
      <c r="A552" s="120"/>
      <c r="B552" s="120"/>
      <c r="C552" s="120"/>
      <c r="D552" s="121"/>
      <c r="E552" s="121"/>
      <c r="F552" s="120"/>
      <c r="G552" s="120"/>
      <c r="H552" s="121"/>
      <c r="I552" s="121"/>
      <c r="J552" s="121"/>
      <c r="K552" s="120"/>
      <c r="L552" s="120"/>
      <c r="M552" s="122"/>
      <c r="N552" s="121"/>
      <c r="O552" s="121"/>
      <c r="P552" s="121"/>
      <c r="Q552" s="121"/>
      <c r="R552" s="120"/>
      <c r="S552" s="120"/>
      <c r="T552" s="120"/>
      <c r="U552" s="190"/>
      <c r="V552" s="190"/>
      <c r="W552" s="190"/>
      <c r="X552" s="190"/>
      <c r="Y552" s="190"/>
      <c r="Z552" s="190"/>
      <c r="AA552" s="120"/>
      <c r="AB552" s="120"/>
      <c r="AC552" s="120"/>
    </row>
    <row r="553" spans="1:29" ht="14.25" customHeight="1">
      <c r="A553" s="120"/>
      <c r="B553" s="120"/>
      <c r="C553" s="120"/>
      <c r="D553" s="121"/>
      <c r="E553" s="121"/>
      <c r="F553" s="120"/>
      <c r="G553" s="120"/>
      <c r="H553" s="121"/>
      <c r="I553" s="121"/>
      <c r="J553" s="121"/>
      <c r="K553" s="120"/>
      <c r="L553" s="120"/>
      <c r="M553" s="122"/>
      <c r="N553" s="121"/>
      <c r="O553" s="121"/>
      <c r="P553" s="121"/>
      <c r="Q553" s="121"/>
      <c r="R553" s="120"/>
      <c r="S553" s="120"/>
      <c r="T553" s="120"/>
      <c r="U553" s="190"/>
      <c r="V553" s="190"/>
      <c r="W553" s="190"/>
      <c r="X553" s="190"/>
      <c r="Y553" s="190"/>
      <c r="Z553" s="190"/>
      <c r="AA553" s="120"/>
      <c r="AB553" s="120"/>
      <c r="AC553" s="120"/>
    </row>
    <row r="554" spans="1:29" ht="14.25" customHeight="1">
      <c r="A554" s="120"/>
      <c r="B554" s="120"/>
      <c r="C554" s="120"/>
      <c r="D554" s="121"/>
      <c r="E554" s="121"/>
      <c r="F554" s="120"/>
      <c r="G554" s="120"/>
      <c r="H554" s="121"/>
      <c r="I554" s="121"/>
      <c r="J554" s="121"/>
      <c r="K554" s="120"/>
      <c r="L554" s="120"/>
      <c r="M554" s="122"/>
      <c r="N554" s="121"/>
      <c r="O554" s="121"/>
      <c r="P554" s="121"/>
      <c r="Q554" s="121"/>
      <c r="R554" s="120"/>
      <c r="S554" s="120"/>
      <c r="T554" s="120"/>
      <c r="U554" s="190"/>
      <c r="V554" s="190"/>
      <c r="W554" s="190"/>
      <c r="X554" s="190"/>
      <c r="Y554" s="190"/>
      <c r="Z554" s="190"/>
      <c r="AA554" s="120"/>
      <c r="AB554" s="120"/>
      <c r="AC554" s="120"/>
    </row>
    <row r="555" spans="1:29" ht="14.25" customHeight="1">
      <c r="A555" s="120"/>
      <c r="B555" s="120"/>
      <c r="C555" s="120"/>
      <c r="D555" s="121"/>
      <c r="E555" s="121"/>
      <c r="F555" s="120"/>
      <c r="G555" s="120"/>
      <c r="H555" s="121"/>
      <c r="I555" s="121"/>
      <c r="J555" s="121"/>
      <c r="K555" s="120"/>
      <c r="L555" s="120"/>
      <c r="M555" s="122"/>
      <c r="N555" s="121"/>
      <c r="O555" s="121"/>
      <c r="P555" s="121"/>
      <c r="Q555" s="121"/>
      <c r="R555" s="120"/>
      <c r="S555" s="120"/>
      <c r="T555" s="120"/>
      <c r="U555" s="190"/>
      <c r="V555" s="190"/>
      <c r="W555" s="190"/>
      <c r="X555" s="190"/>
      <c r="Y555" s="190"/>
      <c r="Z555" s="190"/>
      <c r="AA555" s="120"/>
      <c r="AB555" s="120"/>
      <c r="AC555" s="120"/>
    </row>
    <row r="556" spans="1:29" ht="14.25" customHeight="1">
      <c r="A556" s="120"/>
      <c r="B556" s="120"/>
      <c r="C556" s="120"/>
      <c r="D556" s="121"/>
      <c r="E556" s="121"/>
      <c r="F556" s="120"/>
      <c r="G556" s="120"/>
      <c r="H556" s="121"/>
      <c r="I556" s="121"/>
      <c r="J556" s="121"/>
      <c r="K556" s="120"/>
      <c r="L556" s="120"/>
      <c r="M556" s="122"/>
      <c r="N556" s="121"/>
      <c r="O556" s="121"/>
      <c r="P556" s="121"/>
      <c r="Q556" s="121"/>
      <c r="R556" s="120"/>
      <c r="S556" s="120"/>
      <c r="T556" s="120"/>
      <c r="U556" s="190"/>
      <c r="V556" s="190"/>
      <c r="W556" s="190"/>
      <c r="X556" s="190"/>
      <c r="Y556" s="190"/>
      <c r="Z556" s="190"/>
      <c r="AA556" s="120"/>
      <c r="AB556" s="120"/>
      <c r="AC556" s="120"/>
    </row>
    <row r="557" spans="1:29" ht="14.25" customHeight="1">
      <c r="A557" s="120"/>
      <c r="B557" s="120"/>
      <c r="C557" s="120"/>
      <c r="D557" s="121"/>
      <c r="E557" s="121"/>
      <c r="F557" s="120"/>
      <c r="G557" s="120"/>
      <c r="H557" s="121"/>
      <c r="I557" s="121"/>
      <c r="J557" s="121"/>
      <c r="K557" s="120"/>
      <c r="L557" s="120"/>
      <c r="M557" s="122"/>
      <c r="N557" s="121"/>
      <c r="O557" s="121"/>
      <c r="P557" s="121"/>
      <c r="Q557" s="121"/>
      <c r="R557" s="120"/>
      <c r="S557" s="120"/>
      <c r="T557" s="120"/>
      <c r="U557" s="190"/>
      <c r="V557" s="190"/>
      <c r="W557" s="190"/>
      <c r="X557" s="190"/>
      <c r="Y557" s="190"/>
      <c r="Z557" s="190"/>
      <c r="AA557" s="120"/>
      <c r="AB557" s="120"/>
      <c r="AC557" s="120"/>
    </row>
    <row r="558" spans="1:29" ht="14.25" customHeight="1">
      <c r="A558" s="120"/>
      <c r="B558" s="120"/>
      <c r="C558" s="120"/>
      <c r="D558" s="121"/>
      <c r="E558" s="121"/>
      <c r="F558" s="120"/>
      <c r="G558" s="120"/>
      <c r="H558" s="121"/>
      <c r="I558" s="121"/>
      <c r="J558" s="121"/>
      <c r="K558" s="120"/>
      <c r="L558" s="120"/>
      <c r="M558" s="122"/>
      <c r="N558" s="121"/>
      <c r="O558" s="121"/>
      <c r="P558" s="121"/>
      <c r="Q558" s="121"/>
      <c r="R558" s="120"/>
      <c r="S558" s="120"/>
      <c r="T558" s="120"/>
      <c r="U558" s="190"/>
      <c r="V558" s="190"/>
      <c r="W558" s="190"/>
      <c r="X558" s="190"/>
      <c r="Y558" s="190"/>
      <c r="Z558" s="190"/>
      <c r="AA558" s="120"/>
      <c r="AB558" s="120"/>
      <c r="AC558" s="120"/>
    </row>
    <row r="559" spans="1:29" ht="14.25" customHeight="1">
      <c r="A559" s="120"/>
      <c r="B559" s="120"/>
      <c r="C559" s="120"/>
      <c r="D559" s="121"/>
      <c r="E559" s="121"/>
      <c r="F559" s="120"/>
      <c r="G559" s="120"/>
      <c r="H559" s="121"/>
      <c r="I559" s="121"/>
      <c r="J559" s="121"/>
      <c r="K559" s="120"/>
      <c r="L559" s="120"/>
      <c r="M559" s="122"/>
      <c r="N559" s="121"/>
      <c r="O559" s="121"/>
      <c r="P559" s="121"/>
      <c r="Q559" s="121"/>
      <c r="R559" s="120"/>
      <c r="S559" s="120"/>
      <c r="T559" s="120"/>
      <c r="U559" s="190"/>
      <c r="V559" s="190"/>
      <c r="W559" s="190"/>
      <c r="X559" s="190"/>
      <c r="Y559" s="190"/>
      <c r="Z559" s="190"/>
      <c r="AA559" s="120"/>
      <c r="AB559" s="120"/>
      <c r="AC559" s="120"/>
    </row>
    <row r="560" spans="1:29" ht="14.25" customHeight="1">
      <c r="A560" s="120"/>
      <c r="B560" s="120"/>
      <c r="C560" s="120"/>
      <c r="D560" s="121"/>
      <c r="E560" s="121"/>
      <c r="F560" s="120"/>
      <c r="G560" s="120"/>
      <c r="H560" s="121"/>
      <c r="I560" s="121"/>
      <c r="J560" s="121"/>
      <c r="K560" s="120"/>
      <c r="L560" s="120"/>
      <c r="M560" s="122"/>
      <c r="N560" s="121"/>
      <c r="O560" s="121"/>
      <c r="P560" s="121"/>
      <c r="Q560" s="121"/>
      <c r="R560" s="120"/>
      <c r="S560" s="120"/>
      <c r="T560" s="120"/>
      <c r="U560" s="190"/>
      <c r="V560" s="190"/>
      <c r="W560" s="190"/>
      <c r="X560" s="190"/>
      <c r="Y560" s="190"/>
      <c r="Z560" s="190"/>
      <c r="AA560" s="120"/>
      <c r="AB560" s="120"/>
      <c r="AC560" s="120"/>
    </row>
    <row r="561" spans="1:29" ht="14.25" customHeight="1">
      <c r="A561" s="120"/>
      <c r="B561" s="120"/>
      <c r="C561" s="120"/>
      <c r="D561" s="121"/>
      <c r="E561" s="121"/>
      <c r="F561" s="120"/>
      <c r="G561" s="120"/>
      <c r="H561" s="121"/>
      <c r="I561" s="121"/>
      <c r="J561" s="121"/>
      <c r="K561" s="120"/>
      <c r="L561" s="120"/>
      <c r="M561" s="122"/>
      <c r="N561" s="121"/>
      <c r="O561" s="121"/>
      <c r="P561" s="121"/>
      <c r="Q561" s="121"/>
      <c r="R561" s="120"/>
      <c r="S561" s="120"/>
      <c r="T561" s="120"/>
      <c r="U561" s="190"/>
      <c r="V561" s="190"/>
      <c r="W561" s="190"/>
      <c r="X561" s="190"/>
      <c r="Y561" s="190"/>
      <c r="Z561" s="190"/>
      <c r="AA561" s="120"/>
      <c r="AB561" s="120"/>
      <c r="AC561" s="120"/>
    </row>
    <row r="562" spans="1:29" ht="14.25" customHeight="1">
      <c r="A562" s="120"/>
      <c r="B562" s="120"/>
      <c r="C562" s="120"/>
      <c r="D562" s="121"/>
      <c r="E562" s="121"/>
      <c r="F562" s="120"/>
      <c r="G562" s="120"/>
      <c r="H562" s="121"/>
      <c r="I562" s="121"/>
      <c r="J562" s="121"/>
      <c r="K562" s="120"/>
      <c r="L562" s="120"/>
      <c r="M562" s="122"/>
      <c r="N562" s="121"/>
      <c r="O562" s="121"/>
      <c r="P562" s="121"/>
      <c r="Q562" s="121"/>
      <c r="R562" s="120"/>
      <c r="S562" s="120"/>
      <c r="T562" s="120"/>
      <c r="U562" s="190"/>
      <c r="V562" s="190"/>
      <c r="W562" s="190"/>
      <c r="X562" s="190"/>
      <c r="Y562" s="190"/>
      <c r="Z562" s="190"/>
      <c r="AA562" s="120"/>
      <c r="AB562" s="120"/>
      <c r="AC562" s="120"/>
    </row>
    <row r="563" spans="1:29" ht="14.25" customHeight="1">
      <c r="A563" s="120"/>
      <c r="B563" s="120"/>
      <c r="C563" s="120"/>
      <c r="D563" s="121"/>
      <c r="E563" s="121"/>
      <c r="F563" s="120"/>
      <c r="G563" s="120"/>
      <c r="H563" s="121"/>
      <c r="I563" s="121"/>
      <c r="J563" s="121"/>
      <c r="K563" s="120"/>
      <c r="L563" s="120"/>
      <c r="M563" s="122"/>
      <c r="N563" s="121"/>
      <c r="O563" s="121"/>
      <c r="P563" s="121"/>
      <c r="Q563" s="121"/>
      <c r="R563" s="120"/>
      <c r="S563" s="120"/>
      <c r="T563" s="120"/>
      <c r="U563" s="190"/>
      <c r="V563" s="190"/>
      <c r="W563" s="190"/>
      <c r="X563" s="190"/>
      <c r="Y563" s="190"/>
      <c r="Z563" s="190"/>
      <c r="AA563" s="120"/>
      <c r="AB563" s="120"/>
      <c r="AC563" s="120"/>
    </row>
    <row r="564" spans="1:29" ht="14.25" customHeight="1">
      <c r="A564" s="120"/>
      <c r="B564" s="120"/>
      <c r="C564" s="120"/>
      <c r="D564" s="121"/>
      <c r="E564" s="121"/>
      <c r="F564" s="120"/>
      <c r="G564" s="120"/>
      <c r="H564" s="121"/>
      <c r="I564" s="121"/>
      <c r="J564" s="121"/>
      <c r="K564" s="120"/>
      <c r="L564" s="120"/>
      <c r="M564" s="122"/>
      <c r="N564" s="121"/>
      <c r="O564" s="121"/>
      <c r="P564" s="121"/>
      <c r="Q564" s="121"/>
      <c r="R564" s="120"/>
      <c r="S564" s="120"/>
      <c r="T564" s="120"/>
      <c r="U564" s="190"/>
      <c r="V564" s="190"/>
      <c r="W564" s="190"/>
      <c r="X564" s="190"/>
      <c r="Y564" s="190"/>
      <c r="Z564" s="190"/>
      <c r="AA564" s="120"/>
      <c r="AB564" s="120"/>
      <c r="AC564" s="120"/>
    </row>
    <row r="565" spans="1:29" ht="14.25" customHeight="1">
      <c r="A565" s="120"/>
      <c r="B565" s="120"/>
      <c r="C565" s="120"/>
      <c r="D565" s="121"/>
      <c r="E565" s="121"/>
      <c r="F565" s="120"/>
      <c r="G565" s="120"/>
      <c r="H565" s="121"/>
      <c r="I565" s="121"/>
      <c r="J565" s="121"/>
      <c r="K565" s="120"/>
      <c r="L565" s="120"/>
      <c r="M565" s="122"/>
      <c r="N565" s="121"/>
      <c r="O565" s="121"/>
      <c r="P565" s="121"/>
      <c r="Q565" s="121"/>
      <c r="R565" s="120"/>
      <c r="S565" s="120"/>
      <c r="T565" s="120"/>
      <c r="U565" s="190"/>
      <c r="V565" s="190"/>
      <c r="W565" s="190"/>
      <c r="X565" s="190"/>
      <c r="Y565" s="190"/>
      <c r="Z565" s="190"/>
      <c r="AA565" s="120"/>
      <c r="AB565" s="120"/>
      <c r="AC565" s="120"/>
    </row>
    <row r="566" spans="1:29" ht="14.25" customHeight="1">
      <c r="A566" s="120"/>
      <c r="B566" s="120"/>
      <c r="C566" s="120"/>
      <c r="D566" s="121"/>
      <c r="E566" s="121"/>
      <c r="F566" s="120"/>
      <c r="G566" s="120"/>
      <c r="H566" s="121"/>
      <c r="I566" s="121"/>
      <c r="J566" s="121"/>
      <c r="K566" s="120"/>
      <c r="L566" s="120"/>
      <c r="M566" s="122"/>
      <c r="N566" s="121"/>
      <c r="O566" s="121"/>
      <c r="P566" s="121"/>
      <c r="Q566" s="121"/>
      <c r="R566" s="120"/>
      <c r="S566" s="120"/>
      <c r="T566" s="120"/>
      <c r="U566" s="190"/>
      <c r="V566" s="190"/>
      <c r="W566" s="190"/>
      <c r="X566" s="190"/>
      <c r="Y566" s="190"/>
      <c r="Z566" s="190"/>
      <c r="AA566" s="120"/>
      <c r="AB566" s="120"/>
      <c r="AC566" s="120"/>
    </row>
    <row r="567" spans="1:29" ht="14.25" customHeight="1">
      <c r="A567" s="120"/>
      <c r="B567" s="120"/>
      <c r="C567" s="120"/>
      <c r="D567" s="121"/>
      <c r="E567" s="121"/>
      <c r="F567" s="120"/>
      <c r="G567" s="120"/>
      <c r="H567" s="121"/>
      <c r="I567" s="121"/>
      <c r="J567" s="121"/>
      <c r="K567" s="120"/>
      <c r="L567" s="120"/>
      <c r="M567" s="122"/>
      <c r="N567" s="121"/>
      <c r="O567" s="121"/>
      <c r="P567" s="121"/>
      <c r="Q567" s="121"/>
      <c r="R567" s="120"/>
      <c r="S567" s="120"/>
      <c r="T567" s="120"/>
      <c r="U567" s="190"/>
      <c r="V567" s="190"/>
      <c r="W567" s="190"/>
      <c r="X567" s="190"/>
      <c r="Y567" s="190"/>
      <c r="Z567" s="190"/>
      <c r="AA567" s="120"/>
      <c r="AB567" s="120"/>
      <c r="AC567" s="120"/>
    </row>
    <row r="568" spans="1:29" ht="14.25" customHeight="1">
      <c r="A568" s="120"/>
      <c r="B568" s="120"/>
      <c r="C568" s="120"/>
      <c r="D568" s="121"/>
      <c r="E568" s="121"/>
      <c r="F568" s="120"/>
      <c r="G568" s="120"/>
      <c r="H568" s="121"/>
      <c r="I568" s="121"/>
      <c r="J568" s="121"/>
      <c r="K568" s="120"/>
      <c r="L568" s="120"/>
      <c r="M568" s="122"/>
      <c r="N568" s="121"/>
      <c r="O568" s="121"/>
      <c r="P568" s="121"/>
      <c r="Q568" s="121"/>
      <c r="R568" s="120"/>
      <c r="S568" s="120"/>
      <c r="T568" s="120"/>
      <c r="U568" s="190"/>
      <c r="V568" s="190"/>
      <c r="W568" s="190"/>
      <c r="X568" s="190"/>
      <c r="Y568" s="190"/>
      <c r="Z568" s="190"/>
      <c r="AA568" s="120"/>
      <c r="AB568" s="120"/>
      <c r="AC568" s="120"/>
    </row>
    <row r="569" spans="1:29" ht="14.25" customHeight="1">
      <c r="A569" s="120"/>
      <c r="B569" s="120"/>
      <c r="C569" s="120"/>
      <c r="D569" s="121"/>
      <c r="E569" s="121"/>
      <c r="F569" s="120"/>
      <c r="G569" s="120"/>
      <c r="H569" s="121"/>
      <c r="I569" s="121"/>
      <c r="J569" s="121"/>
      <c r="K569" s="120"/>
      <c r="L569" s="120"/>
      <c r="M569" s="122"/>
      <c r="N569" s="121"/>
      <c r="O569" s="121"/>
      <c r="P569" s="121"/>
      <c r="Q569" s="121"/>
      <c r="R569" s="120"/>
      <c r="S569" s="120"/>
      <c r="T569" s="120"/>
      <c r="U569" s="190"/>
      <c r="V569" s="190"/>
      <c r="W569" s="190"/>
      <c r="X569" s="190"/>
      <c r="Y569" s="190"/>
      <c r="Z569" s="190"/>
      <c r="AA569" s="120"/>
      <c r="AB569" s="120"/>
      <c r="AC569" s="120"/>
    </row>
    <row r="570" spans="1:29" ht="14.25" customHeight="1">
      <c r="A570" s="120"/>
      <c r="B570" s="120"/>
      <c r="C570" s="120"/>
      <c r="D570" s="121"/>
      <c r="E570" s="121"/>
      <c r="F570" s="120"/>
      <c r="G570" s="120"/>
      <c r="H570" s="121"/>
      <c r="I570" s="121"/>
      <c r="J570" s="121"/>
      <c r="K570" s="120"/>
      <c r="L570" s="120"/>
      <c r="M570" s="122"/>
      <c r="N570" s="121"/>
      <c r="O570" s="121"/>
      <c r="P570" s="121"/>
      <c r="Q570" s="121"/>
      <c r="R570" s="120"/>
      <c r="S570" s="120"/>
      <c r="T570" s="120"/>
      <c r="U570" s="190"/>
      <c r="V570" s="190"/>
      <c r="W570" s="190"/>
      <c r="X570" s="190"/>
      <c r="Y570" s="190"/>
      <c r="Z570" s="190"/>
      <c r="AA570" s="120"/>
      <c r="AB570" s="120"/>
      <c r="AC570" s="120"/>
    </row>
    <row r="571" spans="1:29" ht="14.25" customHeight="1">
      <c r="A571" s="120"/>
      <c r="B571" s="120"/>
      <c r="C571" s="120"/>
      <c r="D571" s="121"/>
      <c r="E571" s="121"/>
      <c r="F571" s="120"/>
      <c r="G571" s="120"/>
      <c r="H571" s="121"/>
      <c r="I571" s="121"/>
      <c r="J571" s="121"/>
      <c r="K571" s="120"/>
      <c r="L571" s="120"/>
      <c r="M571" s="122"/>
      <c r="N571" s="121"/>
      <c r="O571" s="121"/>
      <c r="P571" s="121"/>
      <c r="Q571" s="121"/>
      <c r="R571" s="120"/>
      <c r="S571" s="120"/>
      <c r="T571" s="120"/>
      <c r="U571" s="190"/>
      <c r="V571" s="190"/>
      <c r="W571" s="190"/>
      <c r="X571" s="190"/>
      <c r="Y571" s="190"/>
      <c r="Z571" s="190"/>
      <c r="AA571" s="120"/>
      <c r="AB571" s="120"/>
      <c r="AC571" s="120"/>
    </row>
    <row r="572" spans="1:29" ht="14.25" customHeight="1">
      <c r="A572" s="120"/>
      <c r="B572" s="120"/>
      <c r="C572" s="120"/>
      <c r="D572" s="121"/>
      <c r="E572" s="121"/>
      <c r="F572" s="120"/>
      <c r="G572" s="120"/>
      <c r="H572" s="121"/>
      <c r="I572" s="121"/>
      <c r="J572" s="121"/>
      <c r="K572" s="120"/>
      <c r="L572" s="120"/>
      <c r="M572" s="122"/>
      <c r="N572" s="121"/>
      <c r="O572" s="121"/>
      <c r="P572" s="121"/>
      <c r="Q572" s="121"/>
      <c r="R572" s="120"/>
      <c r="S572" s="120"/>
      <c r="T572" s="120"/>
      <c r="U572" s="190"/>
      <c r="V572" s="190"/>
      <c r="W572" s="190"/>
      <c r="X572" s="190"/>
      <c r="Y572" s="190"/>
      <c r="Z572" s="190"/>
      <c r="AA572" s="120"/>
      <c r="AB572" s="120"/>
      <c r="AC572" s="120"/>
    </row>
    <row r="573" spans="1:29" ht="14.25" customHeight="1">
      <c r="A573" s="120"/>
      <c r="B573" s="120"/>
      <c r="C573" s="120"/>
      <c r="D573" s="121"/>
      <c r="E573" s="121"/>
      <c r="F573" s="120"/>
      <c r="G573" s="120"/>
      <c r="H573" s="121"/>
      <c r="I573" s="121"/>
      <c r="J573" s="121"/>
      <c r="K573" s="120"/>
      <c r="L573" s="120"/>
      <c r="M573" s="122"/>
      <c r="N573" s="121"/>
      <c r="O573" s="121"/>
      <c r="P573" s="121"/>
      <c r="Q573" s="121"/>
      <c r="R573" s="120"/>
      <c r="S573" s="120"/>
      <c r="T573" s="120"/>
      <c r="U573" s="190"/>
      <c r="V573" s="190"/>
      <c r="W573" s="190"/>
      <c r="X573" s="190"/>
      <c r="Y573" s="190"/>
      <c r="Z573" s="190"/>
      <c r="AA573" s="120"/>
      <c r="AB573" s="120"/>
      <c r="AC573" s="120"/>
    </row>
    <row r="574" spans="1:29" ht="14.25" customHeight="1">
      <c r="A574" s="120"/>
      <c r="B574" s="120"/>
      <c r="C574" s="120"/>
      <c r="D574" s="121"/>
      <c r="E574" s="121"/>
      <c r="F574" s="120"/>
      <c r="G574" s="120"/>
      <c r="H574" s="121"/>
      <c r="I574" s="121"/>
      <c r="J574" s="121"/>
      <c r="K574" s="120"/>
      <c r="L574" s="120"/>
      <c r="M574" s="122"/>
      <c r="N574" s="121"/>
      <c r="O574" s="121"/>
      <c r="P574" s="121"/>
      <c r="Q574" s="121"/>
      <c r="R574" s="120"/>
      <c r="S574" s="120"/>
      <c r="T574" s="120"/>
      <c r="U574" s="190"/>
      <c r="V574" s="190"/>
      <c r="W574" s="190"/>
      <c r="X574" s="190"/>
      <c r="Y574" s="190"/>
      <c r="Z574" s="190"/>
      <c r="AA574" s="120"/>
      <c r="AB574" s="120"/>
      <c r="AC574" s="120"/>
    </row>
    <row r="575" spans="1:29" ht="14.25" customHeight="1">
      <c r="A575" s="120"/>
      <c r="B575" s="120"/>
      <c r="C575" s="120"/>
      <c r="D575" s="121"/>
      <c r="E575" s="121"/>
      <c r="F575" s="120"/>
      <c r="G575" s="120"/>
      <c r="H575" s="121"/>
      <c r="I575" s="121"/>
      <c r="J575" s="121"/>
      <c r="K575" s="120"/>
      <c r="L575" s="120"/>
      <c r="M575" s="122"/>
      <c r="N575" s="121"/>
      <c r="O575" s="121"/>
      <c r="P575" s="121"/>
      <c r="Q575" s="121"/>
      <c r="R575" s="120"/>
      <c r="S575" s="120"/>
      <c r="T575" s="120"/>
      <c r="U575" s="190"/>
      <c r="V575" s="190"/>
      <c r="W575" s="190"/>
      <c r="X575" s="190"/>
      <c r="Y575" s="190"/>
      <c r="Z575" s="190"/>
      <c r="AA575" s="120"/>
      <c r="AB575" s="120"/>
      <c r="AC575" s="120"/>
    </row>
    <row r="576" spans="1:29" ht="14.25" customHeight="1">
      <c r="A576" s="120"/>
      <c r="B576" s="120"/>
      <c r="C576" s="120"/>
      <c r="D576" s="121"/>
      <c r="E576" s="121"/>
      <c r="F576" s="120"/>
      <c r="G576" s="120"/>
      <c r="H576" s="121"/>
      <c r="I576" s="121"/>
      <c r="J576" s="121"/>
      <c r="K576" s="120"/>
      <c r="L576" s="120"/>
      <c r="M576" s="122"/>
      <c r="N576" s="121"/>
      <c r="O576" s="121"/>
      <c r="P576" s="121"/>
      <c r="Q576" s="121"/>
      <c r="R576" s="120"/>
      <c r="S576" s="120"/>
      <c r="T576" s="120"/>
      <c r="U576" s="190"/>
      <c r="V576" s="190"/>
      <c r="W576" s="190"/>
      <c r="X576" s="190"/>
      <c r="Y576" s="190"/>
      <c r="Z576" s="190"/>
      <c r="AA576" s="120"/>
      <c r="AB576" s="120"/>
      <c r="AC576" s="120"/>
    </row>
    <row r="577" spans="1:29" ht="14.25" customHeight="1">
      <c r="A577" s="120"/>
      <c r="B577" s="120"/>
      <c r="C577" s="120"/>
      <c r="D577" s="121"/>
      <c r="E577" s="121"/>
      <c r="F577" s="120"/>
      <c r="G577" s="120"/>
      <c r="H577" s="121"/>
      <c r="I577" s="121"/>
      <c r="J577" s="121"/>
      <c r="K577" s="120"/>
      <c r="L577" s="120"/>
      <c r="M577" s="122"/>
      <c r="N577" s="121"/>
      <c r="O577" s="121"/>
      <c r="P577" s="121"/>
      <c r="Q577" s="121"/>
      <c r="R577" s="120"/>
      <c r="S577" s="120"/>
      <c r="T577" s="120"/>
      <c r="U577" s="190"/>
      <c r="V577" s="190"/>
      <c r="W577" s="190"/>
      <c r="X577" s="190"/>
      <c r="Y577" s="190"/>
      <c r="Z577" s="190"/>
      <c r="AA577" s="120"/>
      <c r="AB577" s="120"/>
      <c r="AC577" s="120"/>
    </row>
    <row r="578" spans="1:29" ht="14.25" customHeight="1">
      <c r="A578" s="120"/>
      <c r="B578" s="120"/>
      <c r="C578" s="120"/>
      <c r="D578" s="121"/>
      <c r="E578" s="121"/>
      <c r="F578" s="120"/>
      <c r="G578" s="120"/>
      <c r="H578" s="121"/>
      <c r="I578" s="121"/>
      <c r="J578" s="121"/>
      <c r="K578" s="120"/>
      <c r="L578" s="120"/>
      <c r="M578" s="122"/>
      <c r="N578" s="121"/>
      <c r="O578" s="121"/>
      <c r="P578" s="121"/>
      <c r="Q578" s="121"/>
      <c r="R578" s="120"/>
      <c r="S578" s="120"/>
      <c r="T578" s="120"/>
      <c r="U578" s="190"/>
      <c r="V578" s="190"/>
      <c r="W578" s="190"/>
      <c r="X578" s="190"/>
      <c r="Y578" s="190"/>
      <c r="Z578" s="190"/>
      <c r="AA578" s="120"/>
      <c r="AB578" s="120"/>
      <c r="AC578" s="120"/>
    </row>
    <row r="579" spans="1:29" ht="14.25" customHeight="1">
      <c r="A579" s="120"/>
      <c r="B579" s="120"/>
      <c r="C579" s="120"/>
      <c r="D579" s="121"/>
      <c r="E579" s="121"/>
      <c r="F579" s="120"/>
      <c r="G579" s="120"/>
      <c r="H579" s="121"/>
      <c r="I579" s="121"/>
      <c r="J579" s="121"/>
      <c r="K579" s="120"/>
      <c r="L579" s="120"/>
      <c r="M579" s="122"/>
      <c r="N579" s="121"/>
      <c r="O579" s="121"/>
      <c r="P579" s="121"/>
      <c r="Q579" s="121"/>
      <c r="R579" s="120"/>
      <c r="S579" s="120"/>
      <c r="T579" s="120"/>
      <c r="U579" s="190"/>
      <c r="V579" s="190"/>
      <c r="W579" s="190"/>
      <c r="X579" s="190"/>
      <c r="Y579" s="190"/>
      <c r="Z579" s="190"/>
      <c r="AA579" s="120"/>
      <c r="AB579" s="120"/>
      <c r="AC579" s="120"/>
    </row>
    <row r="580" spans="1:29" ht="14.25" customHeight="1">
      <c r="A580" s="120"/>
      <c r="B580" s="120"/>
      <c r="C580" s="120"/>
      <c r="D580" s="121"/>
      <c r="E580" s="121"/>
      <c r="F580" s="120"/>
      <c r="G580" s="120"/>
      <c r="H580" s="121"/>
      <c r="I580" s="121"/>
      <c r="J580" s="121"/>
      <c r="K580" s="120"/>
      <c r="L580" s="120"/>
      <c r="M580" s="122"/>
      <c r="N580" s="121"/>
      <c r="O580" s="121"/>
      <c r="P580" s="121"/>
      <c r="Q580" s="121"/>
      <c r="R580" s="120"/>
      <c r="S580" s="120"/>
      <c r="T580" s="120"/>
      <c r="U580" s="190"/>
      <c r="V580" s="190"/>
      <c r="W580" s="190"/>
      <c r="X580" s="190"/>
      <c r="Y580" s="190"/>
      <c r="Z580" s="190"/>
      <c r="AA580" s="120"/>
      <c r="AB580" s="120"/>
      <c r="AC580" s="120"/>
    </row>
    <row r="581" spans="1:29" ht="14.25" customHeight="1">
      <c r="A581" s="120"/>
      <c r="B581" s="120"/>
      <c r="C581" s="120"/>
      <c r="D581" s="121"/>
      <c r="E581" s="121"/>
      <c r="F581" s="120"/>
      <c r="G581" s="120"/>
      <c r="H581" s="121"/>
      <c r="I581" s="121"/>
      <c r="J581" s="121"/>
      <c r="K581" s="120"/>
      <c r="L581" s="120"/>
      <c r="M581" s="122"/>
      <c r="N581" s="121"/>
      <c r="O581" s="121"/>
      <c r="P581" s="121"/>
      <c r="Q581" s="121"/>
      <c r="R581" s="120"/>
      <c r="S581" s="120"/>
      <c r="T581" s="120"/>
      <c r="U581" s="190"/>
      <c r="V581" s="190"/>
      <c r="W581" s="190"/>
      <c r="X581" s="190"/>
      <c r="Y581" s="190"/>
      <c r="Z581" s="190"/>
      <c r="AA581" s="120"/>
      <c r="AB581" s="120"/>
      <c r="AC581" s="120"/>
    </row>
    <row r="582" spans="1:29" ht="14.25" customHeight="1">
      <c r="A582" s="120"/>
      <c r="B582" s="120"/>
      <c r="C582" s="120"/>
      <c r="D582" s="121"/>
      <c r="E582" s="121"/>
      <c r="F582" s="120"/>
      <c r="G582" s="120"/>
      <c r="H582" s="121"/>
      <c r="I582" s="121"/>
      <c r="J582" s="121"/>
      <c r="K582" s="120"/>
      <c r="L582" s="120"/>
      <c r="M582" s="122"/>
      <c r="N582" s="121"/>
      <c r="O582" s="121"/>
      <c r="P582" s="121"/>
      <c r="Q582" s="121"/>
      <c r="R582" s="120"/>
      <c r="S582" s="120"/>
      <c r="T582" s="120"/>
      <c r="U582" s="190"/>
      <c r="V582" s="190"/>
      <c r="W582" s="190"/>
      <c r="X582" s="190"/>
      <c r="Y582" s="190"/>
      <c r="Z582" s="190"/>
      <c r="AA582" s="120"/>
      <c r="AB582" s="120"/>
      <c r="AC582" s="120"/>
    </row>
    <row r="583" spans="1:29" ht="14.25" customHeight="1">
      <c r="A583" s="120"/>
      <c r="B583" s="120"/>
      <c r="C583" s="120"/>
      <c r="D583" s="121"/>
      <c r="E583" s="121"/>
      <c r="F583" s="120"/>
      <c r="G583" s="120"/>
      <c r="H583" s="121"/>
      <c r="I583" s="121"/>
      <c r="J583" s="121"/>
      <c r="K583" s="120"/>
      <c r="L583" s="120"/>
      <c r="M583" s="122"/>
      <c r="N583" s="121"/>
      <c r="O583" s="121"/>
      <c r="P583" s="121"/>
      <c r="Q583" s="121"/>
      <c r="R583" s="120"/>
      <c r="S583" s="120"/>
      <c r="T583" s="120"/>
      <c r="U583" s="190"/>
      <c r="V583" s="190"/>
      <c r="W583" s="190"/>
      <c r="X583" s="190"/>
      <c r="Y583" s="190"/>
      <c r="Z583" s="190"/>
      <c r="AA583" s="120"/>
      <c r="AB583" s="120"/>
      <c r="AC583" s="120"/>
    </row>
    <row r="584" spans="1:29" ht="14.25" customHeight="1">
      <c r="A584" s="120"/>
      <c r="B584" s="120"/>
      <c r="C584" s="120"/>
      <c r="D584" s="121"/>
      <c r="E584" s="121"/>
      <c r="F584" s="120"/>
      <c r="G584" s="120"/>
      <c r="H584" s="121"/>
      <c r="I584" s="121"/>
      <c r="J584" s="121"/>
      <c r="K584" s="120"/>
      <c r="L584" s="120"/>
      <c r="M584" s="122"/>
      <c r="N584" s="121"/>
      <c r="O584" s="121"/>
      <c r="P584" s="121"/>
      <c r="Q584" s="121"/>
      <c r="R584" s="120"/>
      <c r="S584" s="120"/>
      <c r="T584" s="120"/>
      <c r="U584" s="190"/>
      <c r="V584" s="190"/>
      <c r="W584" s="190"/>
      <c r="X584" s="190"/>
      <c r="Y584" s="190"/>
      <c r="Z584" s="190"/>
      <c r="AA584" s="120"/>
      <c r="AB584" s="120"/>
      <c r="AC584" s="120"/>
    </row>
    <row r="585" spans="1:29" ht="14.25" customHeight="1">
      <c r="A585" s="120"/>
      <c r="B585" s="120"/>
      <c r="C585" s="120"/>
      <c r="D585" s="121"/>
      <c r="E585" s="121"/>
      <c r="F585" s="120"/>
      <c r="G585" s="120"/>
      <c r="H585" s="121"/>
      <c r="I585" s="121"/>
      <c r="J585" s="121"/>
      <c r="K585" s="120"/>
      <c r="L585" s="120"/>
      <c r="M585" s="122"/>
      <c r="N585" s="121"/>
      <c r="O585" s="121"/>
      <c r="P585" s="121"/>
      <c r="Q585" s="121"/>
      <c r="R585" s="120"/>
      <c r="S585" s="120"/>
      <c r="T585" s="120"/>
      <c r="U585" s="190"/>
      <c r="V585" s="190"/>
      <c r="W585" s="190"/>
      <c r="X585" s="190"/>
      <c r="Y585" s="190"/>
      <c r="Z585" s="190"/>
      <c r="AA585" s="120"/>
      <c r="AB585" s="120"/>
      <c r="AC585" s="120"/>
    </row>
    <row r="586" spans="1:29" ht="14.25" customHeight="1">
      <c r="A586" s="120"/>
      <c r="B586" s="120"/>
      <c r="C586" s="120"/>
      <c r="D586" s="121"/>
      <c r="E586" s="121"/>
      <c r="F586" s="120"/>
      <c r="G586" s="120"/>
      <c r="H586" s="121"/>
      <c r="I586" s="121"/>
      <c r="J586" s="121"/>
      <c r="K586" s="120"/>
      <c r="L586" s="120"/>
      <c r="M586" s="122"/>
      <c r="N586" s="121"/>
      <c r="O586" s="121"/>
      <c r="P586" s="121"/>
      <c r="Q586" s="121"/>
      <c r="R586" s="120"/>
      <c r="S586" s="120"/>
      <c r="T586" s="120"/>
      <c r="U586" s="190"/>
      <c r="V586" s="190"/>
      <c r="W586" s="190"/>
      <c r="X586" s="190"/>
      <c r="Y586" s="190"/>
      <c r="Z586" s="190"/>
      <c r="AA586" s="120"/>
      <c r="AB586" s="120"/>
      <c r="AC586" s="120"/>
    </row>
    <row r="587" spans="1:29" ht="14.25" customHeight="1">
      <c r="A587" s="120"/>
      <c r="B587" s="120"/>
      <c r="C587" s="120"/>
      <c r="D587" s="121"/>
      <c r="E587" s="121"/>
      <c r="F587" s="120"/>
      <c r="G587" s="120"/>
      <c r="H587" s="121"/>
      <c r="I587" s="121"/>
      <c r="J587" s="121"/>
      <c r="K587" s="120"/>
      <c r="L587" s="120"/>
      <c r="M587" s="122"/>
      <c r="N587" s="121"/>
      <c r="O587" s="121"/>
      <c r="P587" s="121"/>
      <c r="Q587" s="121"/>
      <c r="R587" s="120"/>
      <c r="S587" s="120"/>
      <c r="T587" s="120"/>
      <c r="U587" s="190"/>
      <c r="V587" s="190"/>
      <c r="W587" s="190"/>
      <c r="X587" s="190"/>
      <c r="Y587" s="190"/>
      <c r="Z587" s="190"/>
      <c r="AA587" s="120"/>
      <c r="AB587" s="120"/>
      <c r="AC587" s="120"/>
    </row>
    <row r="588" spans="1:29" ht="14.25" customHeight="1">
      <c r="A588" s="120"/>
      <c r="B588" s="120"/>
      <c r="C588" s="120"/>
      <c r="D588" s="121"/>
      <c r="E588" s="121"/>
      <c r="F588" s="120"/>
      <c r="G588" s="120"/>
      <c r="H588" s="121"/>
      <c r="I588" s="121"/>
      <c r="J588" s="121"/>
      <c r="K588" s="120"/>
      <c r="L588" s="120"/>
      <c r="M588" s="122"/>
      <c r="N588" s="121"/>
      <c r="O588" s="121"/>
      <c r="P588" s="121"/>
      <c r="Q588" s="121"/>
      <c r="R588" s="120"/>
      <c r="S588" s="120"/>
      <c r="T588" s="120"/>
      <c r="U588" s="190"/>
      <c r="V588" s="190"/>
      <c r="W588" s="190"/>
      <c r="X588" s="190"/>
      <c r="Y588" s="190"/>
      <c r="Z588" s="190"/>
      <c r="AA588" s="120"/>
      <c r="AB588" s="120"/>
      <c r="AC588" s="120"/>
    </row>
    <row r="589" spans="1:29" ht="14.25" customHeight="1">
      <c r="A589" s="120"/>
      <c r="B589" s="120"/>
      <c r="C589" s="120"/>
      <c r="D589" s="121"/>
      <c r="E589" s="121"/>
      <c r="F589" s="120"/>
      <c r="G589" s="120"/>
      <c r="H589" s="121"/>
      <c r="I589" s="121"/>
      <c r="J589" s="121"/>
      <c r="K589" s="120"/>
      <c r="L589" s="120"/>
      <c r="M589" s="122"/>
      <c r="N589" s="121"/>
      <c r="O589" s="121"/>
      <c r="P589" s="121"/>
      <c r="Q589" s="121"/>
      <c r="R589" s="120"/>
      <c r="S589" s="120"/>
      <c r="T589" s="120"/>
      <c r="U589" s="190"/>
      <c r="V589" s="190"/>
      <c r="W589" s="190"/>
      <c r="X589" s="190"/>
      <c r="Y589" s="190"/>
      <c r="Z589" s="190"/>
      <c r="AA589" s="120"/>
      <c r="AB589" s="120"/>
      <c r="AC589" s="120"/>
    </row>
    <row r="590" spans="1:29" ht="14.25" customHeight="1">
      <c r="A590" s="120"/>
      <c r="B590" s="120"/>
      <c r="C590" s="120"/>
      <c r="D590" s="121"/>
      <c r="E590" s="121"/>
      <c r="F590" s="120"/>
      <c r="G590" s="120"/>
      <c r="H590" s="121"/>
      <c r="I590" s="121"/>
      <c r="J590" s="121"/>
      <c r="K590" s="120"/>
      <c r="L590" s="120"/>
      <c r="M590" s="122"/>
      <c r="N590" s="121"/>
      <c r="O590" s="121"/>
      <c r="P590" s="121"/>
      <c r="Q590" s="121"/>
      <c r="R590" s="120"/>
      <c r="S590" s="120"/>
      <c r="T590" s="120"/>
      <c r="U590" s="190"/>
      <c r="V590" s="190"/>
      <c r="W590" s="190"/>
      <c r="X590" s="190"/>
      <c r="Y590" s="190"/>
      <c r="Z590" s="190"/>
      <c r="AA590" s="120"/>
      <c r="AB590" s="120"/>
      <c r="AC590" s="120"/>
    </row>
    <row r="591" spans="1:29" ht="14.25" customHeight="1">
      <c r="A591" s="120"/>
      <c r="B591" s="120"/>
      <c r="C591" s="120"/>
      <c r="D591" s="121"/>
      <c r="E591" s="121"/>
      <c r="F591" s="120"/>
      <c r="G591" s="120"/>
      <c r="H591" s="121"/>
      <c r="I591" s="121"/>
      <c r="J591" s="121"/>
      <c r="K591" s="120"/>
      <c r="L591" s="120"/>
      <c r="M591" s="122"/>
      <c r="N591" s="121"/>
      <c r="O591" s="121"/>
      <c r="P591" s="121"/>
      <c r="Q591" s="121"/>
      <c r="R591" s="120"/>
      <c r="S591" s="120"/>
      <c r="T591" s="120"/>
      <c r="U591" s="190"/>
      <c r="V591" s="190"/>
      <c r="W591" s="190"/>
      <c r="X591" s="190"/>
      <c r="Y591" s="190"/>
      <c r="Z591" s="190"/>
      <c r="AA591" s="120"/>
      <c r="AB591" s="120"/>
      <c r="AC591" s="120"/>
    </row>
    <row r="592" spans="1:29" ht="14.25" customHeight="1">
      <c r="A592" s="120"/>
      <c r="B592" s="120"/>
      <c r="C592" s="120"/>
      <c r="D592" s="121"/>
      <c r="E592" s="121"/>
      <c r="F592" s="120"/>
      <c r="G592" s="120"/>
      <c r="H592" s="121"/>
      <c r="I592" s="121"/>
      <c r="J592" s="121"/>
      <c r="K592" s="120"/>
      <c r="L592" s="120"/>
      <c r="M592" s="122"/>
      <c r="N592" s="121"/>
      <c r="O592" s="121"/>
      <c r="P592" s="121"/>
      <c r="Q592" s="121"/>
      <c r="R592" s="120"/>
      <c r="S592" s="120"/>
      <c r="T592" s="120"/>
      <c r="U592" s="190"/>
      <c r="V592" s="190"/>
      <c r="W592" s="190"/>
      <c r="X592" s="190"/>
      <c r="Y592" s="190"/>
      <c r="Z592" s="190"/>
      <c r="AA592" s="120"/>
      <c r="AB592" s="120"/>
      <c r="AC592" s="120"/>
    </row>
    <row r="593" spans="1:29" ht="14.25" customHeight="1">
      <c r="A593" s="120"/>
      <c r="B593" s="120"/>
      <c r="C593" s="120"/>
      <c r="D593" s="121"/>
      <c r="E593" s="121"/>
      <c r="F593" s="120"/>
      <c r="G593" s="120"/>
      <c r="H593" s="121"/>
      <c r="I593" s="121"/>
      <c r="J593" s="121"/>
      <c r="K593" s="120"/>
      <c r="L593" s="120"/>
      <c r="M593" s="122"/>
      <c r="N593" s="121"/>
      <c r="O593" s="121"/>
      <c r="P593" s="121"/>
      <c r="Q593" s="121"/>
      <c r="R593" s="120"/>
      <c r="S593" s="120"/>
      <c r="T593" s="120"/>
      <c r="U593" s="190"/>
      <c r="V593" s="190"/>
      <c r="W593" s="190"/>
      <c r="X593" s="190"/>
      <c r="Y593" s="190"/>
      <c r="Z593" s="190"/>
      <c r="AA593" s="120"/>
      <c r="AB593" s="120"/>
      <c r="AC593" s="120"/>
    </row>
    <row r="594" spans="1:29" ht="14.25" customHeight="1">
      <c r="A594" s="120"/>
      <c r="B594" s="120"/>
      <c r="C594" s="120"/>
      <c r="D594" s="121"/>
      <c r="E594" s="121"/>
      <c r="F594" s="120"/>
      <c r="G594" s="120"/>
      <c r="H594" s="121"/>
      <c r="I594" s="121"/>
      <c r="J594" s="121"/>
      <c r="K594" s="120"/>
      <c r="L594" s="120"/>
      <c r="M594" s="122"/>
      <c r="N594" s="121"/>
      <c r="O594" s="121"/>
      <c r="P594" s="121"/>
      <c r="Q594" s="121"/>
      <c r="R594" s="120"/>
      <c r="S594" s="120"/>
      <c r="T594" s="120"/>
      <c r="U594" s="190"/>
      <c r="V594" s="190"/>
      <c r="W594" s="190"/>
      <c r="X594" s="190"/>
      <c r="Y594" s="190"/>
      <c r="Z594" s="190"/>
      <c r="AA594" s="120"/>
      <c r="AB594" s="120"/>
      <c r="AC594" s="120"/>
    </row>
    <row r="595" spans="1:29" ht="14.25" customHeight="1">
      <c r="A595" s="120"/>
      <c r="B595" s="120"/>
      <c r="C595" s="120"/>
      <c r="D595" s="121"/>
      <c r="E595" s="121"/>
      <c r="F595" s="120"/>
      <c r="G595" s="120"/>
      <c r="H595" s="121"/>
      <c r="I595" s="121"/>
      <c r="J595" s="121"/>
      <c r="K595" s="120"/>
      <c r="L595" s="120"/>
      <c r="M595" s="122"/>
      <c r="N595" s="121"/>
      <c r="O595" s="121"/>
      <c r="P595" s="121"/>
      <c r="Q595" s="121"/>
      <c r="R595" s="120"/>
      <c r="S595" s="120"/>
      <c r="T595" s="120"/>
      <c r="U595" s="190"/>
      <c r="V595" s="190"/>
      <c r="W595" s="190"/>
      <c r="X595" s="190"/>
      <c r="Y595" s="190"/>
      <c r="Z595" s="190"/>
      <c r="AA595" s="120"/>
      <c r="AB595" s="120"/>
      <c r="AC595" s="120"/>
    </row>
    <row r="596" spans="1:29" ht="14.25" customHeight="1">
      <c r="A596" s="120"/>
      <c r="B596" s="120"/>
      <c r="C596" s="120"/>
      <c r="D596" s="121"/>
      <c r="E596" s="121"/>
      <c r="F596" s="120"/>
      <c r="G596" s="120"/>
      <c r="H596" s="121"/>
      <c r="I596" s="121"/>
      <c r="J596" s="121"/>
      <c r="K596" s="120"/>
      <c r="L596" s="120"/>
      <c r="M596" s="122"/>
      <c r="N596" s="121"/>
      <c r="O596" s="121"/>
      <c r="P596" s="121"/>
      <c r="Q596" s="121"/>
      <c r="R596" s="120"/>
      <c r="S596" s="120"/>
      <c r="T596" s="120"/>
      <c r="U596" s="190"/>
      <c r="V596" s="190"/>
      <c r="W596" s="190"/>
      <c r="X596" s="190"/>
      <c r="Y596" s="190"/>
      <c r="Z596" s="190"/>
      <c r="AA596" s="120"/>
      <c r="AB596" s="120"/>
      <c r="AC596" s="120"/>
    </row>
    <row r="597" spans="1:29" ht="14.25" customHeight="1">
      <c r="A597" s="120"/>
      <c r="B597" s="120"/>
      <c r="C597" s="120"/>
      <c r="D597" s="121"/>
      <c r="E597" s="121"/>
      <c r="F597" s="120"/>
      <c r="G597" s="120"/>
      <c r="H597" s="121"/>
      <c r="I597" s="121"/>
      <c r="J597" s="121"/>
      <c r="K597" s="120"/>
      <c r="L597" s="120"/>
      <c r="M597" s="122"/>
      <c r="N597" s="121"/>
      <c r="O597" s="121"/>
      <c r="P597" s="121"/>
      <c r="Q597" s="121"/>
      <c r="R597" s="120"/>
      <c r="S597" s="120"/>
      <c r="T597" s="120"/>
      <c r="U597" s="190"/>
      <c r="V597" s="190"/>
      <c r="W597" s="190"/>
      <c r="X597" s="190"/>
      <c r="Y597" s="190"/>
      <c r="Z597" s="190"/>
      <c r="AA597" s="120"/>
      <c r="AB597" s="120"/>
      <c r="AC597" s="120"/>
    </row>
    <row r="598" spans="1:29" ht="14.25" customHeight="1">
      <c r="A598" s="120"/>
      <c r="B598" s="120"/>
      <c r="C598" s="120"/>
      <c r="D598" s="121"/>
      <c r="E598" s="121"/>
      <c r="F598" s="120"/>
      <c r="G598" s="120"/>
      <c r="H598" s="121"/>
      <c r="I598" s="121"/>
      <c r="J598" s="121"/>
      <c r="K598" s="120"/>
      <c r="L598" s="120"/>
      <c r="M598" s="122"/>
      <c r="N598" s="121"/>
      <c r="O598" s="121"/>
      <c r="P598" s="121"/>
      <c r="Q598" s="121"/>
      <c r="R598" s="120"/>
      <c r="S598" s="120"/>
      <c r="T598" s="120"/>
      <c r="U598" s="190"/>
      <c r="V598" s="190"/>
      <c r="W598" s="190"/>
      <c r="X598" s="190"/>
      <c r="Y598" s="190"/>
      <c r="Z598" s="190"/>
      <c r="AA598" s="120"/>
      <c r="AB598" s="120"/>
      <c r="AC598" s="120"/>
    </row>
    <row r="599" spans="1:29" ht="14.25" customHeight="1">
      <c r="A599" s="120"/>
      <c r="B599" s="120"/>
      <c r="C599" s="120"/>
      <c r="D599" s="121"/>
      <c r="E599" s="121"/>
      <c r="F599" s="120"/>
      <c r="G599" s="120"/>
      <c r="H599" s="121"/>
      <c r="I599" s="121"/>
      <c r="J599" s="121"/>
      <c r="K599" s="120"/>
      <c r="L599" s="120"/>
      <c r="M599" s="122"/>
      <c r="N599" s="121"/>
      <c r="O599" s="121"/>
      <c r="P599" s="121"/>
      <c r="Q599" s="121"/>
      <c r="R599" s="120"/>
      <c r="S599" s="120"/>
      <c r="T599" s="120"/>
      <c r="U599" s="190"/>
      <c r="V599" s="190"/>
      <c r="W599" s="190"/>
      <c r="X599" s="190"/>
      <c r="Y599" s="190"/>
      <c r="Z599" s="190"/>
      <c r="AA599" s="120"/>
      <c r="AB599" s="120"/>
      <c r="AC599" s="120"/>
    </row>
    <row r="600" spans="1:29" ht="14.25" customHeight="1">
      <c r="A600" s="120"/>
      <c r="B600" s="120"/>
      <c r="C600" s="120"/>
      <c r="D600" s="121"/>
      <c r="E600" s="121"/>
      <c r="F600" s="120"/>
      <c r="G600" s="120"/>
      <c r="H600" s="121"/>
      <c r="I600" s="121"/>
      <c r="J600" s="121"/>
      <c r="K600" s="120"/>
      <c r="L600" s="120"/>
      <c r="M600" s="122"/>
      <c r="N600" s="121"/>
      <c r="O600" s="121"/>
      <c r="P600" s="121"/>
      <c r="Q600" s="121"/>
      <c r="R600" s="120"/>
      <c r="S600" s="120"/>
      <c r="T600" s="120"/>
      <c r="U600" s="190"/>
      <c r="V600" s="190"/>
      <c r="W600" s="190"/>
      <c r="X600" s="190"/>
      <c r="Y600" s="190"/>
      <c r="Z600" s="190"/>
      <c r="AA600" s="120"/>
      <c r="AB600" s="120"/>
      <c r="AC600" s="120"/>
    </row>
    <row r="601" spans="1:29" ht="14.25" customHeight="1">
      <c r="A601" s="120"/>
      <c r="B601" s="120"/>
      <c r="C601" s="120"/>
      <c r="D601" s="121"/>
      <c r="E601" s="121"/>
      <c r="F601" s="120"/>
      <c r="G601" s="120"/>
      <c r="H601" s="121"/>
      <c r="I601" s="121"/>
      <c r="J601" s="121"/>
      <c r="K601" s="120"/>
      <c r="L601" s="120"/>
      <c r="M601" s="122"/>
      <c r="N601" s="121"/>
      <c r="O601" s="121"/>
      <c r="P601" s="121"/>
      <c r="Q601" s="121"/>
      <c r="R601" s="120"/>
      <c r="S601" s="120"/>
      <c r="T601" s="120"/>
      <c r="U601" s="190"/>
      <c r="V601" s="190"/>
      <c r="W601" s="190"/>
      <c r="X601" s="190"/>
      <c r="Y601" s="190"/>
      <c r="Z601" s="190"/>
      <c r="AA601" s="120"/>
      <c r="AB601" s="120"/>
      <c r="AC601" s="120"/>
    </row>
    <row r="602" spans="1:29" ht="14.25" customHeight="1">
      <c r="A602" s="120"/>
      <c r="B602" s="120"/>
      <c r="C602" s="120"/>
      <c r="D602" s="121"/>
      <c r="E602" s="121"/>
      <c r="F602" s="120"/>
      <c r="G602" s="120"/>
      <c r="H602" s="121"/>
      <c r="I602" s="121"/>
      <c r="J602" s="121"/>
      <c r="K602" s="120"/>
      <c r="L602" s="120"/>
      <c r="M602" s="122"/>
      <c r="N602" s="121"/>
      <c r="O602" s="121"/>
      <c r="P602" s="121"/>
      <c r="Q602" s="121"/>
      <c r="R602" s="120"/>
      <c r="S602" s="120"/>
      <c r="T602" s="120"/>
      <c r="U602" s="190"/>
      <c r="V602" s="190"/>
      <c r="W602" s="190"/>
      <c r="X602" s="190"/>
      <c r="Y602" s="190"/>
      <c r="Z602" s="190"/>
      <c r="AA602" s="120"/>
      <c r="AB602" s="120"/>
      <c r="AC602" s="120"/>
    </row>
    <row r="603" spans="1:29" ht="14.25" customHeight="1">
      <c r="A603" s="120"/>
      <c r="B603" s="120"/>
      <c r="C603" s="120"/>
      <c r="D603" s="121"/>
      <c r="E603" s="121"/>
      <c r="F603" s="120"/>
      <c r="G603" s="120"/>
      <c r="H603" s="121"/>
      <c r="I603" s="121"/>
      <c r="J603" s="121"/>
      <c r="K603" s="120"/>
      <c r="L603" s="120"/>
      <c r="M603" s="122"/>
      <c r="N603" s="121"/>
      <c r="O603" s="121"/>
      <c r="P603" s="121"/>
      <c r="Q603" s="121"/>
      <c r="R603" s="120"/>
      <c r="S603" s="120"/>
      <c r="T603" s="120"/>
      <c r="U603" s="190"/>
      <c r="V603" s="190"/>
      <c r="W603" s="190"/>
      <c r="X603" s="190"/>
      <c r="Y603" s="190"/>
      <c r="Z603" s="190"/>
      <c r="AA603" s="120"/>
      <c r="AB603" s="120"/>
      <c r="AC603" s="120"/>
    </row>
    <row r="604" spans="1:29" ht="14.25" customHeight="1">
      <c r="A604" s="120"/>
      <c r="B604" s="120"/>
      <c r="C604" s="120"/>
      <c r="D604" s="121"/>
      <c r="E604" s="121"/>
      <c r="F604" s="120"/>
      <c r="G604" s="120"/>
      <c r="H604" s="121"/>
      <c r="I604" s="121"/>
      <c r="J604" s="121"/>
      <c r="K604" s="120"/>
      <c r="L604" s="120"/>
      <c r="M604" s="122"/>
      <c r="N604" s="121"/>
      <c r="O604" s="121"/>
      <c r="P604" s="121"/>
      <c r="Q604" s="121"/>
      <c r="R604" s="120"/>
      <c r="S604" s="120"/>
      <c r="T604" s="120"/>
      <c r="U604" s="190"/>
      <c r="V604" s="190"/>
      <c r="W604" s="190"/>
      <c r="X604" s="190"/>
      <c r="Y604" s="190"/>
      <c r="Z604" s="190"/>
      <c r="AA604" s="120"/>
      <c r="AB604" s="120"/>
      <c r="AC604" s="120"/>
    </row>
    <row r="605" spans="1:29" ht="14.25" customHeight="1">
      <c r="A605" s="120"/>
      <c r="B605" s="120"/>
      <c r="C605" s="120"/>
      <c r="D605" s="121"/>
      <c r="E605" s="121"/>
      <c r="F605" s="120"/>
      <c r="G605" s="120"/>
      <c r="H605" s="121"/>
      <c r="I605" s="121"/>
      <c r="J605" s="121"/>
      <c r="K605" s="120"/>
      <c r="L605" s="120"/>
      <c r="M605" s="122"/>
      <c r="N605" s="121"/>
      <c r="O605" s="121"/>
      <c r="P605" s="121"/>
      <c r="Q605" s="121"/>
      <c r="R605" s="120"/>
      <c r="S605" s="120"/>
      <c r="T605" s="120"/>
      <c r="U605" s="190"/>
      <c r="V605" s="190"/>
      <c r="W605" s="190"/>
      <c r="X605" s="190"/>
      <c r="Y605" s="190"/>
      <c r="Z605" s="190"/>
      <c r="AA605" s="120"/>
      <c r="AB605" s="120"/>
      <c r="AC605" s="120"/>
    </row>
    <row r="606" spans="1:29" ht="14.25" customHeight="1">
      <c r="A606" s="120"/>
      <c r="B606" s="120"/>
      <c r="C606" s="120"/>
      <c r="D606" s="121"/>
      <c r="E606" s="121"/>
      <c r="F606" s="120"/>
      <c r="G606" s="120"/>
      <c r="H606" s="121"/>
      <c r="I606" s="121"/>
      <c r="J606" s="121"/>
      <c r="K606" s="120"/>
      <c r="L606" s="120"/>
      <c r="M606" s="122"/>
      <c r="N606" s="121"/>
      <c r="O606" s="121"/>
      <c r="P606" s="121"/>
      <c r="Q606" s="121"/>
      <c r="R606" s="120"/>
      <c r="S606" s="120"/>
      <c r="T606" s="120"/>
      <c r="U606" s="190"/>
      <c r="V606" s="190"/>
      <c r="W606" s="190"/>
      <c r="X606" s="190"/>
      <c r="Y606" s="190"/>
      <c r="Z606" s="190"/>
      <c r="AA606" s="120"/>
      <c r="AB606" s="120"/>
      <c r="AC606" s="120"/>
    </row>
    <row r="607" spans="1:29" ht="14.25" customHeight="1">
      <c r="A607" s="120"/>
      <c r="B607" s="120"/>
      <c r="C607" s="120"/>
      <c r="D607" s="121"/>
      <c r="E607" s="121"/>
      <c r="F607" s="120"/>
      <c r="G607" s="120"/>
      <c r="H607" s="121"/>
      <c r="I607" s="121"/>
      <c r="J607" s="121"/>
      <c r="K607" s="120"/>
      <c r="L607" s="120"/>
      <c r="M607" s="122"/>
      <c r="N607" s="121"/>
      <c r="O607" s="121"/>
      <c r="P607" s="121"/>
      <c r="Q607" s="121"/>
      <c r="R607" s="120"/>
      <c r="S607" s="120"/>
      <c r="T607" s="120"/>
      <c r="U607" s="190"/>
      <c r="V607" s="190"/>
      <c r="W607" s="190"/>
      <c r="X607" s="190"/>
      <c r="Y607" s="190"/>
      <c r="Z607" s="190"/>
      <c r="AA607" s="120"/>
      <c r="AB607" s="120"/>
      <c r="AC607" s="120"/>
    </row>
    <row r="608" spans="1:29" ht="14.25" customHeight="1">
      <c r="A608" s="120"/>
      <c r="B608" s="120"/>
      <c r="C608" s="120"/>
      <c r="D608" s="121"/>
      <c r="E608" s="121"/>
      <c r="F608" s="120"/>
      <c r="G608" s="120"/>
      <c r="H608" s="121"/>
      <c r="I608" s="121"/>
      <c r="J608" s="121"/>
      <c r="K608" s="120"/>
      <c r="L608" s="120"/>
      <c r="M608" s="122"/>
      <c r="N608" s="121"/>
      <c r="O608" s="121"/>
      <c r="P608" s="121"/>
      <c r="Q608" s="121"/>
      <c r="R608" s="120"/>
      <c r="S608" s="120"/>
      <c r="T608" s="120"/>
      <c r="U608" s="190"/>
      <c r="V608" s="190"/>
      <c r="W608" s="190"/>
      <c r="X608" s="190"/>
      <c r="Y608" s="190"/>
      <c r="Z608" s="190"/>
      <c r="AA608" s="120"/>
      <c r="AB608" s="120"/>
      <c r="AC608" s="120"/>
    </row>
    <row r="609" spans="1:29" ht="14.25" customHeight="1">
      <c r="A609" s="120"/>
      <c r="B609" s="120"/>
      <c r="C609" s="120"/>
      <c r="D609" s="121"/>
      <c r="E609" s="121"/>
      <c r="F609" s="120"/>
      <c r="G609" s="120"/>
      <c r="H609" s="121"/>
      <c r="I609" s="121"/>
      <c r="J609" s="121"/>
      <c r="K609" s="120"/>
      <c r="L609" s="120"/>
      <c r="M609" s="122"/>
      <c r="N609" s="121"/>
      <c r="O609" s="121"/>
      <c r="P609" s="121"/>
      <c r="Q609" s="121"/>
      <c r="R609" s="120"/>
      <c r="S609" s="120"/>
      <c r="T609" s="120"/>
      <c r="U609" s="190"/>
      <c r="V609" s="190"/>
      <c r="W609" s="190"/>
      <c r="X609" s="190"/>
      <c r="Y609" s="190"/>
      <c r="Z609" s="190"/>
      <c r="AA609" s="120"/>
      <c r="AB609" s="120"/>
      <c r="AC609" s="120"/>
    </row>
    <row r="610" spans="1:29" ht="14.25" customHeight="1">
      <c r="A610" s="120"/>
      <c r="B610" s="120"/>
      <c r="C610" s="120"/>
      <c r="D610" s="121"/>
      <c r="E610" s="121"/>
      <c r="F610" s="120"/>
      <c r="G610" s="120"/>
      <c r="H610" s="121"/>
      <c r="I610" s="121"/>
      <c r="J610" s="121"/>
      <c r="K610" s="120"/>
      <c r="L610" s="120"/>
      <c r="M610" s="122"/>
      <c r="N610" s="121"/>
      <c r="O610" s="121"/>
      <c r="P610" s="121"/>
      <c r="Q610" s="121"/>
      <c r="R610" s="120"/>
      <c r="S610" s="120"/>
      <c r="T610" s="120"/>
      <c r="U610" s="190"/>
      <c r="V610" s="190"/>
      <c r="W610" s="190"/>
      <c r="X610" s="190"/>
      <c r="Y610" s="190"/>
      <c r="Z610" s="190"/>
      <c r="AA610" s="120"/>
      <c r="AB610" s="120"/>
      <c r="AC610" s="120"/>
    </row>
    <row r="611" spans="1:29" ht="14.25" customHeight="1">
      <c r="A611" s="120"/>
      <c r="B611" s="120"/>
      <c r="C611" s="120"/>
      <c r="D611" s="121"/>
      <c r="E611" s="121"/>
      <c r="F611" s="120"/>
      <c r="G611" s="120"/>
      <c r="H611" s="121"/>
      <c r="I611" s="121"/>
      <c r="J611" s="121"/>
      <c r="K611" s="120"/>
      <c r="L611" s="120"/>
      <c r="M611" s="122"/>
      <c r="N611" s="121"/>
      <c r="O611" s="121"/>
      <c r="P611" s="121"/>
      <c r="Q611" s="121"/>
      <c r="R611" s="120"/>
      <c r="S611" s="120"/>
      <c r="T611" s="120"/>
      <c r="U611" s="190"/>
      <c r="V611" s="190"/>
      <c r="W611" s="190"/>
      <c r="X611" s="190"/>
      <c r="Y611" s="190"/>
      <c r="Z611" s="190"/>
      <c r="AA611" s="120"/>
      <c r="AB611" s="120"/>
      <c r="AC611" s="120"/>
    </row>
    <row r="612" spans="1:29" ht="14.25" customHeight="1">
      <c r="A612" s="120"/>
      <c r="B612" s="120"/>
      <c r="C612" s="120"/>
      <c r="D612" s="121"/>
      <c r="E612" s="121"/>
      <c r="F612" s="120"/>
      <c r="G612" s="120"/>
      <c r="H612" s="121"/>
      <c r="I612" s="121"/>
      <c r="J612" s="121"/>
      <c r="K612" s="120"/>
      <c r="L612" s="120"/>
      <c r="M612" s="122"/>
      <c r="N612" s="121"/>
      <c r="O612" s="121"/>
      <c r="P612" s="121"/>
      <c r="Q612" s="121"/>
      <c r="R612" s="120"/>
      <c r="S612" s="120"/>
      <c r="T612" s="120"/>
      <c r="U612" s="190"/>
      <c r="V612" s="190"/>
      <c r="W612" s="190"/>
      <c r="X612" s="190"/>
      <c r="Y612" s="190"/>
      <c r="Z612" s="190"/>
      <c r="AA612" s="120"/>
      <c r="AB612" s="120"/>
      <c r="AC612" s="120"/>
    </row>
    <row r="613" spans="1:29" ht="14.25" customHeight="1">
      <c r="A613" s="120"/>
      <c r="B613" s="120"/>
      <c r="C613" s="120"/>
      <c r="D613" s="121"/>
      <c r="E613" s="121"/>
      <c r="F613" s="120"/>
      <c r="G613" s="120"/>
      <c r="H613" s="121"/>
      <c r="I613" s="121"/>
      <c r="J613" s="121"/>
      <c r="K613" s="120"/>
      <c r="L613" s="120"/>
      <c r="M613" s="122"/>
      <c r="N613" s="121"/>
      <c r="O613" s="121"/>
      <c r="P613" s="121"/>
      <c r="Q613" s="121"/>
      <c r="R613" s="120"/>
      <c r="S613" s="120"/>
      <c r="T613" s="120"/>
      <c r="U613" s="190"/>
      <c r="V613" s="190"/>
      <c r="W613" s="190"/>
      <c r="X613" s="190"/>
      <c r="Y613" s="190"/>
      <c r="Z613" s="190"/>
      <c r="AA613" s="120"/>
      <c r="AB613" s="120"/>
      <c r="AC613" s="120"/>
    </row>
    <row r="614" spans="1:29" ht="14.25" customHeight="1">
      <c r="A614" s="120"/>
      <c r="B614" s="120"/>
      <c r="C614" s="120"/>
      <c r="D614" s="121"/>
      <c r="E614" s="121"/>
      <c r="F614" s="120"/>
      <c r="G614" s="120"/>
      <c r="H614" s="121"/>
      <c r="I614" s="121"/>
      <c r="J614" s="121"/>
      <c r="K614" s="120"/>
      <c r="L614" s="120"/>
      <c r="M614" s="122"/>
      <c r="N614" s="121"/>
      <c r="O614" s="121"/>
      <c r="P614" s="121"/>
      <c r="Q614" s="121"/>
      <c r="R614" s="120"/>
      <c r="S614" s="120"/>
      <c r="T614" s="120"/>
      <c r="U614" s="190"/>
      <c r="V614" s="190"/>
      <c r="W614" s="190"/>
      <c r="X614" s="190"/>
      <c r="Y614" s="190"/>
      <c r="Z614" s="190"/>
      <c r="AA614" s="120"/>
      <c r="AB614" s="120"/>
      <c r="AC614" s="120"/>
    </row>
    <row r="615" spans="1:29" ht="14.25" customHeight="1">
      <c r="A615" s="120"/>
      <c r="B615" s="120"/>
      <c r="C615" s="120"/>
      <c r="D615" s="121"/>
      <c r="E615" s="121"/>
      <c r="F615" s="120"/>
      <c r="G615" s="120"/>
      <c r="H615" s="121"/>
      <c r="I615" s="121"/>
      <c r="J615" s="121"/>
      <c r="K615" s="120"/>
      <c r="L615" s="120"/>
      <c r="M615" s="122"/>
      <c r="N615" s="121"/>
      <c r="O615" s="121"/>
      <c r="P615" s="121"/>
      <c r="Q615" s="121"/>
      <c r="R615" s="120"/>
      <c r="S615" s="120"/>
      <c r="T615" s="120"/>
      <c r="U615" s="190"/>
      <c r="V615" s="190"/>
      <c r="W615" s="190"/>
      <c r="X615" s="190"/>
      <c r="Y615" s="190"/>
      <c r="Z615" s="190"/>
      <c r="AA615" s="120"/>
      <c r="AB615" s="120"/>
      <c r="AC615" s="120"/>
    </row>
    <row r="616" spans="1:29" ht="14.25" customHeight="1">
      <c r="A616" s="120"/>
      <c r="B616" s="120"/>
      <c r="C616" s="120"/>
      <c r="D616" s="121"/>
      <c r="E616" s="121"/>
      <c r="F616" s="120"/>
      <c r="G616" s="120"/>
      <c r="H616" s="121"/>
      <c r="I616" s="121"/>
      <c r="J616" s="121"/>
      <c r="K616" s="120"/>
      <c r="L616" s="120"/>
      <c r="M616" s="122"/>
      <c r="N616" s="121"/>
      <c r="O616" s="121"/>
      <c r="P616" s="121"/>
      <c r="Q616" s="121"/>
      <c r="R616" s="120"/>
      <c r="S616" s="120"/>
      <c r="T616" s="120"/>
      <c r="U616" s="190"/>
      <c r="V616" s="190"/>
      <c r="W616" s="190"/>
      <c r="X616" s="190"/>
      <c r="Y616" s="190"/>
      <c r="Z616" s="190"/>
      <c r="AA616" s="120"/>
      <c r="AB616" s="120"/>
      <c r="AC616" s="120"/>
    </row>
    <row r="617" spans="1:29" ht="14.25" customHeight="1">
      <c r="A617" s="120"/>
      <c r="B617" s="120"/>
      <c r="C617" s="120"/>
      <c r="D617" s="121"/>
      <c r="E617" s="121"/>
      <c r="F617" s="120"/>
      <c r="G617" s="120"/>
      <c r="H617" s="121"/>
      <c r="I617" s="121"/>
      <c r="J617" s="121"/>
      <c r="K617" s="120"/>
      <c r="L617" s="120"/>
      <c r="M617" s="122"/>
      <c r="N617" s="121"/>
      <c r="O617" s="121"/>
      <c r="P617" s="121"/>
      <c r="Q617" s="121"/>
      <c r="R617" s="120"/>
      <c r="S617" s="120"/>
      <c r="T617" s="120"/>
      <c r="U617" s="190"/>
      <c r="V617" s="190"/>
      <c r="W617" s="190"/>
      <c r="X617" s="190"/>
      <c r="Y617" s="190"/>
      <c r="Z617" s="190"/>
      <c r="AA617" s="120"/>
      <c r="AB617" s="120"/>
      <c r="AC617" s="120"/>
    </row>
    <row r="618" spans="1:29" ht="14.25" customHeight="1">
      <c r="A618" s="120"/>
      <c r="B618" s="120"/>
      <c r="C618" s="120"/>
      <c r="D618" s="121"/>
      <c r="E618" s="121"/>
      <c r="F618" s="120"/>
      <c r="G618" s="120"/>
      <c r="H618" s="121"/>
      <c r="I618" s="121"/>
      <c r="J618" s="121"/>
      <c r="K618" s="120"/>
      <c r="L618" s="120"/>
      <c r="M618" s="122"/>
      <c r="N618" s="121"/>
      <c r="O618" s="121"/>
      <c r="P618" s="121"/>
      <c r="Q618" s="121"/>
      <c r="R618" s="120"/>
      <c r="S618" s="120"/>
      <c r="T618" s="120"/>
      <c r="U618" s="190"/>
      <c r="V618" s="190"/>
      <c r="W618" s="190"/>
      <c r="X618" s="190"/>
      <c r="Y618" s="190"/>
      <c r="Z618" s="190"/>
      <c r="AA618" s="120"/>
      <c r="AB618" s="120"/>
      <c r="AC618" s="120"/>
    </row>
    <row r="619" spans="1:29" ht="14.25" customHeight="1">
      <c r="A619" s="120"/>
      <c r="B619" s="120"/>
      <c r="C619" s="120"/>
      <c r="D619" s="121"/>
      <c r="E619" s="121"/>
      <c r="F619" s="120"/>
      <c r="G619" s="120"/>
      <c r="H619" s="121"/>
      <c r="I619" s="121"/>
      <c r="J619" s="121"/>
      <c r="K619" s="120"/>
      <c r="L619" s="120"/>
      <c r="M619" s="122"/>
      <c r="N619" s="121"/>
      <c r="O619" s="121"/>
      <c r="P619" s="121"/>
      <c r="Q619" s="121"/>
      <c r="R619" s="120"/>
      <c r="S619" s="120"/>
      <c r="T619" s="120"/>
      <c r="U619" s="190"/>
      <c r="V619" s="190"/>
      <c r="W619" s="190"/>
      <c r="X619" s="190"/>
      <c r="Y619" s="190"/>
      <c r="Z619" s="190"/>
      <c r="AA619" s="120"/>
      <c r="AB619" s="120"/>
      <c r="AC619" s="120"/>
    </row>
    <row r="620" spans="1:29" ht="14.25" customHeight="1">
      <c r="A620" s="120"/>
      <c r="B620" s="120"/>
      <c r="C620" s="120"/>
      <c r="D620" s="121"/>
      <c r="E620" s="121"/>
      <c r="F620" s="120"/>
      <c r="G620" s="120"/>
      <c r="H620" s="121"/>
      <c r="I620" s="121"/>
      <c r="J620" s="121"/>
      <c r="K620" s="120"/>
      <c r="L620" s="120"/>
      <c r="M620" s="122"/>
      <c r="N620" s="121"/>
      <c r="O620" s="121"/>
      <c r="P620" s="121"/>
      <c r="Q620" s="121"/>
      <c r="R620" s="120"/>
      <c r="S620" s="120"/>
      <c r="T620" s="120"/>
      <c r="U620" s="190"/>
      <c r="V620" s="190"/>
      <c r="W620" s="190"/>
      <c r="X620" s="190"/>
      <c r="Y620" s="190"/>
      <c r="Z620" s="190"/>
      <c r="AA620" s="120"/>
      <c r="AB620" s="120"/>
      <c r="AC620" s="120"/>
    </row>
    <row r="621" spans="1:29" ht="14.25" customHeight="1">
      <c r="A621" s="120"/>
      <c r="B621" s="120"/>
      <c r="C621" s="120"/>
      <c r="D621" s="121"/>
      <c r="E621" s="121"/>
      <c r="F621" s="120"/>
      <c r="G621" s="120"/>
      <c r="H621" s="121"/>
      <c r="I621" s="121"/>
      <c r="J621" s="121"/>
      <c r="K621" s="120"/>
      <c r="L621" s="120"/>
      <c r="M621" s="122"/>
      <c r="N621" s="121"/>
      <c r="O621" s="121"/>
      <c r="P621" s="121"/>
      <c r="Q621" s="121"/>
      <c r="R621" s="120"/>
      <c r="S621" s="120"/>
      <c r="T621" s="120"/>
      <c r="U621" s="190"/>
      <c r="V621" s="190"/>
      <c r="W621" s="190"/>
      <c r="X621" s="190"/>
      <c r="Y621" s="190"/>
      <c r="Z621" s="190"/>
      <c r="AA621" s="120"/>
      <c r="AB621" s="120"/>
      <c r="AC621" s="120"/>
    </row>
    <row r="622" spans="1:29" ht="14.25" customHeight="1">
      <c r="A622" s="120"/>
      <c r="B622" s="120"/>
      <c r="C622" s="120"/>
      <c r="D622" s="121"/>
      <c r="E622" s="121"/>
      <c r="F622" s="120"/>
      <c r="G622" s="120"/>
      <c r="H622" s="121"/>
      <c r="I622" s="121"/>
      <c r="J622" s="121"/>
      <c r="K622" s="120"/>
      <c r="L622" s="120"/>
      <c r="M622" s="122"/>
      <c r="N622" s="121"/>
      <c r="O622" s="121"/>
      <c r="P622" s="121"/>
      <c r="Q622" s="121"/>
      <c r="R622" s="120"/>
      <c r="S622" s="120"/>
      <c r="T622" s="120"/>
      <c r="U622" s="190"/>
      <c r="V622" s="190"/>
      <c r="W622" s="190"/>
      <c r="X622" s="190"/>
      <c r="Y622" s="190"/>
      <c r="Z622" s="190"/>
      <c r="AA622" s="120"/>
      <c r="AB622" s="120"/>
      <c r="AC622" s="120"/>
    </row>
    <row r="623" spans="1:29" ht="14.25" customHeight="1">
      <c r="A623" s="120"/>
      <c r="B623" s="120"/>
      <c r="C623" s="120"/>
      <c r="D623" s="121"/>
      <c r="E623" s="121"/>
      <c r="F623" s="120"/>
      <c r="G623" s="120"/>
      <c r="H623" s="121"/>
      <c r="I623" s="121"/>
      <c r="J623" s="121"/>
      <c r="K623" s="120"/>
      <c r="L623" s="120"/>
      <c r="M623" s="122"/>
      <c r="N623" s="121"/>
      <c r="O623" s="121"/>
      <c r="P623" s="121"/>
      <c r="Q623" s="121"/>
      <c r="R623" s="120"/>
      <c r="S623" s="120"/>
      <c r="T623" s="120"/>
      <c r="U623" s="190"/>
      <c r="V623" s="190"/>
      <c r="W623" s="190"/>
      <c r="X623" s="190"/>
      <c r="Y623" s="190"/>
      <c r="Z623" s="190"/>
      <c r="AA623" s="120"/>
      <c r="AB623" s="120"/>
      <c r="AC623" s="120"/>
    </row>
    <row r="624" spans="1:29" ht="14.25" customHeight="1">
      <c r="A624" s="120"/>
      <c r="B624" s="120"/>
      <c r="C624" s="120"/>
      <c r="D624" s="121"/>
      <c r="E624" s="121"/>
      <c r="F624" s="120"/>
      <c r="G624" s="120"/>
      <c r="H624" s="121"/>
      <c r="I624" s="121"/>
      <c r="J624" s="121"/>
      <c r="K624" s="120"/>
      <c r="L624" s="120"/>
      <c r="M624" s="122"/>
      <c r="N624" s="121"/>
      <c r="O624" s="121"/>
      <c r="P624" s="121"/>
      <c r="Q624" s="121"/>
      <c r="R624" s="120"/>
      <c r="S624" s="120"/>
      <c r="T624" s="120"/>
      <c r="U624" s="190"/>
      <c r="V624" s="190"/>
      <c r="W624" s="190"/>
      <c r="X624" s="190"/>
      <c r="Y624" s="190"/>
      <c r="Z624" s="190"/>
      <c r="AA624" s="120"/>
      <c r="AB624" s="120"/>
      <c r="AC624" s="120"/>
    </row>
    <row r="625" spans="1:29" ht="14.25" customHeight="1">
      <c r="A625" s="120"/>
      <c r="B625" s="120"/>
      <c r="C625" s="120"/>
      <c r="D625" s="121"/>
      <c r="E625" s="121"/>
      <c r="F625" s="120"/>
      <c r="G625" s="120"/>
      <c r="H625" s="121"/>
      <c r="I625" s="121"/>
      <c r="J625" s="121"/>
      <c r="K625" s="120"/>
      <c r="L625" s="120"/>
      <c r="M625" s="122"/>
      <c r="N625" s="121"/>
      <c r="O625" s="121"/>
      <c r="P625" s="121"/>
      <c r="Q625" s="121"/>
      <c r="R625" s="120"/>
      <c r="S625" s="120"/>
      <c r="T625" s="120"/>
      <c r="U625" s="190"/>
      <c r="V625" s="190"/>
      <c r="W625" s="190"/>
      <c r="X625" s="190"/>
      <c r="Y625" s="190"/>
      <c r="Z625" s="190"/>
      <c r="AA625" s="120"/>
      <c r="AB625" s="120"/>
      <c r="AC625" s="120"/>
    </row>
    <row r="626" spans="1:29" ht="14.25" customHeight="1">
      <c r="A626" s="120"/>
      <c r="B626" s="120"/>
      <c r="C626" s="120"/>
      <c r="D626" s="121"/>
      <c r="E626" s="121"/>
      <c r="F626" s="120"/>
      <c r="G626" s="120"/>
      <c r="H626" s="121"/>
      <c r="I626" s="121"/>
      <c r="J626" s="121"/>
      <c r="K626" s="120"/>
      <c r="L626" s="120"/>
      <c r="M626" s="122"/>
      <c r="N626" s="121"/>
      <c r="O626" s="121"/>
      <c r="P626" s="121"/>
      <c r="Q626" s="121"/>
      <c r="R626" s="120"/>
      <c r="S626" s="120"/>
      <c r="T626" s="120"/>
      <c r="U626" s="190"/>
      <c r="V626" s="190"/>
      <c r="W626" s="190"/>
      <c r="X626" s="190"/>
      <c r="Y626" s="190"/>
      <c r="Z626" s="190"/>
      <c r="AA626" s="120"/>
      <c r="AB626" s="120"/>
      <c r="AC626" s="120"/>
    </row>
    <row r="627" spans="1:29" ht="14.25" customHeight="1">
      <c r="A627" s="120"/>
      <c r="B627" s="120"/>
      <c r="C627" s="120"/>
      <c r="D627" s="121"/>
      <c r="E627" s="121"/>
      <c r="F627" s="120"/>
      <c r="G627" s="120"/>
      <c r="H627" s="121"/>
      <c r="I627" s="121"/>
      <c r="J627" s="121"/>
      <c r="K627" s="120"/>
      <c r="L627" s="120"/>
      <c r="M627" s="122"/>
      <c r="N627" s="121"/>
      <c r="O627" s="121"/>
      <c r="P627" s="121"/>
      <c r="Q627" s="121"/>
      <c r="R627" s="120"/>
      <c r="S627" s="120"/>
      <c r="T627" s="120"/>
      <c r="U627" s="190"/>
      <c r="V627" s="190"/>
      <c r="W627" s="190"/>
      <c r="X627" s="190"/>
      <c r="Y627" s="190"/>
      <c r="Z627" s="190"/>
      <c r="AA627" s="120"/>
      <c r="AB627" s="120"/>
      <c r="AC627" s="120"/>
    </row>
    <row r="628" spans="1:29" ht="14.25" customHeight="1">
      <c r="A628" s="120"/>
      <c r="B628" s="120"/>
      <c r="C628" s="120"/>
      <c r="D628" s="121"/>
      <c r="E628" s="121"/>
      <c r="F628" s="120"/>
      <c r="G628" s="120"/>
      <c r="H628" s="121"/>
      <c r="I628" s="121"/>
      <c r="J628" s="121"/>
      <c r="K628" s="120"/>
      <c r="L628" s="120"/>
      <c r="M628" s="122"/>
      <c r="N628" s="121"/>
      <c r="O628" s="121"/>
      <c r="P628" s="121"/>
      <c r="Q628" s="121"/>
      <c r="R628" s="120"/>
      <c r="S628" s="120"/>
      <c r="T628" s="120"/>
      <c r="U628" s="190"/>
      <c r="V628" s="190"/>
      <c r="W628" s="190"/>
      <c r="X628" s="190"/>
      <c r="Y628" s="190"/>
      <c r="Z628" s="190"/>
      <c r="AA628" s="120"/>
      <c r="AB628" s="120"/>
      <c r="AC628" s="120"/>
    </row>
    <row r="629" spans="1:29" ht="14.25" customHeight="1">
      <c r="A629" s="120"/>
      <c r="B629" s="120"/>
      <c r="C629" s="120"/>
      <c r="D629" s="121"/>
      <c r="E629" s="121"/>
      <c r="F629" s="120"/>
      <c r="G629" s="120"/>
      <c r="H629" s="121"/>
      <c r="I629" s="121"/>
      <c r="J629" s="121"/>
      <c r="K629" s="120"/>
      <c r="L629" s="120"/>
      <c r="M629" s="122"/>
      <c r="N629" s="121"/>
      <c r="O629" s="121"/>
      <c r="P629" s="121"/>
      <c r="Q629" s="121"/>
      <c r="R629" s="120"/>
      <c r="S629" s="120"/>
      <c r="T629" s="120"/>
      <c r="U629" s="190"/>
      <c r="V629" s="190"/>
      <c r="W629" s="190"/>
      <c r="X629" s="190"/>
      <c r="Y629" s="190"/>
      <c r="Z629" s="190"/>
      <c r="AA629" s="120"/>
      <c r="AB629" s="120"/>
      <c r="AC629" s="120"/>
    </row>
    <row r="630" spans="1:29" ht="14.25" customHeight="1">
      <c r="A630" s="120"/>
      <c r="B630" s="120"/>
      <c r="C630" s="120"/>
      <c r="D630" s="121"/>
      <c r="E630" s="121"/>
      <c r="F630" s="120"/>
      <c r="G630" s="120"/>
      <c r="H630" s="121"/>
      <c r="I630" s="121"/>
      <c r="J630" s="121"/>
      <c r="K630" s="120"/>
      <c r="L630" s="120"/>
      <c r="M630" s="122"/>
      <c r="N630" s="121"/>
      <c r="O630" s="121"/>
      <c r="P630" s="121"/>
      <c r="Q630" s="121"/>
      <c r="R630" s="120"/>
      <c r="S630" s="120"/>
      <c r="T630" s="120"/>
      <c r="U630" s="190"/>
      <c r="V630" s="190"/>
      <c r="W630" s="190"/>
      <c r="X630" s="190"/>
      <c r="Y630" s="190"/>
      <c r="Z630" s="190"/>
      <c r="AA630" s="120"/>
      <c r="AB630" s="120"/>
      <c r="AC630" s="120"/>
    </row>
    <row r="631" spans="1:29" ht="14.25" customHeight="1">
      <c r="A631" s="120"/>
      <c r="B631" s="120"/>
      <c r="C631" s="120"/>
      <c r="D631" s="121"/>
      <c r="E631" s="121"/>
      <c r="F631" s="120"/>
      <c r="G631" s="120"/>
      <c r="H631" s="121"/>
      <c r="I631" s="121"/>
      <c r="J631" s="121"/>
      <c r="K631" s="120"/>
      <c r="L631" s="120"/>
      <c r="M631" s="122"/>
      <c r="N631" s="121"/>
      <c r="O631" s="121"/>
      <c r="P631" s="121"/>
      <c r="Q631" s="121"/>
      <c r="R631" s="120"/>
      <c r="S631" s="120"/>
      <c r="T631" s="120"/>
      <c r="U631" s="190"/>
      <c r="V631" s="190"/>
      <c r="W631" s="190"/>
      <c r="X631" s="190"/>
      <c r="Y631" s="190"/>
      <c r="Z631" s="190"/>
      <c r="AA631" s="120"/>
      <c r="AB631" s="120"/>
      <c r="AC631" s="120"/>
    </row>
    <row r="632" spans="1:29" ht="14.25" customHeight="1">
      <c r="A632" s="120"/>
      <c r="B632" s="120"/>
      <c r="C632" s="120"/>
      <c r="D632" s="121"/>
      <c r="E632" s="121"/>
      <c r="F632" s="120"/>
      <c r="G632" s="120"/>
      <c r="H632" s="121"/>
      <c r="I632" s="121"/>
      <c r="J632" s="121"/>
      <c r="K632" s="120"/>
      <c r="L632" s="120"/>
      <c r="M632" s="122"/>
      <c r="N632" s="121"/>
      <c r="O632" s="121"/>
      <c r="P632" s="121"/>
      <c r="Q632" s="121"/>
      <c r="R632" s="120"/>
      <c r="S632" s="120"/>
      <c r="T632" s="120"/>
      <c r="U632" s="190"/>
      <c r="V632" s="190"/>
      <c r="W632" s="190"/>
      <c r="X632" s="190"/>
      <c r="Y632" s="190"/>
      <c r="Z632" s="190"/>
      <c r="AA632" s="120"/>
      <c r="AB632" s="120"/>
      <c r="AC632" s="120"/>
    </row>
    <row r="633" spans="1:29" ht="14.25" customHeight="1">
      <c r="A633" s="120"/>
      <c r="B633" s="120"/>
      <c r="C633" s="120"/>
      <c r="D633" s="121"/>
      <c r="E633" s="121"/>
      <c r="F633" s="120"/>
      <c r="G633" s="120"/>
      <c r="H633" s="121"/>
      <c r="I633" s="121"/>
      <c r="J633" s="121"/>
      <c r="K633" s="120"/>
      <c r="L633" s="120"/>
      <c r="M633" s="122"/>
      <c r="N633" s="121"/>
      <c r="O633" s="121"/>
      <c r="P633" s="121"/>
      <c r="Q633" s="121"/>
      <c r="R633" s="120"/>
      <c r="S633" s="120"/>
      <c r="T633" s="120"/>
      <c r="U633" s="190"/>
      <c r="V633" s="190"/>
      <c r="W633" s="190"/>
      <c r="X633" s="190"/>
      <c r="Y633" s="190"/>
      <c r="Z633" s="190"/>
      <c r="AA633" s="120"/>
      <c r="AB633" s="120"/>
      <c r="AC633" s="120"/>
    </row>
    <row r="634" spans="1:29" ht="14.25" customHeight="1">
      <c r="A634" s="120"/>
      <c r="B634" s="120"/>
      <c r="C634" s="120"/>
      <c r="D634" s="121"/>
      <c r="E634" s="121"/>
      <c r="F634" s="120"/>
      <c r="G634" s="120"/>
      <c r="H634" s="121"/>
      <c r="I634" s="121"/>
      <c r="J634" s="121"/>
      <c r="K634" s="120"/>
      <c r="L634" s="120"/>
      <c r="M634" s="122"/>
      <c r="N634" s="121"/>
      <c r="O634" s="121"/>
      <c r="P634" s="121"/>
      <c r="Q634" s="121"/>
      <c r="R634" s="120"/>
      <c r="S634" s="120"/>
      <c r="T634" s="120"/>
      <c r="U634" s="190"/>
      <c r="V634" s="190"/>
      <c r="W634" s="190"/>
      <c r="X634" s="190"/>
      <c r="Y634" s="190"/>
      <c r="Z634" s="190"/>
      <c r="AA634" s="120"/>
      <c r="AB634" s="120"/>
      <c r="AC634" s="120"/>
    </row>
    <row r="635" spans="1:29" ht="14.25" customHeight="1">
      <c r="A635" s="120"/>
      <c r="B635" s="120"/>
      <c r="C635" s="120"/>
      <c r="D635" s="121"/>
      <c r="E635" s="121"/>
      <c r="F635" s="120"/>
      <c r="G635" s="120"/>
      <c r="H635" s="121"/>
      <c r="I635" s="121"/>
      <c r="J635" s="121"/>
      <c r="K635" s="120"/>
      <c r="L635" s="120"/>
      <c r="M635" s="122"/>
      <c r="N635" s="121"/>
      <c r="O635" s="121"/>
      <c r="P635" s="121"/>
      <c r="Q635" s="121"/>
      <c r="R635" s="120"/>
      <c r="S635" s="120"/>
      <c r="T635" s="120"/>
      <c r="U635" s="190"/>
      <c r="V635" s="190"/>
      <c r="W635" s="190"/>
      <c r="X635" s="190"/>
      <c r="Y635" s="190"/>
      <c r="Z635" s="190"/>
      <c r="AA635" s="120"/>
      <c r="AB635" s="120"/>
      <c r="AC635" s="120"/>
    </row>
    <row r="636" spans="1:29" ht="14.25" customHeight="1">
      <c r="A636" s="120"/>
      <c r="B636" s="120"/>
      <c r="C636" s="120"/>
      <c r="D636" s="121"/>
      <c r="E636" s="121"/>
      <c r="F636" s="120"/>
      <c r="G636" s="120"/>
      <c r="H636" s="121"/>
      <c r="I636" s="121"/>
      <c r="J636" s="121"/>
      <c r="K636" s="120"/>
      <c r="L636" s="120"/>
      <c r="M636" s="122"/>
      <c r="N636" s="121"/>
      <c r="O636" s="121"/>
      <c r="P636" s="121"/>
      <c r="Q636" s="121"/>
      <c r="R636" s="120"/>
      <c r="S636" s="120"/>
      <c r="T636" s="120"/>
      <c r="U636" s="190"/>
      <c r="V636" s="190"/>
      <c r="W636" s="190"/>
      <c r="X636" s="190"/>
      <c r="Y636" s="190"/>
      <c r="Z636" s="190"/>
      <c r="AA636" s="120"/>
      <c r="AB636" s="120"/>
      <c r="AC636" s="120"/>
    </row>
    <row r="637" spans="1:29" ht="14.25" customHeight="1">
      <c r="A637" s="120"/>
      <c r="B637" s="120"/>
      <c r="C637" s="120"/>
      <c r="D637" s="121"/>
      <c r="E637" s="121"/>
      <c r="F637" s="120"/>
      <c r="G637" s="120"/>
      <c r="H637" s="121"/>
      <c r="I637" s="121"/>
      <c r="J637" s="121"/>
      <c r="K637" s="120"/>
      <c r="L637" s="120"/>
      <c r="M637" s="122"/>
      <c r="N637" s="121"/>
      <c r="O637" s="121"/>
      <c r="P637" s="121"/>
      <c r="Q637" s="121"/>
      <c r="R637" s="120"/>
      <c r="S637" s="120"/>
      <c r="T637" s="120"/>
      <c r="U637" s="190"/>
      <c r="V637" s="190"/>
      <c r="W637" s="190"/>
      <c r="X637" s="190"/>
      <c r="Y637" s="190"/>
      <c r="Z637" s="190"/>
      <c r="AA637" s="120"/>
      <c r="AB637" s="120"/>
      <c r="AC637" s="120"/>
    </row>
    <row r="638" spans="1:29" ht="14.25" customHeight="1">
      <c r="A638" s="120"/>
      <c r="B638" s="120"/>
      <c r="C638" s="120"/>
      <c r="D638" s="121"/>
      <c r="E638" s="121"/>
      <c r="F638" s="120"/>
      <c r="G638" s="120"/>
      <c r="H638" s="121"/>
      <c r="I638" s="121"/>
      <c r="J638" s="121"/>
      <c r="K638" s="120"/>
      <c r="L638" s="120"/>
      <c r="M638" s="122"/>
      <c r="N638" s="121"/>
      <c r="O638" s="121"/>
      <c r="P638" s="121"/>
      <c r="Q638" s="121"/>
      <c r="R638" s="120"/>
      <c r="S638" s="120"/>
      <c r="T638" s="120"/>
      <c r="U638" s="190"/>
      <c r="V638" s="190"/>
      <c r="W638" s="190"/>
      <c r="X638" s="190"/>
      <c r="Y638" s="190"/>
      <c r="Z638" s="190"/>
      <c r="AA638" s="120"/>
      <c r="AB638" s="120"/>
      <c r="AC638" s="120"/>
    </row>
    <row r="639" spans="1:29" ht="14.25" customHeight="1">
      <c r="A639" s="120"/>
      <c r="B639" s="120"/>
      <c r="C639" s="120"/>
      <c r="D639" s="121"/>
      <c r="E639" s="121"/>
      <c r="F639" s="120"/>
      <c r="G639" s="120"/>
      <c r="H639" s="121"/>
      <c r="I639" s="121"/>
      <c r="J639" s="121"/>
      <c r="K639" s="120"/>
      <c r="L639" s="120"/>
      <c r="M639" s="122"/>
      <c r="N639" s="121"/>
      <c r="O639" s="121"/>
      <c r="P639" s="121"/>
      <c r="Q639" s="121"/>
      <c r="R639" s="120"/>
      <c r="S639" s="120"/>
      <c r="T639" s="120"/>
      <c r="U639" s="190"/>
      <c r="V639" s="190"/>
      <c r="W639" s="190"/>
      <c r="X639" s="190"/>
      <c r="Y639" s="190"/>
      <c r="Z639" s="190"/>
      <c r="AA639" s="120"/>
      <c r="AB639" s="120"/>
      <c r="AC639" s="120"/>
    </row>
    <row r="640" spans="1:29" ht="14.25" customHeight="1">
      <c r="A640" s="120"/>
      <c r="B640" s="120"/>
      <c r="C640" s="120"/>
      <c r="D640" s="121"/>
      <c r="E640" s="121"/>
      <c r="F640" s="120"/>
      <c r="G640" s="120"/>
      <c r="H640" s="121"/>
      <c r="I640" s="121"/>
      <c r="J640" s="121"/>
      <c r="K640" s="120"/>
      <c r="L640" s="120"/>
      <c r="M640" s="122"/>
      <c r="N640" s="121"/>
      <c r="O640" s="121"/>
      <c r="P640" s="121"/>
      <c r="Q640" s="121"/>
      <c r="R640" s="120"/>
      <c r="S640" s="120"/>
      <c r="T640" s="120"/>
      <c r="U640" s="190"/>
      <c r="V640" s="190"/>
      <c r="W640" s="190"/>
      <c r="X640" s="190"/>
      <c r="Y640" s="190"/>
      <c r="Z640" s="190"/>
      <c r="AA640" s="120"/>
      <c r="AB640" s="120"/>
      <c r="AC640" s="120"/>
    </row>
    <row r="641" spans="1:29" ht="14.25" customHeight="1">
      <c r="A641" s="120"/>
      <c r="B641" s="120"/>
      <c r="C641" s="120"/>
      <c r="D641" s="121"/>
      <c r="E641" s="121"/>
      <c r="F641" s="120"/>
      <c r="G641" s="120"/>
      <c r="H641" s="121"/>
      <c r="I641" s="121"/>
      <c r="J641" s="121"/>
      <c r="K641" s="120"/>
      <c r="L641" s="120"/>
      <c r="M641" s="122"/>
      <c r="N641" s="121"/>
      <c r="O641" s="121"/>
      <c r="P641" s="121"/>
      <c r="Q641" s="121"/>
      <c r="R641" s="120"/>
      <c r="S641" s="120"/>
      <c r="T641" s="120"/>
      <c r="U641" s="190"/>
      <c r="V641" s="190"/>
      <c r="W641" s="190"/>
      <c r="X641" s="190"/>
      <c r="Y641" s="190"/>
      <c r="Z641" s="190"/>
      <c r="AA641" s="120"/>
      <c r="AB641" s="120"/>
      <c r="AC641" s="120"/>
    </row>
    <row r="642" spans="1:29" ht="14.25" customHeight="1">
      <c r="A642" s="120"/>
      <c r="B642" s="120"/>
      <c r="C642" s="120"/>
      <c r="D642" s="121"/>
      <c r="E642" s="121"/>
      <c r="F642" s="120"/>
      <c r="G642" s="120"/>
      <c r="H642" s="121"/>
      <c r="I642" s="121"/>
      <c r="J642" s="121"/>
      <c r="K642" s="120"/>
      <c r="L642" s="120"/>
      <c r="M642" s="122"/>
      <c r="N642" s="121"/>
      <c r="O642" s="121"/>
      <c r="P642" s="121"/>
      <c r="Q642" s="121"/>
      <c r="R642" s="120"/>
      <c r="S642" s="120"/>
      <c r="T642" s="120"/>
      <c r="U642" s="190"/>
      <c r="V642" s="190"/>
      <c r="W642" s="190"/>
      <c r="X642" s="190"/>
      <c r="Y642" s="190"/>
      <c r="Z642" s="190"/>
      <c r="AA642" s="120"/>
      <c r="AB642" s="120"/>
      <c r="AC642" s="120"/>
    </row>
    <row r="643" spans="1:29" ht="14.25" customHeight="1">
      <c r="A643" s="120"/>
      <c r="B643" s="120"/>
      <c r="C643" s="120"/>
      <c r="D643" s="121"/>
      <c r="E643" s="121"/>
      <c r="F643" s="120"/>
      <c r="G643" s="120"/>
      <c r="H643" s="121"/>
      <c r="I643" s="121"/>
      <c r="J643" s="121"/>
      <c r="K643" s="120"/>
      <c r="L643" s="120"/>
      <c r="M643" s="122"/>
      <c r="N643" s="121"/>
      <c r="O643" s="121"/>
      <c r="P643" s="121"/>
      <c r="Q643" s="121"/>
      <c r="R643" s="120"/>
      <c r="S643" s="120"/>
      <c r="T643" s="120"/>
      <c r="U643" s="190"/>
      <c r="V643" s="190"/>
      <c r="W643" s="190"/>
      <c r="X643" s="190"/>
      <c r="Y643" s="190"/>
      <c r="Z643" s="190"/>
      <c r="AA643" s="120"/>
      <c r="AB643" s="120"/>
      <c r="AC643" s="120"/>
    </row>
    <row r="644" spans="1:29" ht="14.25" customHeight="1">
      <c r="A644" s="120"/>
      <c r="B644" s="120"/>
      <c r="C644" s="120"/>
      <c r="D644" s="121"/>
      <c r="E644" s="121"/>
      <c r="F644" s="120"/>
      <c r="G644" s="120"/>
      <c r="H644" s="121"/>
      <c r="I644" s="121"/>
      <c r="J644" s="121"/>
      <c r="K644" s="120"/>
      <c r="L644" s="120"/>
      <c r="M644" s="122"/>
      <c r="N644" s="121"/>
      <c r="O644" s="121"/>
      <c r="P644" s="121"/>
      <c r="Q644" s="121"/>
      <c r="R644" s="120"/>
      <c r="S644" s="120"/>
      <c r="T644" s="120"/>
      <c r="U644" s="190"/>
      <c r="V644" s="190"/>
      <c r="W644" s="190"/>
      <c r="X644" s="190"/>
      <c r="Y644" s="190"/>
      <c r="Z644" s="190"/>
      <c r="AA644" s="120"/>
      <c r="AB644" s="120"/>
      <c r="AC644" s="120"/>
    </row>
    <row r="645" spans="1:29" ht="14.25" customHeight="1">
      <c r="A645" s="120"/>
      <c r="B645" s="120"/>
      <c r="C645" s="120"/>
      <c r="D645" s="121"/>
      <c r="E645" s="121"/>
      <c r="F645" s="120"/>
      <c r="G645" s="120"/>
      <c r="H645" s="121"/>
      <c r="I645" s="121"/>
      <c r="J645" s="121"/>
      <c r="K645" s="120"/>
      <c r="L645" s="120"/>
      <c r="M645" s="122"/>
      <c r="N645" s="121"/>
      <c r="O645" s="121"/>
      <c r="P645" s="121"/>
      <c r="Q645" s="121"/>
      <c r="R645" s="120"/>
      <c r="S645" s="120"/>
      <c r="T645" s="120"/>
      <c r="U645" s="190"/>
      <c r="V645" s="190"/>
      <c r="W645" s="190"/>
      <c r="X645" s="190"/>
      <c r="Y645" s="190"/>
      <c r="Z645" s="190"/>
      <c r="AA645" s="120"/>
      <c r="AB645" s="120"/>
      <c r="AC645" s="120"/>
    </row>
    <row r="646" spans="1:29" ht="14.25" customHeight="1">
      <c r="A646" s="120"/>
      <c r="B646" s="120"/>
      <c r="C646" s="120"/>
      <c r="D646" s="121"/>
      <c r="E646" s="121"/>
      <c r="F646" s="120"/>
      <c r="G646" s="120"/>
      <c r="H646" s="121"/>
      <c r="I646" s="121"/>
      <c r="J646" s="121"/>
      <c r="K646" s="120"/>
      <c r="L646" s="120"/>
      <c r="M646" s="122"/>
      <c r="N646" s="121"/>
      <c r="O646" s="121"/>
      <c r="P646" s="121"/>
      <c r="Q646" s="121"/>
      <c r="R646" s="120"/>
      <c r="S646" s="120"/>
      <c r="T646" s="120"/>
      <c r="U646" s="190"/>
      <c r="V646" s="190"/>
      <c r="W646" s="190"/>
      <c r="X646" s="190"/>
      <c r="Y646" s="190"/>
      <c r="Z646" s="190"/>
      <c r="AA646" s="120"/>
      <c r="AB646" s="120"/>
      <c r="AC646" s="120"/>
    </row>
    <row r="647" spans="1:29" ht="14.25" customHeight="1">
      <c r="A647" s="120"/>
      <c r="B647" s="120"/>
      <c r="C647" s="120"/>
      <c r="D647" s="121"/>
      <c r="E647" s="121"/>
      <c r="F647" s="120"/>
      <c r="G647" s="120"/>
      <c r="H647" s="121"/>
      <c r="I647" s="121"/>
      <c r="J647" s="121"/>
      <c r="K647" s="120"/>
      <c r="L647" s="120"/>
      <c r="M647" s="122"/>
      <c r="N647" s="121"/>
      <c r="O647" s="121"/>
      <c r="P647" s="121"/>
      <c r="Q647" s="121"/>
      <c r="R647" s="120"/>
      <c r="S647" s="120"/>
      <c r="T647" s="120"/>
      <c r="U647" s="190"/>
      <c r="V647" s="190"/>
      <c r="W647" s="190"/>
      <c r="X647" s="190"/>
      <c r="Y647" s="190"/>
      <c r="Z647" s="190"/>
      <c r="AA647" s="120"/>
      <c r="AB647" s="120"/>
      <c r="AC647" s="120"/>
    </row>
    <row r="648" spans="1:29" ht="14.25" customHeight="1">
      <c r="A648" s="120"/>
      <c r="B648" s="120"/>
      <c r="C648" s="120"/>
      <c r="D648" s="121"/>
      <c r="E648" s="121"/>
      <c r="F648" s="120"/>
      <c r="G648" s="120"/>
      <c r="H648" s="121"/>
      <c r="I648" s="121"/>
      <c r="J648" s="121"/>
      <c r="K648" s="120"/>
      <c r="L648" s="120"/>
      <c r="M648" s="122"/>
      <c r="N648" s="121"/>
      <c r="O648" s="121"/>
      <c r="P648" s="121"/>
      <c r="Q648" s="121"/>
      <c r="R648" s="120"/>
      <c r="S648" s="120"/>
      <c r="T648" s="120"/>
      <c r="U648" s="190"/>
      <c r="V648" s="190"/>
      <c r="W648" s="190"/>
      <c r="X648" s="190"/>
      <c r="Y648" s="190"/>
      <c r="Z648" s="190"/>
      <c r="AA648" s="120"/>
      <c r="AB648" s="120"/>
      <c r="AC648" s="120"/>
    </row>
    <row r="649" spans="1:29" ht="14.25" customHeight="1">
      <c r="A649" s="120"/>
      <c r="B649" s="120"/>
      <c r="C649" s="120"/>
      <c r="D649" s="121"/>
      <c r="E649" s="121"/>
      <c r="F649" s="120"/>
      <c r="G649" s="120"/>
      <c r="H649" s="121"/>
      <c r="I649" s="121"/>
      <c r="J649" s="121"/>
      <c r="K649" s="120"/>
      <c r="L649" s="120"/>
      <c r="M649" s="122"/>
      <c r="N649" s="121"/>
      <c r="O649" s="121"/>
      <c r="P649" s="121"/>
      <c r="Q649" s="121"/>
      <c r="R649" s="120"/>
      <c r="S649" s="120"/>
      <c r="T649" s="120"/>
      <c r="U649" s="190"/>
      <c r="V649" s="190"/>
      <c r="W649" s="190"/>
      <c r="X649" s="190"/>
      <c r="Y649" s="190"/>
      <c r="Z649" s="190"/>
      <c r="AA649" s="120"/>
      <c r="AB649" s="120"/>
      <c r="AC649" s="120"/>
    </row>
    <row r="650" spans="1:29" ht="14.25" customHeight="1">
      <c r="A650" s="120"/>
      <c r="B650" s="120"/>
      <c r="C650" s="120"/>
      <c r="D650" s="121"/>
      <c r="E650" s="121"/>
      <c r="F650" s="120"/>
      <c r="G650" s="120"/>
      <c r="H650" s="121"/>
      <c r="I650" s="121"/>
      <c r="J650" s="121"/>
      <c r="K650" s="120"/>
      <c r="L650" s="120"/>
      <c r="M650" s="122"/>
      <c r="N650" s="121"/>
      <c r="O650" s="121"/>
      <c r="P650" s="121"/>
      <c r="Q650" s="121"/>
      <c r="R650" s="120"/>
      <c r="S650" s="120"/>
      <c r="T650" s="120"/>
      <c r="U650" s="190"/>
      <c r="V650" s="190"/>
      <c r="W650" s="190"/>
      <c r="X650" s="190"/>
      <c r="Y650" s="190"/>
      <c r="Z650" s="190"/>
      <c r="AA650" s="120"/>
      <c r="AB650" s="120"/>
      <c r="AC650" s="120"/>
    </row>
    <row r="651" spans="1:29" ht="14.25" customHeight="1">
      <c r="A651" s="120"/>
      <c r="B651" s="120"/>
      <c r="C651" s="120"/>
      <c r="D651" s="121"/>
      <c r="E651" s="121"/>
      <c r="F651" s="120"/>
      <c r="G651" s="120"/>
      <c r="H651" s="121"/>
      <c r="I651" s="121"/>
      <c r="J651" s="121"/>
      <c r="K651" s="120"/>
      <c r="L651" s="120"/>
      <c r="M651" s="122"/>
      <c r="N651" s="121"/>
      <c r="O651" s="121"/>
      <c r="P651" s="121"/>
      <c r="Q651" s="121"/>
      <c r="R651" s="120"/>
      <c r="S651" s="120"/>
      <c r="T651" s="120"/>
      <c r="U651" s="190"/>
      <c r="V651" s="190"/>
      <c r="W651" s="190"/>
      <c r="X651" s="190"/>
      <c r="Y651" s="190"/>
      <c r="Z651" s="190"/>
      <c r="AA651" s="120"/>
      <c r="AB651" s="120"/>
      <c r="AC651" s="120"/>
    </row>
    <row r="652" spans="1:29" ht="14.25" customHeight="1">
      <c r="A652" s="120"/>
      <c r="B652" s="120"/>
      <c r="C652" s="120"/>
      <c r="D652" s="121"/>
      <c r="E652" s="121"/>
      <c r="F652" s="120"/>
      <c r="G652" s="120"/>
      <c r="H652" s="121"/>
      <c r="I652" s="121"/>
      <c r="J652" s="121"/>
      <c r="K652" s="120"/>
      <c r="L652" s="120"/>
      <c r="M652" s="122"/>
      <c r="N652" s="121"/>
      <c r="O652" s="121"/>
      <c r="P652" s="121"/>
      <c r="Q652" s="121"/>
      <c r="R652" s="120"/>
      <c r="S652" s="120"/>
      <c r="T652" s="120"/>
      <c r="U652" s="190"/>
      <c r="V652" s="190"/>
      <c r="W652" s="190"/>
      <c r="X652" s="190"/>
      <c r="Y652" s="190"/>
      <c r="Z652" s="190"/>
      <c r="AA652" s="120"/>
      <c r="AB652" s="120"/>
      <c r="AC652" s="120"/>
    </row>
    <row r="653" spans="1:29" ht="14.25" customHeight="1">
      <c r="A653" s="120"/>
      <c r="B653" s="120"/>
      <c r="C653" s="120"/>
      <c r="D653" s="121"/>
      <c r="E653" s="121"/>
      <c r="F653" s="120"/>
      <c r="G653" s="120"/>
      <c r="H653" s="121"/>
      <c r="I653" s="121"/>
      <c r="J653" s="121"/>
      <c r="K653" s="120"/>
      <c r="L653" s="120"/>
      <c r="M653" s="122"/>
      <c r="N653" s="121"/>
      <c r="O653" s="121"/>
      <c r="P653" s="121"/>
      <c r="Q653" s="121"/>
      <c r="R653" s="120"/>
      <c r="S653" s="120"/>
      <c r="T653" s="120"/>
      <c r="U653" s="190"/>
      <c r="V653" s="190"/>
      <c r="W653" s="190"/>
      <c r="X653" s="190"/>
      <c r="Y653" s="190"/>
      <c r="Z653" s="190"/>
      <c r="AA653" s="120"/>
      <c r="AB653" s="120"/>
      <c r="AC653" s="120"/>
    </row>
    <row r="654" spans="1:29" ht="14.25" customHeight="1">
      <c r="A654" s="120"/>
      <c r="B654" s="120"/>
      <c r="C654" s="120"/>
      <c r="D654" s="121"/>
      <c r="E654" s="121"/>
      <c r="F654" s="120"/>
      <c r="G654" s="120"/>
      <c r="H654" s="121"/>
      <c r="I654" s="121"/>
      <c r="J654" s="121"/>
      <c r="K654" s="120"/>
      <c r="L654" s="120"/>
      <c r="M654" s="122"/>
      <c r="N654" s="121"/>
      <c r="O654" s="121"/>
      <c r="P654" s="121"/>
      <c r="Q654" s="121"/>
      <c r="R654" s="120"/>
      <c r="S654" s="120"/>
      <c r="T654" s="120"/>
      <c r="U654" s="190"/>
      <c r="V654" s="190"/>
      <c r="W654" s="190"/>
      <c r="X654" s="190"/>
      <c r="Y654" s="190"/>
      <c r="Z654" s="190"/>
      <c r="AA654" s="120"/>
      <c r="AB654" s="120"/>
      <c r="AC654" s="120"/>
    </row>
    <row r="655" spans="1:29" ht="14.25" customHeight="1">
      <c r="A655" s="120"/>
      <c r="B655" s="120"/>
      <c r="C655" s="120"/>
      <c r="D655" s="121"/>
      <c r="E655" s="121"/>
      <c r="F655" s="120"/>
      <c r="G655" s="120"/>
      <c r="H655" s="121"/>
      <c r="I655" s="121"/>
      <c r="J655" s="121"/>
      <c r="K655" s="120"/>
      <c r="L655" s="120"/>
      <c r="M655" s="122"/>
      <c r="N655" s="121"/>
      <c r="O655" s="121"/>
      <c r="P655" s="121"/>
      <c r="Q655" s="121"/>
      <c r="R655" s="120"/>
      <c r="S655" s="120"/>
      <c r="T655" s="120"/>
      <c r="U655" s="190"/>
      <c r="V655" s="190"/>
      <c r="W655" s="190"/>
      <c r="X655" s="190"/>
      <c r="Y655" s="190"/>
      <c r="Z655" s="190"/>
      <c r="AA655" s="120"/>
      <c r="AB655" s="120"/>
      <c r="AC655" s="120"/>
    </row>
    <row r="656" spans="1:29" ht="14.25" customHeight="1">
      <c r="A656" s="120"/>
      <c r="B656" s="120"/>
      <c r="C656" s="120"/>
      <c r="D656" s="121"/>
      <c r="E656" s="121"/>
      <c r="F656" s="120"/>
      <c r="G656" s="120"/>
      <c r="H656" s="121"/>
      <c r="I656" s="121"/>
      <c r="J656" s="121"/>
      <c r="K656" s="120"/>
      <c r="L656" s="120"/>
      <c r="M656" s="122"/>
      <c r="N656" s="121"/>
      <c r="O656" s="121"/>
      <c r="P656" s="121"/>
      <c r="Q656" s="121"/>
      <c r="R656" s="120"/>
      <c r="S656" s="120"/>
      <c r="T656" s="120"/>
      <c r="U656" s="190"/>
      <c r="V656" s="190"/>
      <c r="W656" s="190"/>
      <c r="X656" s="190"/>
      <c r="Y656" s="190"/>
      <c r="Z656" s="190"/>
      <c r="AA656" s="120"/>
      <c r="AB656" s="120"/>
      <c r="AC656" s="120"/>
    </row>
    <row r="657" spans="1:29" ht="14.25" customHeight="1">
      <c r="A657" s="120"/>
      <c r="B657" s="120"/>
      <c r="C657" s="120"/>
      <c r="D657" s="121"/>
      <c r="E657" s="121"/>
      <c r="F657" s="120"/>
      <c r="G657" s="120"/>
      <c r="H657" s="121"/>
      <c r="I657" s="121"/>
      <c r="J657" s="121"/>
      <c r="K657" s="120"/>
      <c r="L657" s="120"/>
      <c r="M657" s="122"/>
      <c r="N657" s="121"/>
      <c r="O657" s="121"/>
      <c r="P657" s="121"/>
      <c r="Q657" s="121"/>
      <c r="R657" s="120"/>
      <c r="S657" s="120"/>
      <c r="T657" s="120"/>
      <c r="U657" s="190"/>
      <c r="V657" s="190"/>
      <c r="W657" s="190"/>
      <c r="X657" s="190"/>
      <c r="Y657" s="190"/>
      <c r="Z657" s="190"/>
      <c r="AA657" s="120"/>
      <c r="AB657" s="120"/>
      <c r="AC657" s="120"/>
    </row>
    <row r="658" spans="1:29" ht="14.25" customHeight="1">
      <c r="A658" s="120"/>
      <c r="B658" s="120"/>
      <c r="C658" s="120"/>
      <c r="D658" s="121"/>
      <c r="E658" s="121"/>
      <c r="F658" s="120"/>
      <c r="G658" s="120"/>
      <c r="H658" s="121"/>
      <c r="I658" s="121"/>
      <c r="J658" s="121"/>
      <c r="K658" s="120"/>
      <c r="L658" s="120"/>
      <c r="M658" s="122"/>
      <c r="N658" s="121"/>
      <c r="O658" s="121"/>
      <c r="P658" s="121"/>
      <c r="Q658" s="121"/>
      <c r="R658" s="120"/>
      <c r="S658" s="120"/>
      <c r="T658" s="120"/>
      <c r="U658" s="190"/>
      <c r="V658" s="190"/>
      <c r="W658" s="190"/>
      <c r="X658" s="190"/>
      <c r="Y658" s="190"/>
      <c r="Z658" s="190"/>
      <c r="AA658" s="120"/>
      <c r="AB658" s="120"/>
      <c r="AC658" s="120"/>
    </row>
    <row r="659" spans="1:29" ht="14.25" customHeight="1">
      <c r="A659" s="120"/>
      <c r="B659" s="120"/>
      <c r="C659" s="120"/>
      <c r="D659" s="121"/>
      <c r="E659" s="121"/>
      <c r="F659" s="120"/>
      <c r="G659" s="120"/>
      <c r="H659" s="121"/>
      <c r="I659" s="121"/>
      <c r="J659" s="121"/>
      <c r="K659" s="120"/>
      <c r="L659" s="120"/>
      <c r="M659" s="122"/>
      <c r="N659" s="121"/>
      <c r="O659" s="121"/>
      <c r="P659" s="121"/>
      <c r="Q659" s="121"/>
      <c r="R659" s="120"/>
      <c r="S659" s="120"/>
      <c r="T659" s="120"/>
      <c r="U659" s="190"/>
      <c r="V659" s="190"/>
      <c r="W659" s="190"/>
      <c r="X659" s="190"/>
      <c r="Y659" s="190"/>
      <c r="Z659" s="190"/>
      <c r="AA659" s="120"/>
      <c r="AB659" s="120"/>
      <c r="AC659" s="120"/>
    </row>
    <row r="660" spans="1:29" ht="14.25" customHeight="1">
      <c r="A660" s="120"/>
      <c r="B660" s="120"/>
      <c r="C660" s="120"/>
      <c r="D660" s="121"/>
      <c r="E660" s="121"/>
      <c r="F660" s="120"/>
      <c r="G660" s="120"/>
      <c r="H660" s="121"/>
      <c r="I660" s="121"/>
      <c r="J660" s="121"/>
      <c r="K660" s="120"/>
      <c r="L660" s="120"/>
      <c r="M660" s="122"/>
      <c r="N660" s="121"/>
      <c r="O660" s="121"/>
      <c r="P660" s="121"/>
      <c r="Q660" s="121"/>
      <c r="R660" s="120"/>
      <c r="S660" s="120"/>
      <c r="T660" s="120"/>
      <c r="U660" s="190"/>
      <c r="V660" s="190"/>
      <c r="W660" s="190"/>
      <c r="X660" s="190"/>
      <c r="Y660" s="190"/>
      <c r="Z660" s="190"/>
      <c r="AA660" s="120"/>
      <c r="AB660" s="120"/>
      <c r="AC660" s="120"/>
    </row>
    <row r="661" spans="1:29" ht="14.25" customHeight="1">
      <c r="A661" s="120"/>
      <c r="B661" s="120"/>
      <c r="C661" s="120"/>
      <c r="D661" s="121"/>
      <c r="E661" s="121"/>
      <c r="F661" s="120"/>
      <c r="G661" s="120"/>
      <c r="H661" s="121"/>
      <c r="I661" s="121"/>
      <c r="J661" s="121"/>
      <c r="K661" s="120"/>
      <c r="L661" s="120"/>
      <c r="M661" s="122"/>
      <c r="N661" s="121"/>
      <c r="O661" s="121"/>
      <c r="P661" s="121"/>
      <c r="Q661" s="121"/>
      <c r="R661" s="120"/>
      <c r="S661" s="120"/>
      <c r="T661" s="120"/>
      <c r="U661" s="190"/>
      <c r="V661" s="190"/>
      <c r="W661" s="190"/>
      <c r="X661" s="190"/>
      <c r="Y661" s="190"/>
      <c r="Z661" s="190"/>
      <c r="AA661" s="120"/>
      <c r="AB661" s="120"/>
      <c r="AC661" s="120"/>
    </row>
    <row r="662" spans="1:29" ht="14.25" customHeight="1">
      <c r="A662" s="120"/>
      <c r="B662" s="120"/>
      <c r="C662" s="120"/>
      <c r="D662" s="121"/>
      <c r="E662" s="121"/>
      <c r="F662" s="120"/>
      <c r="G662" s="120"/>
      <c r="H662" s="121"/>
      <c r="I662" s="121"/>
      <c r="J662" s="121"/>
      <c r="K662" s="120"/>
      <c r="L662" s="120"/>
      <c r="M662" s="122"/>
      <c r="N662" s="121"/>
      <c r="O662" s="121"/>
      <c r="P662" s="121"/>
      <c r="Q662" s="121"/>
      <c r="R662" s="120"/>
      <c r="S662" s="120"/>
      <c r="T662" s="120"/>
      <c r="U662" s="190"/>
      <c r="V662" s="190"/>
      <c r="W662" s="190"/>
      <c r="X662" s="190"/>
      <c r="Y662" s="190"/>
      <c r="Z662" s="190"/>
      <c r="AA662" s="120"/>
      <c r="AB662" s="120"/>
      <c r="AC662" s="120"/>
    </row>
    <row r="663" spans="1:29" ht="14.25" customHeight="1">
      <c r="A663" s="120"/>
      <c r="B663" s="120"/>
      <c r="C663" s="120"/>
      <c r="D663" s="121"/>
      <c r="E663" s="121"/>
      <c r="F663" s="120"/>
      <c r="G663" s="120"/>
      <c r="H663" s="121"/>
      <c r="I663" s="121"/>
      <c r="J663" s="121"/>
      <c r="K663" s="120"/>
      <c r="L663" s="120"/>
      <c r="M663" s="122"/>
      <c r="N663" s="121"/>
      <c r="O663" s="121"/>
      <c r="P663" s="121"/>
      <c r="Q663" s="121"/>
      <c r="R663" s="120"/>
      <c r="S663" s="120"/>
      <c r="T663" s="120"/>
      <c r="U663" s="190"/>
      <c r="V663" s="190"/>
      <c r="W663" s="190"/>
      <c r="X663" s="190"/>
      <c r="Y663" s="190"/>
      <c r="Z663" s="190"/>
      <c r="AA663" s="120"/>
      <c r="AB663" s="120"/>
      <c r="AC663" s="120"/>
    </row>
    <row r="664" spans="1:29" ht="14.25" customHeight="1">
      <c r="A664" s="120"/>
      <c r="B664" s="120"/>
      <c r="C664" s="120"/>
      <c r="D664" s="121"/>
      <c r="E664" s="121"/>
      <c r="F664" s="120"/>
      <c r="G664" s="120"/>
      <c r="H664" s="121"/>
      <c r="I664" s="121"/>
      <c r="J664" s="121"/>
      <c r="K664" s="120"/>
      <c r="L664" s="120"/>
      <c r="M664" s="122"/>
      <c r="N664" s="121"/>
      <c r="O664" s="121"/>
      <c r="P664" s="121"/>
      <c r="Q664" s="121"/>
      <c r="R664" s="120"/>
      <c r="S664" s="120"/>
      <c r="T664" s="120"/>
      <c r="U664" s="190"/>
      <c r="V664" s="190"/>
      <c r="W664" s="190"/>
      <c r="X664" s="190"/>
      <c r="Y664" s="190"/>
      <c r="Z664" s="190"/>
      <c r="AA664" s="120"/>
      <c r="AB664" s="120"/>
      <c r="AC664" s="120"/>
    </row>
    <row r="665" spans="1:29" ht="14.25" customHeight="1">
      <c r="A665" s="120"/>
      <c r="B665" s="120"/>
      <c r="C665" s="120"/>
      <c r="D665" s="121"/>
      <c r="E665" s="121"/>
      <c r="F665" s="120"/>
      <c r="G665" s="120"/>
      <c r="H665" s="121"/>
      <c r="I665" s="121"/>
      <c r="J665" s="121"/>
      <c r="K665" s="120"/>
      <c r="L665" s="120"/>
      <c r="M665" s="122"/>
      <c r="N665" s="121"/>
      <c r="O665" s="121"/>
      <c r="P665" s="121"/>
      <c r="Q665" s="121"/>
      <c r="R665" s="120"/>
      <c r="S665" s="120"/>
      <c r="T665" s="120"/>
      <c r="U665" s="190"/>
      <c r="V665" s="190"/>
      <c r="W665" s="190"/>
      <c r="X665" s="190"/>
      <c r="Y665" s="190"/>
      <c r="Z665" s="190"/>
      <c r="AA665" s="120"/>
      <c r="AB665" s="120"/>
      <c r="AC665" s="120"/>
    </row>
    <row r="666" spans="1:29" ht="14.25" customHeight="1">
      <c r="A666" s="120"/>
      <c r="B666" s="120"/>
      <c r="C666" s="120"/>
      <c r="D666" s="121"/>
      <c r="E666" s="121"/>
      <c r="F666" s="120"/>
      <c r="G666" s="120"/>
      <c r="H666" s="121"/>
      <c r="I666" s="121"/>
      <c r="J666" s="121"/>
      <c r="K666" s="120"/>
      <c r="L666" s="120"/>
      <c r="M666" s="122"/>
      <c r="N666" s="121"/>
      <c r="O666" s="121"/>
      <c r="P666" s="121"/>
      <c r="Q666" s="121"/>
      <c r="R666" s="120"/>
      <c r="S666" s="120"/>
      <c r="T666" s="120"/>
      <c r="U666" s="190"/>
      <c r="V666" s="190"/>
      <c r="W666" s="190"/>
      <c r="X666" s="190"/>
      <c r="Y666" s="190"/>
      <c r="Z666" s="190"/>
      <c r="AA666" s="120"/>
      <c r="AB666" s="120"/>
      <c r="AC666" s="120"/>
    </row>
    <row r="667" spans="1:29" ht="14.25" customHeight="1">
      <c r="A667" s="120"/>
      <c r="B667" s="120"/>
      <c r="C667" s="120"/>
      <c r="D667" s="121"/>
      <c r="E667" s="121"/>
      <c r="F667" s="120"/>
      <c r="G667" s="120"/>
      <c r="H667" s="121"/>
      <c r="I667" s="121"/>
      <c r="J667" s="121"/>
      <c r="K667" s="120"/>
      <c r="L667" s="120"/>
      <c r="M667" s="122"/>
      <c r="N667" s="121"/>
      <c r="O667" s="121"/>
      <c r="P667" s="121"/>
      <c r="Q667" s="121"/>
      <c r="R667" s="120"/>
      <c r="S667" s="120"/>
      <c r="T667" s="120"/>
      <c r="U667" s="190"/>
      <c r="V667" s="190"/>
      <c r="W667" s="190"/>
      <c r="X667" s="190"/>
      <c r="Y667" s="190"/>
      <c r="Z667" s="190"/>
      <c r="AA667" s="120"/>
      <c r="AB667" s="120"/>
      <c r="AC667" s="120"/>
    </row>
    <row r="668" spans="1:29" ht="14.25" customHeight="1">
      <c r="A668" s="120"/>
      <c r="B668" s="120"/>
      <c r="C668" s="120"/>
      <c r="D668" s="121"/>
      <c r="E668" s="121"/>
      <c r="F668" s="120"/>
      <c r="G668" s="120"/>
      <c r="H668" s="121"/>
      <c r="I668" s="121"/>
      <c r="J668" s="121"/>
      <c r="K668" s="120"/>
      <c r="L668" s="120"/>
      <c r="M668" s="122"/>
      <c r="N668" s="121"/>
      <c r="O668" s="121"/>
      <c r="P668" s="121"/>
      <c r="Q668" s="121"/>
      <c r="R668" s="120"/>
      <c r="S668" s="120"/>
      <c r="T668" s="120"/>
      <c r="U668" s="190"/>
      <c r="V668" s="190"/>
      <c r="W668" s="190"/>
      <c r="X668" s="190"/>
      <c r="Y668" s="190"/>
      <c r="Z668" s="190"/>
      <c r="AA668" s="120"/>
      <c r="AB668" s="120"/>
      <c r="AC668" s="120"/>
    </row>
    <row r="669" spans="1:29" ht="14.25" customHeight="1">
      <c r="A669" s="120"/>
      <c r="B669" s="120"/>
      <c r="C669" s="120"/>
      <c r="D669" s="121"/>
      <c r="E669" s="121"/>
      <c r="F669" s="120"/>
      <c r="G669" s="120"/>
      <c r="H669" s="121"/>
      <c r="I669" s="121"/>
      <c r="J669" s="121"/>
      <c r="K669" s="120"/>
      <c r="L669" s="120"/>
      <c r="M669" s="122"/>
      <c r="N669" s="121"/>
      <c r="O669" s="121"/>
      <c r="P669" s="121"/>
      <c r="Q669" s="121"/>
      <c r="R669" s="120"/>
      <c r="S669" s="120"/>
      <c r="T669" s="120"/>
      <c r="U669" s="190"/>
      <c r="V669" s="190"/>
      <c r="W669" s="190"/>
      <c r="X669" s="190"/>
      <c r="Y669" s="190"/>
      <c r="Z669" s="190"/>
      <c r="AA669" s="120"/>
      <c r="AB669" s="120"/>
      <c r="AC669" s="120"/>
    </row>
    <row r="670" spans="1:29" ht="14.25" customHeight="1">
      <c r="A670" s="120"/>
      <c r="B670" s="120"/>
      <c r="C670" s="120"/>
      <c r="D670" s="121"/>
      <c r="E670" s="121"/>
      <c r="F670" s="120"/>
      <c r="G670" s="120"/>
      <c r="H670" s="121"/>
      <c r="I670" s="121"/>
      <c r="J670" s="121"/>
      <c r="K670" s="120"/>
      <c r="L670" s="120"/>
      <c r="M670" s="122"/>
      <c r="N670" s="121"/>
      <c r="O670" s="121"/>
      <c r="P670" s="121"/>
      <c r="Q670" s="121"/>
      <c r="R670" s="120"/>
      <c r="S670" s="120"/>
      <c r="T670" s="120"/>
      <c r="U670" s="190"/>
      <c r="V670" s="190"/>
      <c r="W670" s="190"/>
      <c r="X670" s="190"/>
      <c r="Y670" s="190"/>
      <c r="Z670" s="190"/>
      <c r="AA670" s="120"/>
      <c r="AB670" s="120"/>
      <c r="AC670" s="120"/>
    </row>
    <row r="671" spans="1:29" ht="14.25" customHeight="1">
      <c r="A671" s="120"/>
      <c r="B671" s="120"/>
      <c r="C671" s="120"/>
      <c r="D671" s="121"/>
      <c r="E671" s="121"/>
      <c r="F671" s="120"/>
      <c r="G671" s="120"/>
      <c r="H671" s="121"/>
      <c r="I671" s="121"/>
      <c r="J671" s="121"/>
      <c r="K671" s="120"/>
      <c r="L671" s="120"/>
      <c r="M671" s="122"/>
      <c r="N671" s="121"/>
      <c r="O671" s="121"/>
      <c r="P671" s="121"/>
      <c r="Q671" s="121"/>
      <c r="R671" s="120"/>
      <c r="S671" s="120"/>
      <c r="T671" s="120"/>
      <c r="U671" s="190"/>
      <c r="V671" s="190"/>
      <c r="W671" s="190"/>
      <c r="X671" s="190"/>
      <c r="Y671" s="190"/>
      <c r="Z671" s="190"/>
      <c r="AA671" s="120"/>
      <c r="AB671" s="120"/>
      <c r="AC671" s="120"/>
    </row>
    <row r="672" spans="1:29" ht="14.25" customHeight="1">
      <c r="A672" s="120"/>
      <c r="B672" s="120"/>
      <c r="C672" s="120"/>
      <c r="D672" s="121"/>
      <c r="E672" s="121"/>
      <c r="F672" s="120"/>
      <c r="G672" s="120"/>
      <c r="H672" s="121"/>
      <c r="I672" s="121"/>
      <c r="J672" s="121"/>
      <c r="K672" s="120"/>
      <c r="L672" s="120"/>
      <c r="M672" s="122"/>
      <c r="N672" s="121"/>
      <c r="O672" s="121"/>
      <c r="P672" s="121"/>
      <c r="Q672" s="121"/>
      <c r="R672" s="120"/>
      <c r="S672" s="120"/>
      <c r="T672" s="120"/>
      <c r="U672" s="190"/>
      <c r="V672" s="190"/>
      <c r="W672" s="190"/>
      <c r="X672" s="190"/>
      <c r="Y672" s="190"/>
      <c r="Z672" s="190"/>
      <c r="AA672" s="120"/>
      <c r="AB672" s="120"/>
      <c r="AC672" s="120"/>
    </row>
    <row r="673" spans="1:29" ht="14.25" customHeight="1">
      <c r="A673" s="120"/>
      <c r="B673" s="120"/>
      <c r="C673" s="120"/>
      <c r="D673" s="121"/>
      <c r="E673" s="121"/>
      <c r="F673" s="120"/>
      <c r="G673" s="120"/>
      <c r="H673" s="121"/>
      <c r="I673" s="121"/>
      <c r="J673" s="121"/>
      <c r="K673" s="120"/>
      <c r="L673" s="120"/>
      <c r="M673" s="122"/>
      <c r="N673" s="121"/>
      <c r="O673" s="121"/>
      <c r="P673" s="121"/>
      <c r="Q673" s="121"/>
      <c r="R673" s="120"/>
      <c r="S673" s="120"/>
      <c r="T673" s="120"/>
      <c r="U673" s="190"/>
      <c r="V673" s="190"/>
      <c r="W673" s="190"/>
      <c r="X673" s="190"/>
      <c r="Y673" s="190"/>
      <c r="Z673" s="190"/>
      <c r="AA673" s="120"/>
      <c r="AB673" s="120"/>
      <c r="AC673" s="120"/>
    </row>
    <row r="674" spans="1:29" ht="14.25" customHeight="1">
      <c r="A674" s="120"/>
      <c r="B674" s="120"/>
      <c r="C674" s="120"/>
      <c r="D674" s="121"/>
      <c r="E674" s="121"/>
      <c r="F674" s="120"/>
      <c r="G674" s="120"/>
      <c r="H674" s="121"/>
      <c r="I674" s="121"/>
      <c r="J674" s="121"/>
      <c r="K674" s="120"/>
      <c r="L674" s="120"/>
      <c r="M674" s="122"/>
      <c r="N674" s="121"/>
      <c r="O674" s="121"/>
      <c r="P674" s="121"/>
      <c r="Q674" s="121"/>
      <c r="R674" s="120"/>
      <c r="S674" s="120"/>
      <c r="T674" s="120"/>
      <c r="U674" s="190"/>
      <c r="V674" s="190"/>
      <c r="W674" s="190"/>
      <c r="X674" s="190"/>
      <c r="Y674" s="190"/>
      <c r="Z674" s="190"/>
      <c r="AA674" s="120"/>
      <c r="AB674" s="120"/>
      <c r="AC674" s="120"/>
    </row>
    <row r="675" spans="1:29" ht="14.25" customHeight="1">
      <c r="A675" s="120"/>
      <c r="B675" s="120"/>
      <c r="C675" s="120"/>
      <c r="D675" s="121"/>
      <c r="E675" s="121"/>
      <c r="F675" s="120"/>
      <c r="G675" s="120"/>
      <c r="H675" s="121"/>
      <c r="I675" s="121"/>
      <c r="J675" s="121"/>
      <c r="K675" s="120"/>
      <c r="L675" s="120"/>
      <c r="M675" s="122"/>
      <c r="N675" s="121"/>
      <c r="O675" s="121"/>
      <c r="P675" s="121"/>
      <c r="Q675" s="121"/>
      <c r="R675" s="120"/>
      <c r="S675" s="120"/>
      <c r="T675" s="120"/>
      <c r="U675" s="190"/>
      <c r="V675" s="190"/>
      <c r="W675" s="190"/>
      <c r="X675" s="190"/>
      <c r="Y675" s="190"/>
      <c r="Z675" s="190"/>
      <c r="AA675" s="120"/>
      <c r="AB675" s="120"/>
      <c r="AC675" s="120"/>
    </row>
    <row r="676" spans="1:29" ht="14.25" customHeight="1">
      <c r="A676" s="120"/>
      <c r="B676" s="120"/>
      <c r="C676" s="120"/>
      <c r="D676" s="121"/>
      <c r="E676" s="121"/>
      <c r="F676" s="120"/>
      <c r="G676" s="120"/>
      <c r="H676" s="121"/>
      <c r="I676" s="121"/>
      <c r="J676" s="121"/>
      <c r="K676" s="120"/>
      <c r="L676" s="120"/>
      <c r="M676" s="122"/>
      <c r="N676" s="121"/>
      <c r="O676" s="121"/>
      <c r="P676" s="121"/>
      <c r="Q676" s="121"/>
      <c r="R676" s="120"/>
      <c r="S676" s="120"/>
      <c r="T676" s="120"/>
      <c r="U676" s="190"/>
      <c r="V676" s="190"/>
      <c r="W676" s="190"/>
      <c r="X676" s="190"/>
      <c r="Y676" s="190"/>
      <c r="Z676" s="190"/>
      <c r="AA676" s="120"/>
      <c r="AB676" s="120"/>
      <c r="AC676" s="120"/>
    </row>
    <row r="677" spans="1:29" ht="14.25" customHeight="1">
      <c r="A677" s="120"/>
      <c r="B677" s="120"/>
      <c r="C677" s="120"/>
      <c r="D677" s="121"/>
      <c r="E677" s="121"/>
      <c r="F677" s="120"/>
      <c r="G677" s="120"/>
      <c r="H677" s="121"/>
      <c r="I677" s="121"/>
      <c r="J677" s="121"/>
      <c r="K677" s="120"/>
      <c r="L677" s="120"/>
      <c r="M677" s="122"/>
      <c r="N677" s="121"/>
      <c r="O677" s="121"/>
      <c r="P677" s="121"/>
      <c r="Q677" s="121"/>
      <c r="R677" s="120"/>
      <c r="S677" s="120"/>
      <c r="T677" s="120"/>
      <c r="U677" s="190"/>
      <c r="V677" s="190"/>
      <c r="W677" s="190"/>
      <c r="X677" s="190"/>
      <c r="Y677" s="190"/>
      <c r="Z677" s="190"/>
      <c r="AA677" s="120"/>
      <c r="AB677" s="120"/>
      <c r="AC677" s="120"/>
    </row>
    <row r="678" spans="1:29" ht="14.25" customHeight="1">
      <c r="A678" s="120"/>
      <c r="B678" s="120"/>
      <c r="C678" s="120"/>
      <c r="D678" s="121"/>
      <c r="E678" s="121"/>
      <c r="F678" s="120"/>
      <c r="G678" s="120"/>
      <c r="H678" s="121"/>
      <c r="I678" s="121"/>
      <c r="J678" s="121"/>
      <c r="K678" s="120"/>
      <c r="L678" s="120"/>
      <c r="M678" s="122"/>
      <c r="N678" s="121"/>
      <c r="O678" s="121"/>
      <c r="P678" s="121"/>
      <c r="Q678" s="121"/>
      <c r="R678" s="120"/>
      <c r="S678" s="120"/>
      <c r="T678" s="120"/>
      <c r="U678" s="190"/>
      <c r="V678" s="190"/>
      <c r="W678" s="190"/>
      <c r="X678" s="190"/>
      <c r="Y678" s="190"/>
      <c r="Z678" s="190"/>
      <c r="AA678" s="120"/>
      <c r="AB678" s="120"/>
      <c r="AC678" s="120"/>
    </row>
    <row r="679" spans="1:29" ht="14.25" customHeight="1">
      <c r="A679" s="120"/>
      <c r="B679" s="120"/>
      <c r="C679" s="120"/>
      <c r="D679" s="121"/>
      <c r="E679" s="121"/>
      <c r="F679" s="120"/>
      <c r="G679" s="120"/>
      <c r="H679" s="121"/>
      <c r="I679" s="121"/>
      <c r="J679" s="121"/>
      <c r="K679" s="120"/>
      <c r="L679" s="120"/>
      <c r="M679" s="122"/>
      <c r="N679" s="121"/>
      <c r="O679" s="121"/>
      <c r="P679" s="121"/>
      <c r="Q679" s="121"/>
      <c r="R679" s="120"/>
      <c r="S679" s="120"/>
      <c r="T679" s="120"/>
      <c r="U679" s="190"/>
      <c r="V679" s="190"/>
      <c r="W679" s="190"/>
      <c r="X679" s="190"/>
      <c r="Y679" s="190"/>
      <c r="Z679" s="190"/>
      <c r="AA679" s="120"/>
      <c r="AB679" s="120"/>
      <c r="AC679" s="120"/>
    </row>
    <row r="680" spans="1:29" ht="14.25" customHeight="1">
      <c r="A680" s="120"/>
      <c r="B680" s="120"/>
      <c r="C680" s="120"/>
      <c r="D680" s="121"/>
      <c r="E680" s="121"/>
      <c r="F680" s="120"/>
      <c r="G680" s="120"/>
      <c r="H680" s="121"/>
      <c r="I680" s="121"/>
      <c r="J680" s="121"/>
      <c r="K680" s="120"/>
      <c r="L680" s="120"/>
      <c r="M680" s="122"/>
      <c r="N680" s="121"/>
      <c r="O680" s="121"/>
      <c r="P680" s="121"/>
      <c r="Q680" s="121"/>
      <c r="R680" s="120"/>
      <c r="S680" s="120"/>
      <c r="T680" s="120"/>
      <c r="U680" s="190"/>
      <c r="V680" s="190"/>
      <c r="W680" s="190"/>
      <c r="X680" s="190"/>
      <c r="Y680" s="190"/>
      <c r="Z680" s="190"/>
      <c r="AA680" s="120"/>
      <c r="AB680" s="120"/>
      <c r="AC680" s="120"/>
    </row>
    <row r="681" spans="1:29" ht="14.25" customHeight="1">
      <c r="A681" s="120"/>
      <c r="B681" s="120"/>
      <c r="C681" s="120"/>
      <c r="D681" s="121"/>
      <c r="E681" s="121"/>
      <c r="F681" s="120"/>
      <c r="G681" s="120"/>
      <c r="H681" s="121"/>
      <c r="I681" s="121"/>
      <c r="J681" s="121"/>
      <c r="K681" s="120"/>
      <c r="L681" s="120"/>
      <c r="M681" s="122"/>
      <c r="N681" s="121"/>
      <c r="O681" s="121"/>
      <c r="P681" s="121"/>
      <c r="Q681" s="121"/>
      <c r="R681" s="120"/>
      <c r="S681" s="120"/>
      <c r="T681" s="120"/>
      <c r="U681" s="190"/>
      <c r="V681" s="190"/>
      <c r="W681" s="190"/>
      <c r="X681" s="190"/>
      <c r="Y681" s="190"/>
      <c r="Z681" s="190"/>
      <c r="AA681" s="120"/>
      <c r="AB681" s="120"/>
      <c r="AC681" s="120"/>
    </row>
    <row r="682" spans="1:29" ht="14.25" customHeight="1">
      <c r="A682" s="120"/>
      <c r="B682" s="120"/>
      <c r="C682" s="120"/>
      <c r="D682" s="121"/>
      <c r="E682" s="121"/>
      <c r="F682" s="120"/>
      <c r="G682" s="120"/>
      <c r="H682" s="121"/>
      <c r="I682" s="121"/>
      <c r="J682" s="121"/>
      <c r="K682" s="120"/>
      <c r="L682" s="120"/>
      <c r="M682" s="122"/>
      <c r="N682" s="121"/>
      <c r="O682" s="121"/>
      <c r="P682" s="121"/>
      <c r="Q682" s="121"/>
      <c r="R682" s="120"/>
      <c r="S682" s="120"/>
      <c r="T682" s="120"/>
      <c r="U682" s="190"/>
      <c r="V682" s="190"/>
      <c r="W682" s="190"/>
      <c r="X682" s="190"/>
      <c r="Y682" s="190"/>
      <c r="Z682" s="190"/>
      <c r="AA682" s="120"/>
      <c r="AB682" s="120"/>
      <c r="AC682" s="120"/>
    </row>
    <row r="683" spans="1:29" ht="14.25" customHeight="1">
      <c r="A683" s="120"/>
      <c r="B683" s="120"/>
      <c r="C683" s="120"/>
      <c r="D683" s="121"/>
      <c r="E683" s="121"/>
      <c r="F683" s="120"/>
      <c r="G683" s="120"/>
      <c r="H683" s="121"/>
      <c r="I683" s="121"/>
      <c r="J683" s="121"/>
      <c r="K683" s="120"/>
      <c r="L683" s="120"/>
      <c r="M683" s="122"/>
      <c r="N683" s="121"/>
      <c r="O683" s="121"/>
      <c r="P683" s="121"/>
      <c r="Q683" s="121"/>
      <c r="R683" s="120"/>
      <c r="S683" s="120"/>
      <c r="T683" s="120"/>
      <c r="U683" s="190"/>
      <c r="V683" s="190"/>
      <c r="W683" s="190"/>
      <c r="X683" s="190"/>
      <c r="Y683" s="190"/>
      <c r="Z683" s="190"/>
      <c r="AA683" s="120"/>
      <c r="AB683" s="120"/>
      <c r="AC683" s="120"/>
    </row>
    <row r="684" spans="1:29" ht="14.25" customHeight="1">
      <c r="A684" s="120"/>
      <c r="B684" s="120"/>
      <c r="C684" s="120"/>
      <c r="D684" s="121"/>
      <c r="E684" s="121"/>
      <c r="F684" s="120"/>
      <c r="G684" s="120"/>
      <c r="H684" s="121"/>
      <c r="I684" s="121"/>
      <c r="J684" s="121"/>
      <c r="K684" s="120"/>
      <c r="L684" s="120"/>
      <c r="M684" s="122"/>
      <c r="N684" s="121"/>
      <c r="O684" s="121"/>
      <c r="P684" s="121"/>
      <c r="Q684" s="121"/>
      <c r="R684" s="120"/>
      <c r="S684" s="120"/>
      <c r="T684" s="120"/>
      <c r="U684" s="190"/>
      <c r="V684" s="190"/>
      <c r="W684" s="190"/>
      <c r="X684" s="190"/>
      <c r="Y684" s="190"/>
      <c r="Z684" s="190"/>
      <c r="AA684" s="120"/>
      <c r="AB684" s="120"/>
      <c r="AC684" s="120"/>
    </row>
    <row r="685" spans="1:29" ht="14.25" customHeight="1">
      <c r="A685" s="120"/>
      <c r="B685" s="120"/>
      <c r="C685" s="120"/>
      <c r="D685" s="121"/>
      <c r="E685" s="121"/>
      <c r="F685" s="120"/>
      <c r="G685" s="120"/>
      <c r="H685" s="121"/>
      <c r="I685" s="121"/>
      <c r="J685" s="121"/>
      <c r="K685" s="120"/>
      <c r="L685" s="120"/>
      <c r="M685" s="122"/>
      <c r="N685" s="121"/>
      <c r="O685" s="121"/>
      <c r="P685" s="121"/>
      <c r="Q685" s="121"/>
      <c r="R685" s="120"/>
      <c r="S685" s="120"/>
      <c r="T685" s="120"/>
      <c r="U685" s="190"/>
      <c r="V685" s="190"/>
      <c r="W685" s="190"/>
      <c r="X685" s="190"/>
      <c r="Y685" s="190"/>
      <c r="Z685" s="190"/>
      <c r="AA685" s="120"/>
      <c r="AB685" s="120"/>
      <c r="AC685" s="120"/>
    </row>
    <row r="686" spans="1:29" ht="14.25" customHeight="1">
      <c r="A686" s="120"/>
      <c r="B686" s="120"/>
      <c r="C686" s="120"/>
      <c r="D686" s="121"/>
      <c r="E686" s="121"/>
      <c r="F686" s="120"/>
      <c r="G686" s="120"/>
      <c r="H686" s="121"/>
      <c r="I686" s="121"/>
      <c r="J686" s="121"/>
      <c r="K686" s="120"/>
      <c r="L686" s="120"/>
      <c r="M686" s="122"/>
      <c r="N686" s="121"/>
      <c r="O686" s="121"/>
      <c r="P686" s="121"/>
      <c r="Q686" s="121"/>
      <c r="R686" s="120"/>
      <c r="S686" s="120"/>
      <c r="T686" s="120"/>
      <c r="U686" s="190"/>
      <c r="V686" s="190"/>
      <c r="W686" s="190"/>
      <c r="X686" s="190"/>
      <c r="Y686" s="190"/>
      <c r="Z686" s="190"/>
      <c r="AA686" s="120"/>
      <c r="AB686" s="120"/>
      <c r="AC686" s="120"/>
    </row>
    <row r="687" spans="1:29" ht="14.25" customHeight="1">
      <c r="A687" s="120"/>
      <c r="B687" s="120"/>
      <c r="C687" s="120"/>
      <c r="D687" s="121"/>
      <c r="E687" s="121"/>
      <c r="F687" s="120"/>
      <c r="G687" s="120"/>
      <c r="H687" s="121"/>
      <c r="I687" s="121"/>
      <c r="J687" s="121"/>
      <c r="K687" s="120"/>
      <c r="L687" s="120"/>
      <c r="M687" s="122"/>
      <c r="N687" s="121"/>
      <c r="O687" s="121"/>
      <c r="P687" s="121"/>
      <c r="Q687" s="121"/>
      <c r="R687" s="120"/>
      <c r="S687" s="120"/>
      <c r="T687" s="120"/>
      <c r="U687" s="190"/>
      <c r="V687" s="190"/>
      <c r="W687" s="190"/>
      <c r="X687" s="190"/>
      <c r="Y687" s="190"/>
      <c r="Z687" s="190"/>
      <c r="AA687" s="120"/>
      <c r="AB687" s="120"/>
      <c r="AC687" s="120"/>
    </row>
    <row r="688" spans="1:29" ht="14.25" customHeight="1">
      <c r="A688" s="120"/>
      <c r="B688" s="120"/>
      <c r="C688" s="120"/>
      <c r="D688" s="121"/>
      <c r="E688" s="121"/>
      <c r="F688" s="120"/>
      <c r="G688" s="120"/>
      <c r="H688" s="121"/>
      <c r="I688" s="121"/>
      <c r="J688" s="121"/>
      <c r="K688" s="120"/>
      <c r="L688" s="120"/>
      <c r="M688" s="122"/>
      <c r="N688" s="121"/>
      <c r="O688" s="121"/>
      <c r="P688" s="121"/>
      <c r="Q688" s="121"/>
      <c r="R688" s="120"/>
      <c r="S688" s="120"/>
      <c r="T688" s="120"/>
      <c r="U688" s="190"/>
      <c r="V688" s="190"/>
      <c r="W688" s="190"/>
      <c r="X688" s="190"/>
      <c r="Y688" s="190"/>
      <c r="Z688" s="190"/>
      <c r="AA688" s="120"/>
      <c r="AB688" s="120"/>
      <c r="AC688" s="120"/>
    </row>
    <row r="689" spans="1:29" ht="14.25" customHeight="1">
      <c r="A689" s="120"/>
      <c r="B689" s="120"/>
      <c r="C689" s="120"/>
      <c r="D689" s="121"/>
      <c r="E689" s="121"/>
      <c r="F689" s="120"/>
      <c r="G689" s="120"/>
      <c r="H689" s="121"/>
      <c r="I689" s="121"/>
      <c r="J689" s="121"/>
      <c r="K689" s="120"/>
      <c r="L689" s="120"/>
      <c r="M689" s="122"/>
      <c r="N689" s="121"/>
      <c r="O689" s="121"/>
      <c r="P689" s="121"/>
      <c r="Q689" s="121"/>
      <c r="R689" s="120"/>
      <c r="S689" s="120"/>
      <c r="T689" s="120"/>
      <c r="U689" s="190"/>
      <c r="V689" s="190"/>
      <c r="W689" s="190"/>
      <c r="X689" s="190"/>
      <c r="Y689" s="190"/>
      <c r="Z689" s="190"/>
      <c r="AA689" s="120"/>
      <c r="AB689" s="120"/>
      <c r="AC689" s="120"/>
    </row>
    <row r="690" spans="1:29" ht="14.25" customHeight="1">
      <c r="A690" s="120"/>
      <c r="B690" s="120"/>
      <c r="C690" s="120"/>
      <c r="D690" s="121"/>
      <c r="E690" s="121"/>
      <c r="F690" s="120"/>
      <c r="G690" s="120"/>
      <c r="H690" s="121"/>
      <c r="I690" s="121"/>
      <c r="J690" s="121"/>
      <c r="K690" s="120"/>
      <c r="L690" s="120"/>
      <c r="M690" s="122"/>
      <c r="N690" s="121"/>
      <c r="O690" s="121"/>
      <c r="P690" s="121"/>
      <c r="Q690" s="121"/>
      <c r="R690" s="120"/>
      <c r="S690" s="120"/>
      <c r="T690" s="120"/>
      <c r="U690" s="190"/>
      <c r="V690" s="190"/>
      <c r="W690" s="190"/>
      <c r="X690" s="190"/>
      <c r="Y690" s="190"/>
      <c r="Z690" s="190"/>
      <c r="AA690" s="120"/>
      <c r="AB690" s="120"/>
      <c r="AC690" s="120"/>
    </row>
    <row r="691" spans="1:29" ht="14.25" customHeight="1">
      <c r="A691" s="120"/>
      <c r="B691" s="120"/>
      <c r="C691" s="120"/>
      <c r="D691" s="121"/>
      <c r="E691" s="121"/>
      <c r="F691" s="120"/>
      <c r="G691" s="120"/>
      <c r="H691" s="121"/>
      <c r="I691" s="121"/>
      <c r="J691" s="121"/>
      <c r="K691" s="120"/>
      <c r="L691" s="120"/>
      <c r="M691" s="122"/>
      <c r="N691" s="121"/>
      <c r="O691" s="121"/>
      <c r="P691" s="121"/>
      <c r="Q691" s="121"/>
      <c r="R691" s="120"/>
      <c r="S691" s="120"/>
      <c r="T691" s="120"/>
      <c r="U691" s="190"/>
      <c r="V691" s="190"/>
      <c r="W691" s="190"/>
      <c r="X691" s="190"/>
      <c r="Y691" s="190"/>
      <c r="Z691" s="190"/>
      <c r="AA691" s="120"/>
      <c r="AB691" s="120"/>
      <c r="AC691" s="120"/>
    </row>
    <row r="692" spans="1:29" ht="14.25" customHeight="1">
      <c r="A692" s="120"/>
      <c r="B692" s="120"/>
      <c r="C692" s="120"/>
      <c r="D692" s="121"/>
      <c r="E692" s="121"/>
      <c r="F692" s="120"/>
      <c r="G692" s="120"/>
      <c r="H692" s="121"/>
      <c r="I692" s="121"/>
      <c r="J692" s="121"/>
      <c r="K692" s="120"/>
      <c r="L692" s="120"/>
      <c r="M692" s="122"/>
      <c r="N692" s="121"/>
      <c r="O692" s="121"/>
      <c r="P692" s="121"/>
      <c r="Q692" s="121"/>
      <c r="R692" s="120"/>
      <c r="S692" s="120"/>
      <c r="T692" s="120"/>
      <c r="U692" s="190"/>
      <c r="V692" s="190"/>
      <c r="W692" s="190"/>
      <c r="X692" s="190"/>
      <c r="Y692" s="190"/>
      <c r="Z692" s="190"/>
      <c r="AA692" s="120"/>
      <c r="AB692" s="120"/>
      <c r="AC692" s="120"/>
    </row>
    <row r="693" spans="1:29" ht="14.25" customHeight="1">
      <c r="A693" s="120"/>
      <c r="B693" s="120"/>
      <c r="C693" s="120"/>
      <c r="D693" s="121"/>
      <c r="E693" s="121"/>
      <c r="F693" s="120"/>
      <c r="G693" s="120"/>
      <c r="H693" s="121"/>
      <c r="I693" s="121"/>
      <c r="J693" s="121"/>
      <c r="K693" s="120"/>
      <c r="L693" s="120"/>
      <c r="M693" s="122"/>
      <c r="N693" s="121"/>
      <c r="O693" s="121"/>
      <c r="P693" s="121"/>
      <c r="Q693" s="121"/>
      <c r="R693" s="120"/>
      <c r="S693" s="120"/>
      <c r="T693" s="120"/>
      <c r="U693" s="190"/>
      <c r="V693" s="190"/>
      <c r="W693" s="190"/>
      <c r="X693" s="190"/>
      <c r="Y693" s="190"/>
      <c r="Z693" s="190"/>
      <c r="AA693" s="120"/>
      <c r="AB693" s="120"/>
      <c r="AC693" s="120"/>
    </row>
    <row r="694" spans="1:29" ht="14.25" customHeight="1">
      <c r="A694" s="120"/>
      <c r="B694" s="120"/>
      <c r="C694" s="120"/>
      <c r="D694" s="121"/>
      <c r="E694" s="121"/>
      <c r="F694" s="120"/>
      <c r="G694" s="120"/>
      <c r="H694" s="121"/>
      <c r="I694" s="121"/>
      <c r="J694" s="121"/>
      <c r="K694" s="120"/>
      <c r="L694" s="120"/>
      <c r="M694" s="122"/>
      <c r="N694" s="121"/>
      <c r="O694" s="121"/>
      <c r="P694" s="121"/>
      <c r="Q694" s="121"/>
      <c r="R694" s="120"/>
      <c r="S694" s="120"/>
      <c r="T694" s="120"/>
      <c r="U694" s="190"/>
      <c r="V694" s="190"/>
      <c r="W694" s="190"/>
      <c r="X694" s="190"/>
      <c r="Y694" s="190"/>
      <c r="Z694" s="190"/>
      <c r="AA694" s="120"/>
      <c r="AB694" s="120"/>
      <c r="AC694" s="120"/>
    </row>
    <row r="695" spans="1:29" ht="14.25" customHeight="1">
      <c r="A695" s="120"/>
      <c r="B695" s="120"/>
      <c r="C695" s="120"/>
      <c r="D695" s="121"/>
      <c r="E695" s="121"/>
      <c r="F695" s="120"/>
      <c r="G695" s="120"/>
      <c r="H695" s="121"/>
      <c r="I695" s="121"/>
      <c r="J695" s="121"/>
      <c r="K695" s="120"/>
      <c r="L695" s="120"/>
      <c r="M695" s="122"/>
      <c r="N695" s="121"/>
      <c r="O695" s="121"/>
      <c r="P695" s="121"/>
      <c r="Q695" s="121"/>
      <c r="R695" s="120"/>
      <c r="S695" s="120"/>
      <c r="T695" s="120"/>
      <c r="U695" s="190"/>
      <c r="V695" s="190"/>
      <c r="W695" s="190"/>
      <c r="X695" s="190"/>
      <c r="Y695" s="190"/>
      <c r="Z695" s="190"/>
      <c r="AA695" s="120"/>
      <c r="AB695" s="120"/>
      <c r="AC695" s="120"/>
    </row>
    <row r="696" spans="1:29" ht="14.25" customHeight="1">
      <c r="A696" s="120"/>
      <c r="B696" s="120"/>
      <c r="C696" s="120"/>
      <c r="D696" s="121"/>
      <c r="E696" s="121"/>
      <c r="F696" s="120"/>
      <c r="G696" s="120"/>
      <c r="H696" s="121"/>
      <c r="I696" s="121"/>
      <c r="J696" s="121"/>
      <c r="K696" s="120"/>
      <c r="L696" s="120"/>
      <c r="M696" s="122"/>
      <c r="N696" s="121"/>
      <c r="O696" s="121"/>
      <c r="P696" s="121"/>
      <c r="Q696" s="121"/>
      <c r="R696" s="120"/>
      <c r="S696" s="120"/>
      <c r="T696" s="120"/>
      <c r="U696" s="190"/>
      <c r="V696" s="190"/>
      <c r="W696" s="190"/>
      <c r="X696" s="190"/>
      <c r="Y696" s="190"/>
      <c r="Z696" s="190"/>
      <c r="AA696" s="120"/>
      <c r="AB696" s="120"/>
      <c r="AC696" s="120"/>
    </row>
    <row r="697" spans="1:29" ht="14.25" customHeight="1">
      <c r="A697" s="120"/>
      <c r="B697" s="120"/>
      <c r="C697" s="120"/>
      <c r="D697" s="121"/>
      <c r="E697" s="121"/>
      <c r="F697" s="120"/>
      <c r="G697" s="120"/>
      <c r="H697" s="121"/>
      <c r="I697" s="121"/>
      <c r="J697" s="121"/>
      <c r="K697" s="120"/>
      <c r="L697" s="120"/>
      <c r="M697" s="122"/>
      <c r="N697" s="121"/>
      <c r="O697" s="121"/>
      <c r="P697" s="121"/>
      <c r="Q697" s="121"/>
      <c r="R697" s="120"/>
      <c r="S697" s="120"/>
      <c r="T697" s="120"/>
      <c r="U697" s="190"/>
      <c r="V697" s="190"/>
      <c r="W697" s="190"/>
      <c r="X697" s="190"/>
      <c r="Y697" s="190"/>
      <c r="Z697" s="190"/>
      <c r="AA697" s="120"/>
      <c r="AB697" s="120"/>
      <c r="AC697" s="120"/>
    </row>
    <row r="698" spans="1:29" ht="14.25" customHeight="1">
      <c r="A698" s="120"/>
      <c r="B698" s="120"/>
      <c r="C698" s="120"/>
      <c r="D698" s="121"/>
      <c r="E698" s="121"/>
      <c r="F698" s="120"/>
      <c r="G698" s="120"/>
      <c r="H698" s="121"/>
      <c r="I698" s="121"/>
      <c r="J698" s="121"/>
      <c r="K698" s="120"/>
      <c r="L698" s="120"/>
      <c r="M698" s="122"/>
      <c r="N698" s="121"/>
      <c r="O698" s="121"/>
      <c r="P698" s="121"/>
      <c r="Q698" s="121"/>
      <c r="R698" s="120"/>
      <c r="S698" s="120"/>
      <c r="T698" s="120"/>
      <c r="U698" s="190"/>
      <c r="V698" s="190"/>
      <c r="W698" s="190"/>
      <c r="X698" s="190"/>
      <c r="Y698" s="190"/>
      <c r="Z698" s="190"/>
      <c r="AA698" s="120"/>
      <c r="AB698" s="120"/>
      <c r="AC698" s="120"/>
    </row>
    <row r="699" spans="1:29" ht="14.25" customHeight="1">
      <c r="A699" s="120"/>
      <c r="B699" s="120"/>
      <c r="C699" s="120"/>
      <c r="D699" s="121"/>
      <c r="E699" s="121"/>
      <c r="F699" s="120"/>
      <c r="G699" s="120"/>
      <c r="H699" s="121"/>
      <c r="I699" s="121"/>
      <c r="J699" s="121"/>
      <c r="K699" s="120"/>
      <c r="L699" s="120"/>
      <c r="M699" s="122"/>
      <c r="N699" s="121"/>
      <c r="O699" s="121"/>
      <c r="P699" s="121"/>
      <c r="Q699" s="121"/>
      <c r="R699" s="120"/>
      <c r="S699" s="120"/>
      <c r="T699" s="120"/>
      <c r="U699" s="190"/>
      <c r="V699" s="190"/>
      <c r="W699" s="190"/>
      <c r="X699" s="190"/>
      <c r="Y699" s="190"/>
      <c r="Z699" s="190"/>
      <c r="AA699" s="120"/>
      <c r="AB699" s="120"/>
      <c r="AC699" s="120"/>
    </row>
    <row r="700" spans="1:29" ht="14.25" customHeight="1">
      <c r="A700" s="120"/>
      <c r="B700" s="120"/>
      <c r="C700" s="120"/>
      <c r="D700" s="121"/>
      <c r="E700" s="121"/>
      <c r="F700" s="120"/>
      <c r="G700" s="120"/>
      <c r="H700" s="121"/>
      <c r="I700" s="121"/>
      <c r="J700" s="121"/>
      <c r="K700" s="120"/>
      <c r="L700" s="120"/>
      <c r="M700" s="122"/>
      <c r="N700" s="121"/>
      <c r="O700" s="121"/>
      <c r="P700" s="121"/>
      <c r="Q700" s="121"/>
      <c r="R700" s="120"/>
      <c r="S700" s="120"/>
      <c r="T700" s="120"/>
      <c r="U700" s="190"/>
      <c r="V700" s="190"/>
      <c r="W700" s="190"/>
      <c r="X700" s="190"/>
      <c r="Y700" s="190"/>
      <c r="Z700" s="190"/>
      <c r="AA700" s="120"/>
      <c r="AB700" s="120"/>
      <c r="AC700" s="120"/>
    </row>
    <row r="701" spans="1:29" ht="14.25" customHeight="1">
      <c r="A701" s="120"/>
      <c r="B701" s="120"/>
      <c r="C701" s="120"/>
      <c r="D701" s="121"/>
      <c r="E701" s="121"/>
      <c r="F701" s="120"/>
      <c r="G701" s="120"/>
      <c r="H701" s="121"/>
      <c r="I701" s="121"/>
      <c r="J701" s="121"/>
      <c r="K701" s="120"/>
      <c r="L701" s="120"/>
      <c r="M701" s="122"/>
      <c r="N701" s="121"/>
      <c r="O701" s="121"/>
      <c r="P701" s="121"/>
      <c r="Q701" s="121"/>
      <c r="R701" s="120"/>
      <c r="S701" s="120"/>
      <c r="T701" s="120"/>
      <c r="U701" s="190"/>
      <c r="V701" s="190"/>
      <c r="W701" s="190"/>
      <c r="X701" s="190"/>
      <c r="Y701" s="190"/>
      <c r="Z701" s="190"/>
      <c r="AA701" s="120"/>
      <c r="AB701" s="120"/>
      <c r="AC701" s="120"/>
    </row>
    <row r="702" spans="1:29" ht="14.25" customHeight="1">
      <c r="A702" s="120"/>
      <c r="B702" s="120"/>
      <c r="C702" s="120"/>
      <c r="D702" s="121"/>
      <c r="E702" s="121"/>
      <c r="F702" s="120"/>
      <c r="G702" s="120"/>
      <c r="H702" s="121"/>
      <c r="I702" s="121"/>
      <c r="J702" s="121"/>
      <c r="K702" s="120"/>
      <c r="L702" s="120"/>
      <c r="M702" s="122"/>
      <c r="N702" s="121"/>
      <c r="O702" s="121"/>
      <c r="P702" s="121"/>
      <c r="Q702" s="121"/>
      <c r="R702" s="120"/>
      <c r="S702" s="120"/>
      <c r="T702" s="120"/>
      <c r="U702" s="190"/>
      <c r="V702" s="190"/>
      <c r="W702" s="190"/>
      <c r="X702" s="190"/>
      <c r="Y702" s="190"/>
      <c r="Z702" s="190"/>
      <c r="AA702" s="120"/>
      <c r="AB702" s="120"/>
      <c r="AC702" s="120"/>
    </row>
    <row r="703" spans="1:29" ht="14.25" customHeight="1">
      <c r="A703" s="120"/>
      <c r="B703" s="120"/>
      <c r="C703" s="120"/>
      <c r="D703" s="121"/>
      <c r="E703" s="121"/>
      <c r="F703" s="120"/>
      <c r="G703" s="120"/>
      <c r="H703" s="121"/>
      <c r="I703" s="121"/>
      <c r="J703" s="121"/>
      <c r="K703" s="120"/>
      <c r="L703" s="120"/>
      <c r="M703" s="122"/>
      <c r="N703" s="121"/>
      <c r="O703" s="121"/>
      <c r="P703" s="121"/>
      <c r="Q703" s="121"/>
      <c r="R703" s="120"/>
      <c r="S703" s="120"/>
      <c r="T703" s="120"/>
      <c r="U703" s="190"/>
      <c r="V703" s="190"/>
      <c r="W703" s="190"/>
      <c r="X703" s="190"/>
      <c r="Y703" s="190"/>
      <c r="Z703" s="190"/>
      <c r="AA703" s="120"/>
      <c r="AB703" s="120"/>
      <c r="AC703" s="120"/>
    </row>
    <row r="704" spans="1:29" ht="14.25" customHeight="1">
      <c r="A704" s="120"/>
      <c r="B704" s="120"/>
      <c r="C704" s="120"/>
      <c r="D704" s="121"/>
      <c r="E704" s="121"/>
      <c r="F704" s="120"/>
      <c r="G704" s="120"/>
      <c r="H704" s="121"/>
      <c r="I704" s="121"/>
      <c r="J704" s="121"/>
      <c r="K704" s="120"/>
      <c r="L704" s="120"/>
      <c r="M704" s="122"/>
      <c r="N704" s="121"/>
      <c r="O704" s="121"/>
      <c r="P704" s="121"/>
      <c r="Q704" s="121"/>
      <c r="R704" s="120"/>
      <c r="S704" s="120"/>
      <c r="T704" s="120"/>
      <c r="U704" s="190"/>
      <c r="V704" s="190"/>
      <c r="W704" s="190"/>
      <c r="X704" s="190"/>
      <c r="Y704" s="190"/>
      <c r="Z704" s="190"/>
      <c r="AA704" s="120"/>
      <c r="AB704" s="120"/>
      <c r="AC704" s="120"/>
    </row>
    <row r="705" spans="1:29" ht="14.25" customHeight="1">
      <c r="A705" s="120"/>
      <c r="B705" s="120"/>
      <c r="C705" s="120"/>
      <c r="D705" s="121"/>
      <c r="E705" s="121"/>
      <c r="F705" s="120"/>
      <c r="G705" s="120"/>
      <c r="H705" s="121"/>
      <c r="I705" s="121"/>
      <c r="J705" s="121"/>
      <c r="K705" s="120"/>
      <c r="L705" s="120"/>
      <c r="M705" s="122"/>
      <c r="N705" s="121"/>
      <c r="O705" s="121"/>
      <c r="P705" s="121"/>
      <c r="Q705" s="121"/>
      <c r="R705" s="120"/>
      <c r="S705" s="120"/>
      <c r="T705" s="120"/>
      <c r="U705" s="190"/>
      <c r="V705" s="190"/>
      <c r="W705" s="190"/>
      <c r="X705" s="190"/>
      <c r="Y705" s="190"/>
      <c r="Z705" s="190"/>
      <c r="AA705" s="120"/>
      <c r="AB705" s="120"/>
      <c r="AC705" s="120"/>
    </row>
    <row r="706" spans="1:29" ht="14.25" customHeight="1">
      <c r="A706" s="120"/>
      <c r="B706" s="120"/>
      <c r="C706" s="120"/>
      <c r="D706" s="121"/>
      <c r="E706" s="121"/>
      <c r="F706" s="120"/>
      <c r="G706" s="120"/>
      <c r="H706" s="121"/>
      <c r="I706" s="121"/>
      <c r="J706" s="121"/>
      <c r="K706" s="120"/>
      <c r="L706" s="120"/>
      <c r="M706" s="122"/>
      <c r="N706" s="121"/>
      <c r="O706" s="121"/>
      <c r="P706" s="121"/>
      <c r="Q706" s="121"/>
      <c r="R706" s="120"/>
      <c r="S706" s="120"/>
      <c r="T706" s="120"/>
      <c r="U706" s="190"/>
      <c r="V706" s="190"/>
      <c r="W706" s="190"/>
      <c r="X706" s="190"/>
      <c r="Y706" s="190"/>
      <c r="Z706" s="190"/>
      <c r="AA706" s="120"/>
      <c r="AB706" s="120"/>
      <c r="AC706" s="120"/>
    </row>
    <row r="707" spans="1:29" ht="14.25" customHeight="1">
      <c r="A707" s="120"/>
      <c r="B707" s="120"/>
      <c r="C707" s="120"/>
      <c r="D707" s="121"/>
      <c r="E707" s="121"/>
      <c r="F707" s="120"/>
      <c r="G707" s="120"/>
      <c r="H707" s="121"/>
      <c r="I707" s="121"/>
      <c r="J707" s="121"/>
      <c r="K707" s="120"/>
      <c r="L707" s="120"/>
      <c r="M707" s="122"/>
      <c r="N707" s="121"/>
      <c r="O707" s="121"/>
      <c r="P707" s="121"/>
      <c r="Q707" s="121"/>
      <c r="R707" s="120"/>
      <c r="S707" s="120"/>
      <c r="T707" s="120"/>
      <c r="U707" s="190"/>
      <c r="V707" s="190"/>
      <c r="W707" s="190"/>
      <c r="X707" s="190"/>
      <c r="Y707" s="190"/>
      <c r="Z707" s="190"/>
      <c r="AA707" s="120"/>
      <c r="AB707" s="120"/>
      <c r="AC707" s="120"/>
    </row>
    <row r="708" spans="1:29" ht="14.25" customHeight="1">
      <c r="A708" s="120"/>
      <c r="B708" s="120"/>
      <c r="C708" s="120"/>
      <c r="D708" s="121"/>
      <c r="E708" s="121"/>
      <c r="F708" s="120"/>
      <c r="G708" s="120"/>
      <c r="H708" s="121"/>
      <c r="I708" s="121"/>
      <c r="J708" s="121"/>
      <c r="K708" s="120"/>
      <c r="L708" s="120"/>
      <c r="M708" s="122"/>
      <c r="N708" s="121"/>
      <c r="O708" s="121"/>
      <c r="P708" s="121"/>
      <c r="Q708" s="121"/>
      <c r="R708" s="120"/>
      <c r="S708" s="120"/>
      <c r="T708" s="120"/>
      <c r="U708" s="190"/>
      <c r="V708" s="190"/>
      <c r="W708" s="190"/>
      <c r="X708" s="190"/>
      <c r="Y708" s="190"/>
      <c r="Z708" s="190"/>
      <c r="AA708" s="120"/>
      <c r="AB708" s="120"/>
      <c r="AC708" s="120"/>
    </row>
    <row r="709" spans="1:29" ht="14.25" customHeight="1">
      <c r="A709" s="120"/>
      <c r="B709" s="120"/>
      <c r="C709" s="120"/>
      <c r="D709" s="121"/>
      <c r="E709" s="121"/>
      <c r="F709" s="120"/>
      <c r="G709" s="120"/>
      <c r="H709" s="121"/>
      <c r="I709" s="121"/>
      <c r="J709" s="121"/>
      <c r="K709" s="120"/>
      <c r="L709" s="120"/>
      <c r="M709" s="122"/>
      <c r="N709" s="121"/>
      <c r="O709" s="121"/>
      <c r="P709" s="121"/>
      <c r="Q709" s="121"/>
      <c r="R709" s="120"/>
      <c r="S709" s="120"/>
      <c r="T709" s="120"/>
      <c r="U709" s="190"/>
      <c r="V709" s="190"/>
      <c r="W709" s="190"/>
      <c r="X709" s="190"/>
      <c r="Y709" s="190"/>
      <c r="Z709" s="190"/>
      <c r="AA709" s="120"/>
      <c r="AB709" s="120"/>
      <c r="AC709" s="120"/>
    </row>
    <row r="710" spans="1:29" ht="14.25" customHeight="1">
      <c r="A710" s="120"/>
      <c r="B710" s="120"/>
      <c r="C710" s="120"/>
      <c r="D710" s="121"/>
      <c r="E710" s="121"/>
      <c r="F710" s="120"/>
      <c r="G710" s="120"/>
      <c r="H710" s="121"/>
      <c r="I710" s="121"/>
      <c r="J710" s="121"/>
      <c r="K710" s="120"/>
      <c r="L710" s="120"/>
      <c r="M710" s="122"/>
      <c r="N710" s="121"/>
      <c r="O710" s="121"/>
      <c r="P710" s="121"/>
      <c r="Q710" s="121"/>
      <c r="R710" s="120"/>
      <c r="S710" s="120"/>
      <c r="T710" s="120"/>
      <c r="U710" s="190"/>
      <c r="V710" s="190"/>
      <c r="W710" s="190"/>
      <c r="X710" s="190"/>
      <c r="Y710" s="190"/>
      <c r="Z710" s="190"/>
      <c r="AA710" s="120"/>
      <c r="AB710" s="120"/>
      <c r="AC710" s="120"/>
    </row>
    <row r="711" spans="1:29" ht="14.25" customHeight="1">
      <c r="A711" s="120"/>
      <c r="B711" s="120"/>
      <c r="C711" s="120"/>
      <c r="D711" s="121"/>
      <c r="E711" s="121"/>
      <c r="F711" s="120"/>
      <c r="G711" s="120"/>
      <c r="H711" s="121"/>
      <c r="I711" s="121"/>
      <c r="J711" s="121"/>
      <c r="K711" s="120"/>
      <c r="L711" s="120"/>
      <c r="M711" s="122"/>
      <c r="N711" s="121"/>
      <c r="O711" s="121"/>
      <c r="P711" s="121"/>
      <c r="Q711" s="121"/>
      <c r="R711" s="120"/>
      <c r="S711" s="120"/>
      <c r="T711" s="120"/>
      <c r="U711" s="190"/>
      <c r="V711" s="190"/>
      <c r="W711" s="190"/>
      <c r="X711" s="190"/>
      <c r="Y711" s="190"/>
      <c r="Z711" s="190"/>
      <c r="AA711" s="120"/>
      <c r="AB711" s="120"/>
      <c r="AC711" s="120"/>
    </row>
    <row r="712" spans="1:29" ht="14.25" customHeight="1">
      <c r="A712" s="120"/>
      <c r="B712" s="120"/>
      <c r="C712" s="120"/>
      <c r="D712" s="121"/>
      <c r="E712" s="121"/>
      <c r="F712" s="120"/>
      <c r="G712" s="120"/>
      <c r="H712" s="121"/>
      <c r="I712" s="121"/>
      <c r="J712" s="121"/>
      <c r="K712" s="120"/>
      <c r="L712" s="120"/>
      <c r="M712" s="122"/>
      <c r="N712" s="121"/>
      <c r="O712" s="121"/>
      <c r="P712" s="121"/>
      <c r="Q712" s="121"/>
      <c r="R712" s="120"/>
      <c r="S712" s="120"/>
      <c r="T712" s="120"/>
      <c r="U712" s="190"/>
      <c r="V712" s="190"/>
      <c r="W712" s="190"/>
      <c r="X712" s="190"/>
      <c r="Y712" s="190"/>
      <c r="Z712" s="190"/>
      <c r="AA712" s="120"/>
      <c r="AB712" s="120"/>
      <c r="AC712" s="120"/>
    </row>
    <row r="713" spans="1:29" ht="14.25" customHeight="1">
      <c r="A713" s="120"/>
      <c r="B713" s="120"/>
      <c r="C713" s="120"/>
      <c r="D713" s="121"/>
      <c r="E713" s="121"/>
      <c r="F713" s="120"/>
      <c r="G713" s="120"/>
      <c r="H713" s="121"/>
      <c r="I713" s="121"/>
      <c r="J713" s="121"/>
      <c r="K713" s="120"/>
      <c r="L713" s="120"/>
      <c r="M713" s="122"/>
      <c r="N713" s="121"/>
      <c r="O713" s="121"/>
      <c r="P713" s="121"/>
      <c r="Q713" s="121"/>
      <c r="R713" s="120"/>
      <c r="S713" s="120"/>
      <c r="T713" s="120"/>
      <c r="U713" s="190"/>
      <c r="V713" s="190"/>
      <c r="W713" s="190"/>
      <c r="X713" s="190"/>
      <c r="Y713" s="190"/>
      <c r="Z713" s="190"/>
      <c r="AA713" s="120"/>
      <c r="AB713" s="120"/>
      <c r="AC713" s="120"/>
    </row>
    <row r="714" spans="1:29" ht="14.25" customHeight="1">
      <c r="A714" s="120"/>
      <c r="B714" s="120"/>
      <c r="C714" s="120"/>
      <c r="D714" s="121"/>
      <c r="E714" s="121"/>
      <c r="F714" s="120"/>
      <c r="G714" s="120"/>
      <c r="H714" s="121"/>
      <c r="I714" s="121"/>
      <c r="J714" s="121"/>
      <c r="K714" s="120"/>
      <c r="L714" s="120"/>
      <c r="M714" s="122"/>
      <c r="N714" s="121"/>
      <c r="O714" s="121"/>
      <c r="P714" s="121"/>
      <c r="Q714" s="121"/>
      <c r="R714" s="120"/>
      <c r="S714" s="120"/>
      <c r="T714" s="120"/>
      <c r="U714" s="190"/>
      <c r="V714" s="190"/>
      <c r="W714" s="190"/>
      <c r="X714" s="190"/>
      <c r="Y714" s="190"/>
      <c r="Z714" s="190"/>
      <c r="AA714" s="120"/>
      <c r="AB714" s="120"/>
      <c r="AC714" s="120"/>
    </row>
    <row r="715" spans="1:29" ht="14.25" customHeight="1">
      <c r="A715" s="120"/>
      <c r="B715" s="120"/>
      <c r="C715" s="120"/>
      <c r="D715" s="121"/>
      <c r="E715" s="121"/>
      <c r="F715" s="120"/>
      <c r="G715" s="120"/>
      <c r="H715" s="121"/>
      <c r="I715" s="121"/>
      <c r="J715" s="121"/>
      <c r="K715" s="120"/>
      <c r="L715" s="120"/>
      <c r="M715" s="122"/>
      <c r="N715" s="121"/>
      <c r="O715" s="121"/>
      <c r="P715" s="121"/>
      <c r="Q715" s="121"/>
      <c r="R715" s="120"/>
      <c r="S715" s="120"/>
      <c r="T715" s="120"/>
      <c r="U715" s="190"/>
      <c r="V715" s="190"/>
      <c r="W715" s="190"/>
      <c r="X715" s="190"/>
      <c r="Y715" s="190"/>
      <c r="Z715" s="190"/>
      <c r="AA715" s="120"/>
      <c r="AB715" s="120"/>
      <c r="AC715" s="120"/>
    </row>
    <row r="716" spans="1:29" ht="14.25" customHeight="1">
      <c r="A716" s="120"/>
      <c r="B716" s="120"/>
      <c r="C716" s="120"/>
      <c r="D716" s="121"/>
      <c r="E716" s="121"/>
      <c r="F716" s="120"/>
      <c r="G716" s="120"/>
      <c r="H716" s="121"/>
      <c r="I716" s="121"/>
      <c r="J716" s="121"/>
      <c r="K716" s="120"/>
      <c r="L716" s="120"/>
      <c r="M716" s="122"/>
      <c r="N716" s="121"/>
      <c r="O716" s="121"/>
      <c r="P716" s="121"/>
      <c r="Q716" s="121"/>
      <c r="R716" s="120"/>
      <c r="S716" s="120"/>
      <c r="T716" s="120"/>
      <c r="U716" s="190"/>
      <c r="V716" s="190"/>
      <c r="W716" s="190"/>
      <c r="X716" s="190"/>
      <c r="Y716" s="190"/>
      <c r="Z716" s="190"/>
      <c r="AA716" s="120"/>
      <c r="AB716" s="120"/>
      <c r="AC716" s="120"/>
    </row>
    <row r="717" spans="1:29" ht="14.25" customHeight="1">
      <c r="A717" s="120"/>
      <c r="B717" s="120"/>
      <c r="C717" s="120"/>
      <c r="D717" s="121"/>
      <c r="E717" s="121"/>
      <c r="F717" s="120"/>
      <c r="G717" s="120"/>
      <c r="H717" s="121"/>
      <c r="I717" s="121"/>
      <c r="J717" s="121"/>
      <c r="K717" s="120"/>
      <c r="L717" s="120"/>
      <c r="M717" s="122"/>
      <c r="N717" s="121"/>
      <c r="O717" s="121"/>
      <c r="P717" s="121"/>
      <c r="Q717" s="121"/>
      <c r="R717" s="120"/>
      <c r="S717" s="120"/>
      <c r="T717" s="120"/>
      <c r="U717" s="190"/>
      <c r="V717" s="190"/>
      <c r="W717" s="190"/>
      <c r="X717" s="190"/>
      <c r="Y717" s="190"/>
      <c r="Z717" s="190"/>
      <c r="AA717" s="120"/>
      <c r="AB717" s="120"/>
      <c r="AC717" s="120"/>
    </row>
    <row r="718" spans="1:29" ht="14.25" customHeight="1">
      <c r="A718" s="120"/>
      <c r="B718" s="120"/>
      <c r="C718" s="120"/>
      <c r="D718" s="121"/>
      <c r="E718" s="121"/>
      <c r="F718" s="120"/>
      <c r="G718" s="120"/>
      <c r="H718" s="121"/>
      <c r="I718" s="121"/>
      <c r="J718" s="121"/>
      <c r="K718" s="120"/>
      <c r="L718" s="120"/>
      <c r="M718" s="122"/>
      <c r="N718" s="121"/>
      <c r="O718" s="121"/>
      <c r="P718" s="121"/>
      <c r="Q718" s="121"/>
      <c r="R718" s="120"/>
      <c r="S718" s="120"/>
      <c r="T718" s="120"/>
      <c r="U718" s="190"/>
      <c r="V718" s="190"/>
      <c r="W718" s="190"/>
      <c r="X718" s="190"/>
      <c r="Y718" s="190"/>
      <c r="Z718" s="190"/>
      <c r="AA718" s="120"/>
      <c r="AB718" s="120"/>
      <c r="AC718" s="120"/>
    </row>
    <row r="719" spans="1:29" ht="14.25" customHeight="1">
      <c r="A719" s="120"/>
      <c r="B719" s="120"/>
      <c r="C719" s="120"/>
      <c r="D719" s="121"/>
      <c r="E719" s="121"/>
      <c r="F719" s="120"/>
      <c r="G719" s="120"/>
      <c r="H719" s="121"/>
      <c r="I719" s="121"/>
      <c r="J719" s="121"/>
      <c r="K719" s="120"/>
      <c r="L719" s="120"/>
      <c r="M719" s="122"/>
      <c r="N719" s="121"/>
      <c r="O719" s="121"/>
      <c r="P719" s="121"/>
      <c r="Q719" s="121"/>
      <c r="R719" s="120"/>
      <c r="S719" s="120"/>
      <c r="T719" s="120"/>
      <c r="U719" s="190"/>
      <c r="V719" s="190"/>
      <c r="W719" s="190"/>
      <c r="X719" s="190"/>
      <c r="Y719" s="190"/>
      <c r="Z719" s="190"/>
      <c r="AA719" s="120"/>
      <c r="AB719" s="120"/>
      <c r="AC719" s="120"/>
    </row>
    <row r="720" spans="1:29" ht="14.25" customHeight="1">
      <c r="A720" s="120"/>
      <c r="B720" s="120"/>
      <c r="C720" s="120"/>
      <c r="D720" s="121"/>
      <c r="E720" s="121"/>
      <c r="F720" s="120"/>
      <c r="G720" s="120"/>
      <c r="H720" s="121"/>
      <c r="I720" s="121"/>
      <c r="J720" s="121"/>
      <c r="K720" s="120"/>
      <c r="L720" s="120"/>
      <c r="M720" s="122"/>
      <c r="N720" s="121"/>
      <c r="O720" s="121"/>
      <c r="P720" s="121"/>
      <c r="Q720" s="121"/>
      <c r="R720" s="120"/>
      <c r="S720" s="120"/>
      <c r="T720" s="120"/>
      <c r="U720" s="190"/>
      <c r="V720" s="190"/>
      <c r="W720" s="190"/>
      <c r="X720" s="190"/>
      <c r="Y720" s="190"/>
      <c r="Z720" s="190"/>
      <c r="AA720" s="120"/>
      <c r="AB720" s="120"/>
      <c r="AC720" s="120"/>
    </row>
    <row r="721" spans="1:29" ht="14.25" customHeight="1">
      <c r="A721" s="120"/>
      <c r="B721" s="120"/>
      <c r="C721" s="120"/>
      <c r="D721" s="121"/>
      <c r="E721" s="121"/>
      <c r="F721" s="120"/>
      <c r="G721" s="120"/>
      <c r="H721" s="121"/>
      <c r="I721" s="121"/>
      <c r="J721" s="121"/>
      <c r="K721" s="120"/>
      <c r="L721" s="120"/>
      <c r="M721" s="122"/>
      <c r="N721" s="121"/>
      <c r="O721" s="121"/>
      <c r="P721" s="121"/>
      <c r="Q721" s="121"/>
      <c r="R721" s="120"/>
      <c r="S721" s="120"/>
      <c r="T721" s="120"/>
      <c r="U721" s="190"/>
      <c r="V721" s="190"/>
      <c r="W721" s="190"/>
      <c r="X721" s="190"/>
      <c r="Y721" s="190"/>
      <c r="Z721" s="190"/>
      <c r="AA721" s="120"/>
      <c r="AB721" s="120"/>
      <c r="AC721" s="120"/>
    </row>
    <row r="722" spans="1:29" ht="14.25" customHeight="1">
      <c r="A722" s="120"/>
      <c r="B722" s="120"/>
      <c r="C722" s="120"/>
      <c r="D722" s="121"/>
      <c r="E722" s="121"/>
      <c r="F722" s="120"/>
      <c r="G722" s="120"/>
      <c r="H722" s="121"/>
      <c r="I722" s="121"/>
      <c r="J722" s="121"/>
      <c r="K722" s="120"/>
      <c r="L722" s="120"/>
      <c r="M722" s="122"/>
      <c r="N722" s="121"/>
      <c r="O722" s="121"/>
      <c r="P722" s="121"/>
      <c r="Q722" s="121"/>
      <c r="R722" s="120"/>
      <c r="S722" s="120"/>
      <c r="T722" s="120"/>
      <c r="U722" s="190"/>
      <c r="V722" s="190"/>
      <c r="W722" s="190"/>
      <c r="X722" s="190"/>
      <c r="Y722" s="190"/>
      <c r="Z722" s="190"/>
      <c r="AA722" s="120"/>
      <c r="AB722" s="120"/>
      <c r="AC722" s="120"/>
    </row>
    <row r="723" spans="1:29" ht="14.25" customHeight="1">
      <c r="A723" s="120"/>
      <c r="B723" s="120"/>
      <c r="C723" s="120"/>
      <c r="D723" s="121"/>
      <c r="E723" s="121"/>
      <c r="F723" s="120"/>
      <c r="G723" s="120"/>
      <c r="H723" s="121"/>
      <c r="I723" s="121"/>
      <c r="J723" s="121"/>
      <c r="K723" s="120"/>
      <c r="L723" s="120"/>
      <c r="M723" s="122"/>
      <c r="N723" s="121"/>
      <c r="O723" s="121"/>
      <c r="P723" s="121"/>
      <c r="Q723" s="121"/>
      <c r="R723" s="120"/>
      <c r="S723" s="120"/>
      <c r="T723" s="120"/>
      <c r="U723" s="190"/>
      <c r="V723" s="190"/>
      <c r="W723" s="190"/>
      <c r="X723" s="190"/>
      <c r="Y723" s="190"/>
      <c r="Z723" s="190"/>
      <c r="AA723" s="120"/>
      <c r="AB723" s="120"/>
      <c r="AC723" s="120"/>
    </row>
    <row r="724" spans="1:29" ht="14.25" customHeight="1">
      <c r="A724" s="120"/>
      <c r="B724" s="120"/>
      <c r="C724" s="120"/>
      <c r="D724" s="121"/>
      <c r="E724" s="121"/>
      <c r="F724" s="120"/>
      <c r="G724" s="120"/>
      <c r="H724" s="121"/>
      <c r="I724" s="121"/>
      <c r="J724" s="121"/>
      <c r="K724" s="120"/>
      <c r="L724" s="120"/>
      <c r="M724" s="122"/>
      <c r="N724" s="121"/>
      <c r="O724" s="121"/>
      <c r="P724" s="121"/>
      <c r="Q724" s="121"/>
      <c r="R724" s="120"/>
      <c r="S724" s="120"/>
      <c r="T724" s="120"/>
      <c r="U724" s="190"/>
      <c r="V724" s="190"/>
      <c r="W724" s="190"/>
      <c r="X724" s="190"/>
      <c r="Y724" s="190"/>
      <c r="Z724" s="190"/>
      <c r="AA724" s="120"/>
      <c r="AB724" s="120"/>
      <c r="AC724" s="120"/>
    </row>
    <row r="725" spans="1:29" ht="14.25" customHeight="1">
      <c r="A725" s="120"/>
      <c r="B725" s="120"/>
      <c r="C725" s="120"/>
      <c r="D725" s="121"/>
      <c r="E725" s="121"/>
      <c r="F725" s="120"/>
      <c r="G725" s="120"/>
      <c r="H725" s="121"/>
      <c r="I725" s="121"/>
      <c r="J725" s="121"/>
      <c r="K725" s="120"/>
      <c r="L725" s="120"/>
      <c r="M725" s="122"/>
      <c r="N725" s="121"/>
      <c r="O725" s="121"/>
      <c r="P725" s="121"/>
      <c r="Q725" s="121"/>
      <c r="R725" s="120"/>
      <c r="S725" s="120"/>
      <c r="T725" s="120"/>
      <c r="U725" s="190"/>
      <c r="V725" s="190"/>
      <c r="W725" s="190"/>
      <c r="X725" s="190"/>
      <c r="Y725" s="190"/>
      <c r="Z725" s="190"/>
      <c r="AA725" s="120"/>
      <c r="AB725" s="120"/>
      <c r="AC725" s="120"/>
    </row>
    <row r="726" spans="1:29" ht="14.25" customHeight="1">
      <c r="A726" s="120"/>
      <c r="B726" s="120"/>
      <c r="C726" s="120"/>
      <c r="D726" s="121"/>
      <c r="E726" s="121"/>
      <c r="F726" s="120"/>
      <c r="G726" s="120"/>
      <c r="H726" s="121"/>
      <c r="I726" s="121"/>
      <c r="J726" s="121"/>
      <c r="K726" s="120"/>
      <c r="L726" s="120"/>
      <c r="M726" s="122"/>
      <c r="N726" s="121"/>
      <c r="O726" s="121"/>
      <c r="P726" s="121"/>
      <c r="Q726" s="121"/>
      <c r="R726" s="120"/>
      <c r="S726" s="120"/>
      <c r="T726" s="120"/>
      <c r="U726" s="190"/>
      <c r="V726" s="190"/>
      <c r="W726" s="190"/>
      <c r="X726" s="190"/>
      <c r="Y726" s="190"/>
      <c r="Z726" s="190"/>
      <c r="AA726" s="120"/>
      <c r="AB726" s="120"/>
      <c r="AC726" s="120"/>
    </row>
    <row r="727" spans="1:29" ht="14.25" customHeight="1">
      <c r="A727" s="120"/>
      <c r="B727" s="120"/>
      <c r="C727" s="120"/>
      <c r="D727" s="121"/>
      <c r="E727" s="121"/>
      <c r="F727" s="120"/>
      <c r="G727" s="120"/>
      <c r="H727" s="121"/>
      <c r="I727" s="121"/>
      <c r="J727" s="121"/>
      <c r="K727" s="120"/>
      <c r="L727" s="120"/>
      <c r="M727" s="122"/>
      <c r="N727" s="121"/>
      <c r="O727" s="121"/>
      <c r="P727" s="121"/>
      <c r="Q727" s="121"/>
      <c r="R727" s="120"/>
      <c r="S727" s="120"/>
      <c r="T727" s="120"/>
      <c r="U727" s="190"/>
      <c r="V727" s="190"/>
      <c r="W727" s="190"/>
      <c r="X727" s="190"/>
      <c r="Y727" s="190"/>
      <c r="Z727" s="190"/>
      <c r="AA727" s="120"/>
      <c r="AB727" s="120"/>
      <c r="AC727" s="120"/>
    </row>
    <row r="728" spans="1:29" ht="14.25" customHeight="1">
      <c r="A728" s="120"/>
      <c r="B728" s="120"/>
      <c r="C728" s="120"/>
      <c r="D728" s="121"/>
      <c r="E728" s="121"/>
      <c r="F728" s="120"/>
      <c r="G728" s="120"/>
      <c r="H728" s="121"/>
      <c r="I728" s="121"/>
      <c r="J728" s="121"/>
      <c r="K728" s="120"/>
      <c r="L728" s="120"/>
      <c r="M728" s="122"/>
      <c r="N728" s="121"/>
      <c r="O728" s="121"/>
      <c r="P728" s="121"/>
      <c r="Q728" s="121"/>
      <c r="R728" s="120"/>
      <c r="S728" s="120"/>
      <c r="T728" s="120"/>
      <c r="U728" s="190"/>
      <c r="V728" s="190"/>
      <c r="W728" s="190"/>
      <c r="X728" s="190"/>
      <c r="Y728" s="190"/>
      <c r="Z728" s="190"/>
      <c r="AA728" s="120"/>
      <c r="AB728" s="120"/>
      <c r="AC728" s="120"/>
    </row>
    <row r="729" spans="1:29" ht="14.25" customHeight="1">
      <c r="A729" s="120"/>
      <c r="B729" s="120"/>
      <c r="C729" s="120"/>
      <c r="D729" s="121"/>
      <c r="E729" s="121"/>
      <c r="F729" s="120"/>
      <c r="G729" s="120"/>
      <c r="H729" s="121"/>
      <c r="I729" s="121"/>
      <c r="J729" s="121"/>
      <c r="K729" s="120"/>
      <c r="L729" s="120"/>
      <c r="M729" s="122"/>
      <c r="N729" s="121"/>
      <c r="O729" s="121"/>
      <c r="P729" s="121"/>
      <c r="Q729" s="121"/>
      <c r="R729" s="120"/>
      <c r="S729" s="120"/>
      <c r="T729" s="120"/>
      <c r="U729" s="190"/>
      <c r="V729" s="190"/>
      <c r="W729" s="190"/>
      <c r="X729" s="190"/>
      <c r="Y729" s="190"/>
      <c r="Z729" s="190"/>
      <c r="AA729" s="120"/>
      <c r="AB729" s="120"/>
      <c r="AC729" s="120"/>
    </row>
    <row r="730" spans="1:29" ht="14.25" customHeight="1">
      <c r="A730" s="120"/>
      <c r="B730" s="120"/>
      <c r="C730" s="120"/>
      <c r="D730" s="121"/>
      <c r="E730" s="121"/>
      <c r="F730" s="120"/>
      <c r="G730" s="120"/>
      <c r="H730" s="121"/>
      <c r="I730" s="121"/>
      <c r="J730" s="121"/>
      <c r="K730" s="120"/>
      <c r="L730" s="120"/>
      <c r="M730" s="122"/>
      <c r="N730" s="121"/>
      <c r="O730" s="121"/>
      <c r="P730" s="121"/>
      <c r="Q730" s="121"/>
      <c r="R730" s="120"/>
      <c r="S730" s="120"/>
      <c r="T730" s="120"/>
      <c r="U730" s="190"/>
      <c r="V730" s="190"/>
      <c r="W730" s="190"/>
      <c r="X730" s="190"/>
      <c r="Y730" s="190"/>
      <c r="Z730" s="190"/>
      <c r="AA730" s="120"/>
      <c r="AB730" s="120"/>
      <c r="AC730" s="120"/>
    </row>
    <row r="731" spans="1:29" ht="14.25" customHeight="1">
      <c r="A731" s="120"/>
      <c r="B731" s="120"/>
      <c r="C731" s="120"/>
      <c r="D731" s="121"/>
      <c r="E731" s="121"/>
      <c r="F731" s="120"/>
      <c r="G731" s="120"/>
      <c r="H731" s="121"/>
      <c r="I731" s="121"/>
      <c r="J731" s="121"/>
      <c r="K731" s="120"/>
      <c r="L731" s="120"/>
      <c r="M731" s="122"/>
      <c r="N731" s="121"/>
      <c r="O731" s="121"/>
      <c r="P731" s="121"/>
      <c r="Q731" s="121"/>
      <c r="R731" s="120"/>
      <c r="S731" s="120"/>
      <c r="T731" s="120"/>
      <c r="U731" s="190"/>
      <c r="V731" s="190"/>
      <c r="W731" s="190"/>
      <c r="X731" s="190"/>
      <c r="Y731" s="190"/>
      <c r="Z731" s="190"/>
      <c r="AA731" s="120"/>
      <c r="AB731" s="120"/>
      <c r="AC731" s="120"/>
    </row>
    <row r="732" spans="1:29" ht="14.25" customHeight="1">
      <c r="A732" s="120"/>
      <c r="B732" s="120"/>
      <c r="C732" s="120"/>
      <c r="D732" s="121"/>
      <c r="E732" s="121"/>
      <c r="F732" s="120"/>
      <c r="G732" s="120"/>
      <c r="H732" s="121"/>
      <c r="I732" s="121"/>
      <c r="J732" s="121"/>
      <c r="K732" s="120"/>
      <c r="L732" s="120"/>
      <c r="M732" s="122"/>
      <c r="N732" s="121"/>
      <c r="O732" s="121"/>
      <c r="P732" s="121"/>
      <c r="Q732" s="121"/>
      <c r="R732" s="120"/>
      <c r="S732" s="120"/>
      <c r="T732" s="120"/>
      <c r="U732" s="190"/>
      <c r="V732" s="190"/>
      <c r="W732" s="190"/>
      <c r="X732" s="190"/>
      <c r="Y732" s="190"/>
      <c r="Z732" s="190"/>
      <c r="AA732" s="120"/>
      <c r="AB732" s="120"/>
      <c r="AC732" s="120"/>
    </row>
    <row r="733" spans="1:29" ht="14.25" customHeight="1">
      <c r="A733" s="120"/>
      <c r="B733" s="120"/>
      <c r="C733" s="120"/>
      <c r="D733" s="121"/>
      <c r="E733" s="121"/>
      <c r="F733" s="120"/>
      <c r="G733" s="120"/>
      <c r="H733" s="121"/>
      <c r="I733" s="121"/>
      <c r="J733" s="121"/>
      <c r="K733" s="120"/>
      <c r="L733" s="120"/>
      <c r="M733" s="122"/>
      <c r="N733" s="121"/>
      <c r="O733" s="121"/>
      <c r="P733" s="121"/>
      <c r="Q733" s="121"/>
      <c r="R733" s="120"/>
      <c r="S733" s="120"/>
      <c r="T733" s="120"/>
      <c r="U733" s="190"/>
      <c r="V733" s="190"/>
      <c r="W733" s="190"/>
      <c r="X733" s="190"/>
      <c r="Y733" s="190"/>
      <c r="Z733" s="190"/>
      <c r="AA733" s="120"/>
      <c r="AB733" s="120"/>
      <c r="AC733" s="120"/>
    </row>
    <row r="734" spans="1:29" ht="14.25" customHeight="1">
      <c r="A734" s="120"/>
      <c r="B734" s="120"/>
      <c r="C734" s="120"/>
      <c r="D734" s="121"/>
      <c r="E734" s="121"/>
      <c r="F734" s="120"/>
      <c r="G734" s="120"/>
      <c r="H734" s="121"/>
      <c r="I734" s="121"/>
      <c r="J734" s="121"/>
      <c r="K734" s="120"/>
      <c r="L734" s="120"/>
      <c r="M734" s="122"/>
      <c r="N734" s="121"/>
      <c r="O734" s="121"/>
      <c r="P734" s="121"/>
      <c r="Q734" s="121"/>
      <c r="R734" s="120"/>
      <c r="S734" s="120"/>
      <c r="T734" s="120"/>
      <c r="U734" s="190"/>
      <c r="V734" s="190"/>
      <c r="W734" s="190"/>
      <c r="X734" s="190"/>
      <c r="Y734" s="190"/>
      <c r="Z734" s="190"/>
      <c r="AA734" s="120"/>
      <c r="AB734" s="120"/>
      <c r="AC734" s="120"/>
    </row>
    <row r="735" spans="1:29" ht="14.25" customHeight="1">
      <c r="A735" s="120"/>
      <c r="B735" s="120"/>
      <c r="C735" s="120"/>
      <c r="D735" s="121"/>
      <c r="E735" s="121"/>
      <c r="F735" s="120"/>
      <c r="G735" s="120"/>
      <c r="H735" s="121"/>
      <c r="I735" s="121"/>
      <c r="J735" s="121"/>
      <c r="K735" s="120"/>
      <c r="L735" s="120"/>
      <c r="M735" s="122"/>
      <c r="N735" s="121"/>
      <c r="O735" s="121"/>
      <c r="P735" s="121"/>
      <c r="Q735" s="121"/>
      <c r="R735" s="120"/>
      <c r="S735" s="120"/>
      <c r="T735" s="120"/>
      <c r="U735" s="190"/>
      <c r="V735" s="190"/>
      <c r="W735" s="190"/>
      <c r="X735" s="190"/>
      <c r="Y735" s="190"/>
      <c r="Z735" s="190"/>
      <c r="AA735" s="120"/>
      <c r="AB735" s="120"/>
      <c r="AC735" s="120"/>
    </row>
    <row r="736" spans="1:29" ht="14.25" customHeight="1">
      <c r="A736" s="120"/>
      <c r="B736" s="120"/>
      <c r="C736" s="120"/>
      <c r="D736" s="121"/>
      <c r="E736" s="121"/>
      <c r="F736" s="120"/>
      <c r="G736" s="120"/>
      <c r="H736" s="121"/>
      <c r="I736" s="121"/>
      <c r="J736" s="121"/>
      <c r="K736" s="120"/>
      <c r="L736" s="120"/>
      <c r="M736" s="122"/>
      <c r="N736" s="121"/>
      <c r="O736" s="121"/>
      <c r="P736" s="121"/>
      <c r="Q736" s="121"/>
      <c r="R736" s="120"/>
      <c r="S736" s="120"/>
      <c r="T736" s="120"/>
      <c r="U736" s="190"/>
      <c r="V736" s="190"/>
      <c r="W736" s="190"/>
      <c r="X736" s="190"/>
      <c r="Y736" s="190"/>
      <c r="Z736" s="190"/>
      <c r="AA736" s="120"/>
      <c r="AB736" s="120"/>
      <c r="AC736" s="120"/>
    </row>
    <row r="737" spans="1:29" ht="14.25" customHeight="1">
      <c r="A737" s="120"/>
      <c r="B737" s="120"/>
      <c r="C737" s="120"/>
      <c r="D737" s="121"/>
      <c r="E737" s="121"/>
      <c r="F737" s="120"/>
      <c r="G737" s="120"/>
      <c r="H737" s="121"/>
      <c r="I737" s="121"/>
      <c r="J737" s="121"/>
      <c r="K737" s="120"/>
      <c r="L737" s="120"/>
      <c r="M737" s="122"/>
      <c r="N737" s="121"/>
      <c r="O737" s="121"/>
      <c r="P737" s="121"/>
      <c r="Q737" s="121"/>
      <c r="R737" s="120"/>
      <c r="S737" s="120"/>
      <c r="T737" s="120"/>
      <c r="U737" s="190"/>
      <c r="V737" s="190"/>
      <c r="W737" s="190"/>
      <c r="X737" s="190"/>
      <c r="Y737" s="190"/>
      <c r="Z737" s="190"/>
      <c r="AA737" s="120"/>
      <c r="AB737" s="120"/>
      <c r="AC737" s="120"/>
    </row>
    <row r="738" spans="1:29" ht="14.25" customHeight="1">
      <c r="A738" s="120"/>
      <c r="B738" s="120"/>
      <c r="C738" s="120"/>
      <c r="D738" s="121"/>
      <c r="E738" s="121"/>
      <c r="F738" s="120"/>
      <c r="G738" s="120"/>
      <c r="H738" s="121"/>
      <c r="I738" s="121"/>
      <c r="J738" s="121"/>
      <c r="K738" s="120"/>
      <c r="L738" s="120"/>
      <c r="M738" s="122"/>
      <c r="N738" s="121"/>
      <c r="O738" s="121"/>
      <c r="P738" s="121"/>
      <c r="Q738" s="121"/>
      <c r="R738" s="120"/>
      <c r="S738" s="120"/>
      <c r="T738" s="120"/>
      <c r="U738" s="190"/>
      <c r="V738" s="190"/>
      <c r="W738" s="190"/>
      <c r="X738" s="190"/>
      <c r="Y738" s="190"/>
      <c r="Z738" s="190"/>
      <c r="AA738" s="120"/>
      <c r="AB738" s="120"/>
      <c r="AC738" s="120"/>
    </row>
    <row r="739" spans="1:29" ht="14.25" customHeight="1">
      <c r="A739" s="120"/>
      <c r="B739" s="120"/>
      <c r="C739" s="120"/>
      <c r="D739" s="121"/>
      <c r="E739" s="121"/>
      <c r="F739" s="120"/>
      <c r="G739" s="120"/>
      <c r="H739" s="121"/>
      <c r="I739" s="121"/>
      <c r="J739" s="121"/>
      <c r="K739" s="120"/>
      <c r="L739" s="120"/>
      <c r="M739" s="122"/>
      <c r="N739" s="121"/>
      <c r="O739" s="121"/>
      <c r="P739" s="121"/>
      <c r="Q739" s="121"/>
      <c r="R739" s="120"/>
      <c r="S739" s="120"/>
      <c r="T739" s="120"/>
      <c r="U739" s="190"/>
      <c r="V739" s="190"/>
      <c r="W739" s="190"/>
      <c r="X739" s="190"/>
      <c r="Y739" s="190"/>
      <c r="Z739" s="190"/>
      <c r="AA739" s="120"/>
      <c r="AB739" s="120"/>
      <c r="AC739" s="120"/>
    </row>
    <row r="740" spans="1:29" ht="14.25" customHeight="1">
      <c r="A740" s="120"/>
      <c r="B740" s="120"/>
      <c r="C740" s="120"/>
      <c r="D740" s="121"/>
      <c r="E740" s="121"/>
      <c r="F740" s="120"/>
      <c r="G740" s="120"/>
      <c r="H740" s="121"/>
      <c r="I740" s="121"/>
      <c r="J740" s="121"/>
      <c r="K740" s="120"/>
      <c r="L740" s="120"/>
      <c r="M740" s="122"/>
      <c r="N740" s="121"/>
      <c r="O740" s="121"/>
      <c r="P740" s="121"/>
      <c r="Q740" s="121"/>
      <c r="R740" s="120"/>
      <c r="S740" s="120"/>
      <c r="T740" s="120"/>
      <c r="U740" s="190"/>
      <c r="V740" s="190"/>
      <c r="W740" s="190"/>
      <c r="X740" s="190"/>
      <c r="Y740" s="190"/>
      <c r="Z740" s="190"/>
      <c r="AA740" s="120"/>
      <c r="AB740" s="120"/>
      <c r="AC740" s="120"/>
    </row>
    <row r="741" spans="1:29" ht="14.25" customHeight="1">
      <c r="A741" s="120"/>
      <c r="B741" s="120"/>
      <c r="C741" s="120"/>
      <c r="D741" s="121"/>
      <c r="E741" s="121"/>
      <c r="F741" s="120"/>
      <c r="G741" s="120"/>
      <c r="H741" s="121"/>
      <c r="I741" s="121"/>
      <c r="J741" s="121"/>
      <c r="K741" s="120"/>
      <c r="L741" s="120"/>
      <c r="M741" s="122"/>
      <c r="N741" s="121"/>
      <c r="O741" s="121"/>
      <c r="P741" s="121"/>
      <c r="Q741" s="121"/>
      <c r="R741" s="120"/>
      <c r="S741" s="120"/>
      <c r="T741" s="120"/>
      <c r="U741" s="190"/>
      <c r="V741" s="190"/>
      <c r="W741" s="190"/>
      <c r="X741" s="190"/>
      <c r="Y741" s="190"/>
      <c r="Z741" s="190"/>
      <c r="AA741" s="120"/>
      <c r="AB741" s="120"/>
      <c r="AC741" s="120"/>
    </row>
    <row r="742" spans="1:29" ht="14.25" customHeight="1">
      <c r="A742" s="120"/>
      <c r="B742" s="120"/>
      <c r="C742" s="120"/>
      <c r="D742" s="121"/>
      <c r="E742" s="121"/>
      <c r="F742" s="120"/>
      <c r="G742" s="120"/>
      <c r="H742" s="121"/>
      <c r="I742" s="121"/>
      <c r="J742" s="121"/>
      <c r="K742" s="120"/>
      <c r="L742" s="120"/>
      <c r="M742" s="122"/>
      <c r="N742" s="121"/>
      <c r="O742" s="121"/>
      <c r="P742" s="121"/>
      <c r="Q742" s="121"/>
      <c r="R742" s="120"/>
      <c r="S742" s="120"/>
      <c r="T742" s="120"/>
      <c r="U742" s="190"/>
      <c r="V742" s="190"/>
      <c r="W742" s="190"/>
      <c r="X742" s="190"/>
      <c r="Y742" s="190"/>
      <c r="Z742" s="190"/>
      <c r="AA742" s="120"/>
      <c r="AB742" s="120"/>
      <c r="AC742" s="120"/>
    </row>
    <row r="743" spans="1:29" ht="14.25" customHeight="1">
      <c r="A743" s="120"/>
      <c r="B743" s="120"/>
      <c r="C743" s="120"/>
      <c r="D743" s="121"/>
      <c r="E743" s="121"/>
      <c r="F743" s="120"/>
      <c r="G743" s="120"/>
      <c r="H743" s="121"/>
      <c r="I743" s="121"/>
      <c r="J743" s="121"/>
      <c r="K743" s="120"/>
      <c r="L743" s="120"/>
      <c r="M743" s="122"/>
      <c r="N743" s="121"/>
      <c r="O743" s="121"/>
      <c r="P743" s="121"/>
      <c r="Q743" s="121"/>
      <c r="R743" s="120"/>
      <c r="S743" s="120"/>
      <c r="T743" s="120"/>
      <c r="U743" s="190"/>
      <c r="V743" s="190"/>
      <c r="W743" s="190"/>
      <c r="X743" s="190"/>
      <c r="Y743" s="190"/>
      <c r="Z743" s="190"/>
      <c r="AA743" s="120"/>
      <c r="AB743" s="120"/>
      <c r="AC743" s="120"/>
    </row>
    <row r="744" spans="1:29" ht="14.25" customHeight="1">
      <c r="A744" s="120"/>
      <c r="B744" s="120"/>
      <c r="C744" s="120"/>
      <c r="D744" s="121"/>
      <c r="E744" s="121"/>
      <c r="F744" s="120"/>
      <c r="G744" s="120"/>
      <c r="H744" s="121"/>
      <c r="I744" s="121"/>
      <c r="J744" s="121"/>
      <c r="K744" s="120"/>
      <c r="L744" s="120"/>
      <c r="M744" s="122"/>
      <c r="N744" s="121"/>
      <c r="O744" s="121"/>
      <c r="P744" s="121"/>
      <c r="Q744" s="121"/>
      <c r="R744" s="120"/>
      <c r="S744" s="120"/>
      <c r="T744" s="120"/>
      <c r="U744" s="190"/>
      <c r="V744" s="190"/>
      <c r="W744" s="190"/>
      <c r="X744" s="190"/>
      <c r="Y744" s="190"/>
      <c r="Z744" s="190"/>
      <c r="AA744" s="120"/>
      <c r="AB744" s="120"/>
      <c r="AC744" s="120"/>
    </row>
    <row r="745" spans="1:29" ht="14.25" customHeight="1">
      <c r="A745" s="120"/>
      <c r="B745" s="120"/>
      <c r="C745" s="120"/>
      <c r="D745" s="121"/>
      <c r="E745" s="121"/>
      <c r="F745" s="120"/>
      <c r="G745" s="120"/>
      <c r="H745" s="121"/>
      <c r="I745" s="121"/>
      <c r="J745" s="121"/>
      <c r="K745" s="120"/>
      <c r="L745" s="120"/>
      <c r="M745" s="122"/>
      <c r="N745" s="121"/>
      <c r="O745" s="121"/>
      <c r="P745" s="121"/>
      <c r="Q745" s="121"/>
      <c r="R745" s="120"/>
      <c r="S745" s="120"/>
      <c r="T745" s="120"/>
      <c r="U745" s="190"/>
      <c r="V745" s="190"/>
      <c r="W745" s="190"/>
      <c r="X745" s="190"/>
      <c r="Y745" s="190"/>
      <c r="Z745" s="190"/>
      <c r="AA745" s="120"/>
      <c r="AB745" s="120"/>
      <c r="AC745" s="120"/>
    </row>
    <row r="746" spans="1:29" ht="14.25" customHeight="1">
      <c r="A746" s="120"/>
      <c r="B746" s="120"/>
      <c r="C746" s="120"/>
      <c r="D746" s="121"/>
      <c r="E746" s="121"/>
      <c r="F746" s="120"/>
      <c r="G746" s="120"/>
      <c r="H746" s="121"/>
      <c r="I746" s="121"/>
      <c r="J746" s="121"/>
      <c r="K746" s="120"/>
      <c r="L746" s="120"/>
      <c r="M746" s="122"/>
      <c r="N746" s="121"/>
      <c r="O746" s="121"/>
      <c r="P746" s="121"/>
      <c r="Q746" s="121"/>
      <c r="R746" s="120"/>
      <c r="S746" s="120"/>
      <c r="T746" s="120"/>
      <c r="U746" s="190"/>
      <c r="V746" s="190"/>
      <c r="W746" s="190"/>
      <c r="X746" s="190"/>
      <c r="Y746" s="190"/>
      <c r="Z746" s="190"/>
      <c r="AA746" s="120"/>
      <c r="AB746" s="120"/>
      <c r="AC746" s="120"/>
    </row>
    <row r="747" spans="1:29" ht="14.25" customHeight="1">
      <c r="A747" s="120"/>
      <c r="B747" s="120"/>
      <c r="C747" s="120"/>
      <c r="D747" s="121"/>
      <c r="E747" s="121"/>
      <c r="F747" s="120"/>
      <c r="G747" s="120"/>
      <c r="H747" s="121"/>
      <c r="I747" s="121"/>
      <c r="J747" s="121"/>
      <c r="K747" s="120"/>
      <c r="L747" s="120"/>
      <c r="M747" s="122"/>
      <c r="N747" s="121"/>
      <c r="O747" s="121"/>
      <c r="P747" s="121"/>
      <c r="Q747" s="121"/>
      <c r="R747" s="120"/>
      <c r="S747" s="120"/>
      <c r="T747" s="120"/>
      <c r="U747" s="190"/>
      <c r="V747" s="190"/>
      <c r="W747" s="190"/>
      <c r="X747" s="190"/>
      <c r="Y747" s="190"/>
      <c r="Z747" s="190"/>
      <c r="AA747" s="120"/>
      <c r="AB747" s="120"/>
      <c r="AC747" s="120"/>
    </row>
    <row r="748" spans="1:29" ht="14.25" customHeight="1">
      <c r="A748" s="120"/>
      <c r="B748" s="120"/>
      <c r="C748" s="120"/>
      <c r="D748" s="121"/>
      <c r="E748" s="121"/>
      <c r="F748" s="120"/>
      <c r="G748" s="120"/>
      <c r="H748" s="121"/>
      <c r="I748" s="121"/>
      <c r="J748" s="121"/>
      <c r="K748" s="120"/>
      <c r="L748" s="120"/>
      <c r="M748" s="122"/>
      <c r="N748" s="121"/>
      <c r="O748" s="121"/>
      <c r="P748" s="121"/>
      <c r="Q748" s="121"/>
      <c r="R748" s="120"/>
      <c r="S748" s="120"/>
      <c r="T748" s="120"/>
      <c r="U748" s="190"/>
      <c r="V748" s="190"/>
      <c r="W748" s="190"/>
      <c r="X748" s="190"/>
      <c r="Y748" s="190"/>
      <c r="Z748" s="190"/>
      <c r="AA748" s="120"/>
      <c r="AB748" s="120"/>
      <c r="AC748" s="120"/>
    </row>
    <row r="749" spans="1:29" ht="14.25" customHeight="1">
      <c r="A749" s="120"/>
      <c r="B749" s="120"/>
      <c r="C749" s="120"/>
      <c r="D749" s="121"/>
      <c r="E749" s="121"/>
      <c r="F749" s="120"/>
      <c r="G749" s="120"/>
      <c r="H749" s="121"/>
      <c r="I749" s="121"/>
      <c r="J749" s="121"/>
      <c r="K749" s="120"/>
      <c r="L749" s="120"/>
      <c r="M749" s="122"/>
      <c r="N749" s="121"/>
      <c r="O749" s="121"/>
      <c r="P749" s="121"/>
      <c r="Q749" s="121"/>
      <c r="R749" s="120"/>
      <c r="S749" s="120"/>
      <c r="T749" s="120"/>
      <c r="U749" s="190"/>
      <c r="V749" s="190"/>
      <c r="W749" s="190"/>
      <c r="X749" s="190"/>
      <c r="Y749" s="190"/>
      <c r="Z749" s="190"/>
      <c r="AA749" s="120"/>
      <c r="AB749" s="120"/>
      <c r="AC749" s="120"/>
    </row>
    <row r="750" spans="1:29" ht="14.25" customHeight="1">
      <c r="A750" s="120"/>
      <c r="B750" s="120"/>
      <c r="C750" s="120"/>
      <c r="D750" s="121"/>
      <c r="E750" s="121"/>
      <c r="F750" s="120"/>
      <c r="G750" s="120"/>
      <c r="H750" s="121"/>
      <c r="I750" s="121"/>
      <c r="J750" s="121"/>
      <c r="K750" s="120"/>
      <c r="L750" s="120"/>
      <c r="M750" s="122"/>
      <c r="N750" s="121"/>
      <c r="O750" s="121"/>
      <c r="P750" s="121"/>
      <c r="Q750" s="121"/>
      <c r="R750" s="120"/>
      <c r="S750" s="120"/>
      <c r="T750" s="120"/>
      <c r="U750" s="190"/>
      <c r="V750" s="190"/>
      <c r="W750" s="190"/>
      <c r="X750" s="190"/>
      <c r="Y750" s="190"/>
      <c r="Z750" s="190"/>
      <c r="AA750" s="120"/>
      <c r="AB750" s="120"/>
      <c r="AC750" s="120"/>
    </row>
    <row r="751" spans="1:29" ht="14.25" customHeight="1">
      <c r="A751" s="120"/>
      <c r="B751" s="120"/>
      <c r="C751" s="120"/>
      <c r="D751" s="121"/>
      <c r="E751" s="121"/>
      <c r="F751" s="120"/>
      <c r="G751" s="120"/>
      <c r="H751" s="121"/>
      <c r="I751" s="121"/>
      <c r="J751" s="121"/>
      <c r="K751" s="120"/>
      <c r="L751" s="120"/>
      <c r="M751" s="122"/>
      <c r="N751" s="121"/>
      <c r="O751" s="121"/>
      <c r="P751" s="121"/>
      <c r="Q751" s="121"/>
      <c r="R751" s="120"/>
      <c r="S751" s="120"/>
      <c r="T751" s="120"/>
      <c r="U751" s="190"/>
      <c r="V751" s="190"/>
      <c r="W751" s="190"/>
      <c r="X751" s="190"/>
      <c r="Y751" s="190"/>
      <c r="Z751" s="190"/>
      <c r="AA751" s="120"/>
      <c r="AB751" s="120"/>
      <c r="AC751" s="120"/>
    </row>
    <row r="752" spans="1:29" ht="14.25" customHeight="1">
      <c r="A752" s="120"/>
      <c r="B752" s="120"/>
      <c r="C752" s="120"/>
      <c r="D752" s="121"/>
      <c r="E752" s="121"/>
      <c r="F752" s="120"/>
      <c r="G752" s="120"/>
      <c r="H752" s="121"/>
      <c r="I752" s="121"/>
      <c r="J752" s="121"/>
      <c r="K752" s="120"/>
      <c r="L752" s="120"/>
      <c r="M752" s="122"/>
      <c r="N752" s="121"/>
      <c r="O752" s="121"/>
      <c r="P752" s="121"/>
      <c r="Q752" s="121"/>
      <c r="R752" s="120"/>
      <c r="S752" s="120"/>
      <c r="T752" s="120"/>
      <c r="U752" s="190"/>
      <c r="V752" s="190"/>
      <c r="W752" s="190"/>
      <c r="X752" s="190"/>
      <c r="Y752" s="190"/>
      <c r="Z752" s="190"/>
      <c r="AA752" s="120"/>
      <c r="AB752" s="120"/>
      <c r="AC752" s="120"/>
    </row>
    <row r="753" spans="1:29" ht="14.25" customHeight="1">
      <c r="A753" s="120"/>
      <c r="B753" s="120"/>
      <c r="C753" s="120"/>
      <c r="D753" s="121"/>
      <c r="E753" s="121"/>
      <c r="F753" s="120"/>
      <c r="G753" s="120"/>
      <c r="H753" s="121"/>
      <c r="I753" s="121"/>
      <c r="J753" s="121"/>
      <c r="K753" s="120"/>
      <c r="L753" s="120"/>
      <c r="M753" s="122"/>
      <c r="N753" s="121"/>
      <c r="O753" s="121"/>
      <c r="P753" s="121"/>
      <c r="Q753" s="121"/>
      <c r="R753" s="120"/>
      <c r="S753" s="120"/>
      <c r="T753" s="120"/>
      <c r="U753" s="190"/>
      <c r="V753" s="190"/>
      <c r="W753" s="190"/>
      <c r="X753" s="190"/>
      <c r="Y753" s="190"/>
      <c r="Z753" s="190"/>
      <c r="AA753" s="120"/>
      <c r="AB753" s="120"/>
      <c r="AC753" s="120"/>
    </row>
    <row r="754" spans="1:29" ht="14.25" customHeight="1">
      <c r="A754" s="120"/>
      <c r="B754" s="120"/>
      <c r="C754" s="120"/>
      <c r="D754" s="121"/>
      <c r="E754" s="121"/>
      <c r="F754" s="120"/>
      <c r="G754" s="120"/>
      <c r="H754" s="121"/>
      <c r="I754" s="121"/>
      <c r="J754" s="121"/>
      <c r="K754" s="120"/>
      <c r="L754" s="120"/>
      <c r="M754" s="122"/>
      <c r="N754" s="121"/>
      <c r="O754" s="121"/>
      <c r="P754" s="121"/>
      <c r="Q754" s="121"/>
      <c r="R754" s="120"/>
      <c r="S754" s="120"/>
      <c r="T754" s="120"/>
      <c r="U754" s="190"/>
      <c r="V754" s="190"/>
      <c r="W754" s="190"/>
      <c r="X754" s="190"/>
      <c r="Y754" s="190"/>
      <c r="Z754" s="190"/>
      <c r="AA754" s="120"/>
      <c r="AB754" s="120"/>
      <c r="AC754" s="120"/>
    </row>
    <row r="755" spans="1:29" ht="14.25" customHeight="1">
      <c r="A755" s="120"/>
      <c r="B755" s="120"/>
      <c r="C755" s="120"/>
      <c r="D755" s="121"/>
      <c r="E755" s="121"/>
      <c r="F755" s="120"/>
      <c r="G755" s="120"/>
      <c r="H755" s="121"/>
      <c r="I755" s="121"/>
      <c r="J755" s="121"/>
      <c r="K755" s="120"/>
      <c r="L755" s="120"/>
      <c r="M755" s="122"/>
      <c r="N755" s="121"/>
      <c r="O755" s="121"/>
      <c r="P755" s="121"/>
      <c r="Q755" s="121"/>
      <c r="R755" s="120"/>
      <c r="S755" s="120"/>
      <c r="T755" s="120"/>
      <c r="U755" s="190"/>
      <c r="V755" s="190"/>
      <c r="W755" s="190"/>
      <c r="X755" s="190"/>
      <c r="Y755" s="190"/>
      <c r="Z755" s="190"/>
      <c r="AA755" s="120"/>
      <c r="AB755" s="120"/>
      <c r="AC755" s="120"/>
    </row>
    <row r="756" spans="1:29" ht="14.25" customHeight="1">
      <c r="A756" s="120"/>
      <c r="B756" s="120"/>
      <c r="C756" s="120"/>
      <c r="D756" s="121"/>
      <c r="E756" s="121"/>
      <c r="F756" s="120"/>
      <c r="G756" s="120"/>
      <c r="H756" s="121"/>
      <c r="I756" s="121"/>
      <c r="J756" s="121"/>
      <c r="K756" s="120"/>
      <c r="L756" s="120"/>
      <c r="M756" s="122"/>
      <c r="N756" s="121"/>
      <c r="O756" s="121"/>
      <c r="P756" s="121"/>
      <c r="Q756" s="121"/>
      <c r="R756" s="120"/>
      <c r="S756" s="120"/>
      <c r="T756" s="120"/>
      <c r="U756" s="190"/>
      <c r="V756" s="190"/>
      <c r="W756" s="190"/>
      <c r="X756" s="190"/>
      <c r="Y756" s="190"/>
      <c r="Z756" s="190"/>
      <c r="AA756" s="120"/>
      <c r="AB756" s="120"/>
      <c r="AC756" s="120"/>
    </row>
    <row r="757" spans="1:29" ht="14.25" customHeight="1">
      <c r="A757" s="120"/>
      <c r="B757" s="120"/>
      <c r="C757" s="120"/>
      <c r="D757" s="121"/>
      <c r="E757" s="121"/>
      <c r="F757" s="120"/>
      <c r="G757" s="120"/>
      <c r="H757" s="121"/>
      <c r="I757" s="121"/>
      <c r="J757" s="121"/>
      <c r="K757" s="120"/>
      <c r="L757" s="120"/>
      <c r="M757" s="122"/>
      <c r="N757" s="121"/>
      <c r="O757" s="121"/>
      <c r="P757" s="121"/>
      <c r="Q757" s="121"/>
      <c r="R757" s="120"/>
      <c r="S757" s="120"/>
      <c r="T757" s="120"/>
      <c r="U757" s="190"/>
      <c r="V757" s="190"/>
      <c r="W757" s="190"/>
      <c r="X757" s="190"/>
      <c r="Y757" s="190"/>
      <c r="Z757" s="190"/>
      <c r="AA757" s="120"/>
      <c r="AB757" s="120"/>
      <c r="AC757" s="120"/>
    </row>
    <row r="758" spans="1:29" ht="14.25" customHeight="1">
      <c r="A758" s="120"/>
      <c r="B758" s="120"/>
      <c r="C758" s="120"/>
      <c r="D758" s="121"/>
      <c r="E758" s="121"/>
      <c r="F758" s="120"/>
      <c r="G758" s="120"/>
      <c r="H758" s="121"/>
      <c r="I758" s="121"/>
      <c r="J758" s="121"/>
      <c r="K758" s="120"/>
      <c r="L758" s="120"/>
      <c r="M758" s="122"/>
      <c r="N758" s="121"/>
      <c r="O758" s="121"/>
      <c r="P758" s="121"/>
      <c r="Q758" s="121"/>
      <c r="R758" s="120"/>
      <c r="S758" s="120"/>
      <c r="T758" s="120"/>
      <c r="U758" s="190"/>
      <c r="V758" s="190"/>
      <c r="W758" s="190"/>
      <c r="X758" s="190"/>
      <c r="Y758" s="190"/>
      <c r="Z758" s="190"/>
      <c r="AA758" s="120"/>
      <c r="AB758" s="120"/>
      <c r="AC758" s="120"/>
    </row>
    <row r="759" spans="1:29" ht="14.25" customHeight="1">
      <c r="A759" s="120"/>
      <c r="B759" s="120"/>
      <c r="C759" s="120"/>
      <c r="D759" s="121"/>
      <c r="E759" s="121"/>
      <c r="F759" s="120"/>
      <c r="G759" s="120"/>
      <c r="H759" s="121"/>
      <c r="I759" s="121"/>
      <c r="J759" s="121"/>
      <c r="K759" s="120"/>
      <c r="L759" s="120"/>
      <c r="M759" s="122"/>
      <c r="N759" s="121"/>
      <c r="O759" s="121"/>
      <c r="P759" s="121"/>
      <c r="Q759" s="121"/>
      <c r="R759" s="120"/>
      <c r="S759" s="120"/>
      <c r="T759" s="120"/>
      <c r="U759" s="190"/>
      <c r="V759" s="190"/>
      <c r="W759" s="190"/>
      <c r="X759" s="190"/>
      <c r="Y759" s="190"/>
      <c r="Z759" s="190"/>
      <c r="AA759" s="120"/>
      <c r="AB759" s="120"/>
      <c r="AC759" s="120"/>
    </row>
    <row r="760" spans="1:29" ht="14.25" customHeight="1">
      <c r="A760" s="120"/>
      <c r="B760" s="120"/>
      <c r="C760" s="120"/>
      <c r="D760" s="121"/>
      <c r="E760" s="121"/>
      <c r="F760" s="120"/>
      <c r="G760" s="120"/>
      <c r="H760" s="121"/>
      <c r="I760" s="121"/>
      <c r="J760" s="121"/>
      <c r="K760" s="120"/>
      <c r="L760" s="120"/>
      <c r="M760" s="122"/>
      <c r="N760" s="121"/>
      <c r="O760" s="121"/>
      <c r="P760" s="121"/>
      <c r="Q760" s="121"/>
      <c r="R760" s="120"/>
      <c r="S760" s="120"/>
      <c r="T760" s="120"/>
      <c r="U760" s="190"/>
      <c r="V760" s="190"/>
      <c r="W760" s="190"/>
      <c r="X760" s="190"/>
      <c r="Y760" s="190"/>
      <c r="Z760" s="190"/>
      <c r="AA760" s="120"/>
      <c r="AB760" s="120"/>
      <c r="AC760" s="120"/>
    </row>
    <row r="761" spans="1:29" ht="14.25" customHeight="1">
      <c r="A761" s="120"/>
      <c r="B761" s="120"/>
      <c r="C761" s="120"/>
      <c r="D761" s="121"/>
      <c r="E761" s="121"/>
      <c r="F761" s="120"/>
      <c r="G761" s="120"/>
      <c r="H761" s="121"/>
      <c r="I761" s="121"/>
      <c r="J761" s="121"/>
      <c r="K761" s="120"/>
      <c r="L761" s="120"/>
      <c r="M761" s="122"/>
      <c r="N761" s="121"/>
      <c r="O761" s="121"/>
      <c r="P761" s="121"/>
      <c r="Q761" s="121"/>
      <c r="R761" s="120"/>
      <c r="S761" s="120"/>
      <c r="T761" s="120"/>
      <c r="U761" s="190"/>
      <c r="V761" s="190"/>
      <c r="W761" s="190"/>
      <c r="X761" s="190"/>
      <c r="Y761" s="190"/>
      <c r="Z761" s="190"/>
      <c r="AA761" s="120"/>
      <c r="AB761" s="120"/>
      <c r="AC761" s="120"/>
    </row>
    <row r="762" spans="1:29" ht="14.25" customHeight="1">
      <c r="A762" s="120"/>
      <c r="B762" s="120"/>
      <c r="C762" s="120"/>
      <c r="D762" s="121"/>
      <c r="E762" s="121"/>
      <c r="F762" s="120"/>
      <c r="G762" s="120"/>
      <c r="H762" s="121"/>
      <c r="I762" s="121"/>
      <c r="J762" s="121"/>
      <c r="K762" s="120"/>
      <c r="L762" s="120"/>
      <c r="M762" s="122"/>
      <c r="N762" s="121"/>
      <c r="O762" s="121"/>
      <c r="P762" s="121"/>
      <c r="Q762" s="121"/>
      <c r="R762" s="120"/>
      <c r="S762" s="120"/>
      <c r="T762" s="120"/>
      <c r="U762" s="190"/>
      <c r="V762" s="190"/>
      <c r="W762" s="190"/>
      <c r="X762" s="190"/>
      <c r="Y762" s="190"/>
      <c r="Z762" s="190"/>
      <c r="AA762" s="120"/>
      <c r="AB762" s="120"/>
      <c r="AC762" s="120"/>
    </row>
    <row r="763" spans="1:29" ht="14.25" customHeight="1">
      <c r="A763" s="120"/>
      <c r="B763" s="120"/>
      <c r="C763" s="120"/>
      <c r="D763" s="121"/>
      <c r="E763" s="121"/>
      <c r="F763" s="120"/>
      <c r="G763" s="120"/>
      <c r="H763" s="121"/>
      <c r="I763" s="121"/>
      <c r="J763" s="121"/>
      <c r="K763" s="120"/>
      <c r="L763" s="120"/>
      <c r="M763" s="122"/>
      <c r="N763" s="121"/>
      <c r="O763" s="121"/>
      <c r="P763" s="121"/>
      <c r="Q763" s="121"/>
      <c r="R763" s="120"/>
      <c r="S763" s="120"/>
      <c r="T763" s="120"/>
      <c r="U763" s="190"/>
      <c r="V763" s="190"/>
      <c r="W763" s="190"/>
      <c r="X763" s="190"/>
      <c r="Y763" s="190"/>
      <c r="Z763" s="190"/>
      <c r="AA763" s="120"/>
      <c r="AB763" s="120"/>
      <c r="AC763" s="120"/>
    </row>
    <row r="764" spans="1:29" ht="14.25" customHeight="1">
      <c r="A764" s="120"/>
      <c r="B764" s="120"/>
      <c r="C764" s="120"/>
      <c r="D764" s="121"/>
      <c r="E764" s="121"/>
      <c r="F764" s="120"/>
      <c r="G764" s="120"/>
      <c r="H764" s="121"/>
      <c r="I764" s="121"/>
      <c r="J764" s="121"/>
      <c r="K764" s="120"/>
      <c r="L764" s="120"/>
      <c r="M764" s="122"/>
      <c r="N764" s="121"/>
      <c r="O764" s="121"/>
      <c r="P764" s="121"/>
      <c r="Q764" s="121"/>
      <c r="R764" s="120"/>
      <c r="S764" s="120"/>
      <c r="T764" s="120"/>
      <c r="U764" s="190"/>
      <c r="V764" s="190"/>
      <c r="W764" s="190"/>
      <c r="X764" s="190"/>
      <c r="Y764" s="190"/>
      <c r="Z764" s="190"/>
      <c r="AA764" s="120"/>
      <c r="AB764" s="120"/>
      <c r="AC764" s="120"/>
    </row>
    <row r="765" spans="1:29" ht="14.25" customHeight="1">
      <c r="A765" s="120"/>
      <c r="B765" s="120"/>
      <c r="C765" s="120"/>
      <c r="D765" s="121"/>
      <c r="E765" s="121"/>
      <c r="F765" s="120"/>
      <c r="G765" s="120"/>
      <c r="H765" s="121"/>
      <c r="I765" s="121"/>
      <c r="J765" s="121"/>
      <c r="K765" s="120"/>
      <c r="L765" s="120"/>
      <c r="M765" s="122"/>
      <c r="N765" s="121"/>
      <c r="O765" s="121"/>
      <c r="P765" s="121"/>
      <c r="Q765" s="121"/>
      <c r="R765" s="120"/>
      <c r="S765" s="120"/>
      <c r="T765" s="120"/>
      <c r="U765" s="190"/>
      <c r="V765" s="190"/>
      <c r="W765" s="190"/>
      <c r="X765" s="190"/>
      <c r="Y765" s="190"/>
      <c r="Z765" s="190"/>
      <c r="AA765" s="120"/>
      <c r="AB765" s="120"/>
      <c r="AC765" s="120"/>
    </row>
    <row r="766" spans="1:29" ht="14.25" customHeight="1">
      <c r="A766" s="120"/>
      <c r="B766" s="120"/>
      <c r="C766" s="120"/>
      <c r="D766" s="121"/>
      <c r="E766" s="121"/>
      <c r="F766" s="120"/>
      <c r="G766" s="120"/>
      <c r="H766" s="121"/>
      <c r="I766" s="121"/>
      <c r="J766" s="121"/>
      <c r="K766" s="120"/>
      <c r="L766" s="120"/>
      <c r="M766" s="122"/>
      <c r="N766" s="121"/>
      <c r="O766" s="121"/>
      <c r="P766" s="121"/>
      <c r="Q766" s="121"/>
      <c r="R766" s="120"/>
      <c r="S766" s="120"/>
      <c r="T766" s="120"/>
      <c r="U766" s="190"/>
      <c r="V766" s="190"/>
      <c r="W766" s="190"/>
      <c r="X766" s="190"/>
      <c r="Y766" s="190"/>
      <c r="Z766" s="190"/>
      <c r="AA766" s="120"/>
      <c r="AB766" s="120"/>
      <c r="AC766" s="120"/>
    </row>
    <row r="767" spans="1:29" ht="14.25" customHeight="1">
      <c r="A767" s="120"/>
      <c r="B767" s="120"/>
      <c r="C767" s="120"/>
      <c r="D767" s="121"/>
      <c r="E767" s="121"/>
      <c r="F767" s="120"/>
      <c r="G767" s="120"/>
      <c r="H767" s="121"/>
      <c r="I767" s="121"/>
      <c r="J767" s="121"/>
      <c r="K767" s="120"/>
      <c r="L767" s="120"/>
      <c r="M767" s="122"/>
      <c r="N767" s="121"/>
      <c r="O767" s="121"/>
      <c r="P767" s="121"/>
      <c r="Q767" s="121"/>
      <c r="R767" s="120"/>
      <c r="S767" s="120"/>
      <c r="T767" s="120"/>
      <c r="U767" s="190"/>
      <c r="V767" s="190"/>
      <c r="W767" s="190"/>
      <c r="X767" s="190"/>
      <c r="Y767" s="190"/>
      <c r="Z767" s="190"/>
      <c r="AA767" s="120"/>
      <c r="AB767" s="120"/>
      <c r="AC767" s="120"/>
    </row>
    <row r="768" spans="1:29" ht="14.25" customHeight="1">
      <c r="A768" s="120"/>
      <c r="B768" s="120"/>
      <c r="C768" s="120"/>
      <c r="D768" s="121"/>
      <c r="E768" s="121"/>
      <c r="F768" s="120"/>
      <c r="G768" s="120"/>
      <c r="H768" s="121"/>
      <c r="I768" s="121"/>
      <c r="J768" s="121"/>
      <c r="K768" s="120"/>
      <c r="L768" s="120"/>
      <c r="M768" s="122"/>
      <c r="N768" s="121"/>
      <c r="O768" s="121"/>
      <c r="P768" s="121"/>
      <c r="Q768" s="121"/>
      <c r="R768" s="120"/>
      <c r="S768" s="120"/>
      <c r="T768" s="120"/>
      <c r="U768" s="190"/>
      <c r="V768" s="190"/>
      <c r="W768" s="190"/>
      <c r="X768" s="190"/>
      <c r="Y768" s="190"/>
      <c r="Z768" s="190"/>
      <c r="AA768" s="120"/>
      <c r="AB768" s="120"/>
      <c r="AC768" s="120"/>
    </row>
    <row r="769" spans="1:29" ht="14.25" customHeight="1">
      <c r="A769" s="120"/>
      <c r="B769" s="120"/>
      <c r="C769" s="120"/>
      <c r="D769" s="121"/>
      <c r="E769" s="121"/>
      <c r="F769" s="120"/>
      <c r="G769" s="120"/>
      <c r="H769" s="121"/>
      <c r="I769" s="121"/>
      <c r="J769" s="121"/>
      <c r="K769" s="120"/>
      <c r="L769" s="120"/>
      <c r="M769" s="122"/>
      <c r="N769" s="121"/>
      <c r="O769" s="121"/>
      <c r="P769" s="121"/>
      <c r="Q769" s="121"/>
      <c r="R769" s="120"/>
      <c r="S769" s="120"/>
      <c r="T769" s="120"/>
      <c r="U769" s="190"/>
      <c r="V769" s="190"/>
      <c r="W769" s="190"/>
      <c r="X769" s="190"/>
      <c r="Y769" s="190"/>
      <c r="Z769" s="190"/>
      <c r="AA769" s="120"/>
      <c r="AB769" s="120"/>
      <c r="AC769" s="120"/>
    </row>
    <row r="770" spans="1:29" ht="14.25" customHeight="1">
      <c r="A770" s="120"/>
      <c r="B770" s="120"/>
      <c r="C770" s="120"/>
      <c r="D770" s="121"/>
      <c r="E770" s="121"/>
      <c r="F770" s="120"/>
      <c r="G770" s="120"/>
      <c r="H770" s="121"/>
      <c r="I770" s="121"/>
      <c r="J770" s="121"/>
      <c r="K770" s="120"/>
      <c r="L770" s="120"/>
      <c r="M770" s="122"/>
      <c r="N770" s="121"/>
      <c r="O770" s="121"/>
      <c r="P770" s="121"/>
      <c r="Q770" s="121"/>
      <c r="R770" s="120"/>
      <c r="S770" s="120"/>
      <c r="T770" s="120"/>
      <c r="U770" s="190"/>
      <c r="V770" s="190"/>
      <c r="W770" s="190"/>
      <c r="X770" s="190"/>
      <c r="Y770" s="190"/>
      <c r="Z770" s="190"/>
      <c r="AA770" s="120"/>
      <c r="AB770" s="120"/>
      <c r="AC770" s="120"/>
    </row>
    <row r="771" spans="1:29" ht="14.25" customHeight="1">
      <c r="A771" s="120"/>
      <c r="B771" s="120"/>
      <c r="C771" s="120"/>
      <c r="D771" s="121"/>
      <c r="E771" s="121"/>
      <c r="F771" s="120"/>
      <c r="G771" s="120"/>
      <c r="H771" s="121"/>
      <c r="I771" s="121"/>
      <c r="J771" s="121"/>
      <c r="K771" s="120"/>
      <c r="L771" s="120"/>
      <c r="M771" s="122"/>
      <c r="N771" s="121"/>
      <c r="O771" s="121"/>
      <c r="P771" s="121"/>
      <c r="Q771" s="121"/>
      <c r="R771" s="120"/>
      <c r="S771" s="120"/>
      <c r="T771" s="120"/>
      <c r="U771" s="190"/>
      <c r="V771" s="190"/>
      <c r="W771" s="190"/>
      <c r="X771" s="190"/>
      <c r="Y771" s="190"/>
      <c r="Z771" s="190"/>
      <c r="AA771" s="120"/>
      <c r="AB771" s="120"/>
      <c r="AC771" s="120"/>
    </row>
    <row r="772" spans="1:29" ht="14.25" customHeight="1">
      <c r="A772" s="120"/>
      <c r="B772" s="120"/>
      <c r="C772" s="120"/>
      <c r="D772" s="121"/>
      <c r="E772" s="121"/>
      <c r="F772" s="120"/>
      <c r="G772" s="120"/>
      <c r="H772" s="121"/>
      <c r="I772" s="121"/>
      <c r="J772" s="121"/>
      <c r="K772" s="120"/>
      <c r="L772" s="120"/>
      <c r="M772" s="122"/>
      <c r="N772" s="121"/>
      <c r="O772" s="121"/>
      <c r="P772" s="121"/>
      <c r="Q772" s="121"/>
      <c r="R772" s="120"/>
      <c r="S772" s="120"/>
      <c r="T772" s="120"/>
      <c r="U772" s="190"/>
      <c r="V772" s="190"/>
      <c r="W772" s="190"/>
      <c r="X772" s="190"/>
      <c r="Y772" s="190"/>
      <c r="Z772" s="190"/>
      <c r="AA772" s="120"/>
      <c r="AB772" s="120"/>
      <c r="AC772" s="120"/>
    </row>
    <row r="773" spans="1:29" ht="14.25" customHeight="1">
      <c r="A773" s="120"/>
      <c r="B773" s="120"/>
      <c r="C773" s="120"/>
      <c r="D773" s="121"/>
      <c r="E773" s="121"/>
      <c r="F773" s="120"/>
      <c r="G773" s="120"/>
      <c r="H773" s="121"/>
      <c r="I773" s="121"/>
      <c r="J773" s="121"/>
      <c r="K773" s="120"/>
      <c r="L773" s="120"/>
      <c r="M773" s="122"/>
      <c r="N773" s="121"/>
      <c r="O773" s="121"/>
      <c r="P773" s="121"/>
      <c r="Q773" s="121"/>
      <c r="R773" s="120"/>
      <c r="S773" s="120"/>
      <c r="T773" s="120"/>
      <c r="U773" s="190"/>
      <c r="V773" s="190"/>
      <c r="W773" s="190"/>
      <c r="X773" s="190"/>
      <c r="Y773" s="190"/>
      <c r="Z773" s="190"/>
      <c r="AA773" s="120"/>
      <c r="AB773" s="120"/>
      <c r="AC773" s="120"/>
    </row>
    <row r="774" spans="1:29" ht="14.25" customHeight="1">
      <c r="A774" s="120"/>
      <c r="B774" s="120"/>
      <c r="C774" s="120"/>
      <c r="D774" s="121"/>
      <c r="E774" s="121"/>
      <c r="F774" s="120"/>
      <c r="G774" s="120"/>
      <c r="H774" s="121"/>
      <c r="I774" s="121"/>
      <c r="J774" s="121"/>
      <c r="K774" s="120"/>
      <c r="L774" s="120"/>
      <c r="M774" s="122"/>
      <c r="N774" s="121"/>
      <c r="O774" s="121"/>
      <c r="P774" s="121"/>
      <c r="Q774" s="121"/>
      <c r="R774" s="120"/>
      <c r="S774" s="120"/>
      <c r="T774" s="120"/>
      <c r="U774" s="190"/>
      <c r="V774" s="190"/>
      <c r="W774" s="190"/>
      <c r="X774" s="190"/>
      <c r="Y774" s="190"/>
      <c r="Z774" s="190"/>
      <c r="AA774" s="120"/>
      <c r="AB774" s="120"/>
      <c r="AC774" s="120"/>
    </row>
    <row r="775" spans="1:29" ht="14.25" customHeight="1">
      <c r="A775" s="120"/>
      <c r="B775" s="120"/>
      <c r="C775" s="120"/>
      <c r="D775" s="121"/>
      <c r="E775" s="121"/>
      <c r="F775" s="120"/>
      <c r="G775" s="120"/>
      <c r="H775" s="121"/>
      <c r="I775" s="121"/>
      <c r="J775" s="121"/>
      <c r="K775" s="120"/>
      <c r="L775" s="120"/>
      <c r="M775" s="122"/>
      <c r="N775" s="121"/>
      <c r="O775" s="121"/>
      <c r="P775" s="121"/>
      <c r="Q775" s="121"/>
      <c r="R775" s="120"/>
      <c r="S775" s="120"/>
      <c r="T775" s="120"/>
      <c r="U775" s="190"/>
      <c r="V775" s="190"/>
      <c r="W775" s="190"/>
      <c r="X775" s="190"/>
      <c r="Y775" s="190"/>
      <c r="Z775" s="190"/>
      <c r="AA775" s="120"/>
      <c r="AB775" s="120"/>
      <c r="AC775" s="120"/>
    </row>
    <row r="776" spans="1:29" ht="14.25" customHeight="1">
      <c r="A776" s="120"/>
      <c r="B776" s="120"/>
      <c r="C776" s="120"/>
      <c r="D776" s="121"/>
      <c r="E776" s="121"/>
      <c r="F776" s="120"/>
      <c r="G776" s="120"/>
      <c r="H776" s="121"/>
      <c r="I776" s="121"/>
      <c r="J776" s="121"/>
      <c r="K776" s="120"/>
      <c r="L776" s="120"/>
      <c r="M776" s="122"/>
      <c r="N776" s="121"/>
      <c r="O776" s="121"/>
      <c r="P776" s="121"/>
      <c r="Q776" s="121"/>
      <c r="R776" s="120"/>
      <c r="S776" s="120"/>
      <c r="T776" s="120"/>
      <c r="U776" s="190"/>
      <c r="V776" s="190"/>
      <c r="W776" s="190"/>
      <c r="X776" s="190"/>
      <c r="Y776" s="190"/>
      <c r="Z776" s="190"/>
      <c r="AA776" s="120"/>
      <c r="AB776" s="120"/>
      <c r="AC776" s="120"/>
    </row>
    <row r="777" spans="1:29" ht="14.25" customHeight="1">
      <c r="A777" s="120"/>
      <c r="B777" s="120"/>
      <c r="C777" s="120"/>
      <c r="D777" s="121"/>
      <c r="E777" s="121"/>
      <c r="F777" s="120"/>
      <c r="G777" s="120"/>
      <c r="H777" s="121"/>
      <c r="I777" s="121"/>
      <c r="J777" s="121"/>
      <c r="K777" s="120"/>
      <c r="L777" s="120"/>
      <c r="M777" s="122"/>
      <c r="N777" s="121"/>
      <c r="O777" s="121"/>
      <c r="P777" s="121"/>
      <c r="Q777" s="121"/>
      <c r="R777" s="120"/>
      <c r="S777" s="120"/>
      <c r="T777" s="120"/>
      <c r="U777" s="190"/>
      <c r="V777" s="190"/>
      <c r="W777" s="190"/>
      <c r="X777" s="190"/>
      <c r="Y777" s="190"/>
      <c r="Z777" s="190"/>
      <c r="AA777" s="120"/>
      <c r="AB777" s="120"/>
      <c r="AC777" s="120"/>
    </row>
    <row r="778" spans="1:29" ht="14.25" customHeight="1">
      <c r="A778" s="120"/>
      <c r="B778" s="120"/>
      <c r="C778" s="120"/>
      <c r="D778" s="121"/>
      <c r="E778" s="121"/>
      <c r="F778" s="120"/>
      <c r="G778" s="120"/>
      <c r="H778" s="121"/>
      <c r="I778" s="121"/>
      <c r="J778" s="121"/>
      <c r="K778" s="120"/>
      <c r="L778" s="120"/>
      <c r="M778" s="122"/>
      <c r="N778" s="121"/>
      <c r="O778" s="121"/>
      <c r="P778" s="121"/>
      <c r="Q778" s="121"/>
      <c r="R778" s="120"/>
      <c r="S778" s="120"/>
      <c r="T778" s="120"/>
      <c r="U778" s="190"/>
      <c r="V778" s="190"/>
      <c r="W778" s="190"/>
      <c r="X778" s="190"/>
      <c r="Y778" s="190"/>
      <c r="Z778" s="190"/>
      <c r="AA778" s="120"/>
      <c r="AB778" s="120"/>
      <c r="AC778" s="120"/>
    </row>
    <row r="779" spans="1:29" ht="14.25" customHeight="1">
      <c r="A779" s="120"/>
      <c r="B779" s="120"/>
      <c r="C779" s="120"/>
      <c r="D779" s="121"/>
      <c r="E779" s="121"/>
      <c r="F779" s="120"/>
      <c r="G779" s="120"/>
      <c r="H779" s="121"/>
      <c r="I779" s="121"/>
      <c r="J779" s="121"/>
      <c r="K779" s="120"/>
      <c r="L779" s="120"/>
      <c r="M779" s="122"/>
      <c r="N779" s="121"/>
      <c r="O779" s="121"/>
      <c r="P779" s="121"/>
      <c r="Q779" s="121"/>
      <c r="R779" s="120"/>
      <c r="S779" s="120"/>
      <c r="T779" s="120"/>
      <c r="U779" s="190"/>
      <c r="V779" s="190"/>
      <c r="W779" s="190"/>
      <c r="X779" s="190"/>
      <c r="Y779" s="190"/>
      <c r="Z779" s="190"/>
      <c r="AA779" s="120"/>
      <c r="AB779" s="120"/>
      <c r="AC779" s="120"/>
    </row>
    <row r="780" spans="1:29" ht="14.25" customHeight="1">
      <c r="A780" s="120"/>
      <c r="B780" s="120"/>
      <c r="C780" s="120"/>
      <c r="D780" s="121"/>
      <c r="E780" s="121"/>
      <c r="F780" s="120"/>
      <c r="G780" s="120"/>
      <c r="H780" s="121"/>
      <c r="I780" s="121"/>
      <c r="J780" s="121"/>
      <c r="K780" s="120"/>
      <c r="L780" s="120"/>
      <c r="M780" s="122"/>
      <c r="N780" s="121"/>
      <c r="O780" s="121"/>
      <c r="P780" s="121"/>
      <c r="Q780" s="121"/>
      <c r="R780" s="120"/>
      <c r="S780" s="120"/>
      <c r="T780" s="120"/>
      <c r="U780" s="190"/>
      <c r="V780" s="190"/>
      <c r="W780" s="190"/>
      <c r="X780" s="190"/>
      <c r="Y780" s="190"/>
      <c r="Z780" s="190"/>
      <c r="AA780" s="120"/>
      <c r="AB780" s="120"/>
      <c r="AC780" s="120"/>
    </row>
    <row r="781" spans="1:29" ht="14.25" customHeight="1">
      <c r="A781" s="120"/>
      <c r="B781" s="120"/>
      <c r="C781" s="120"/>
      <c r="D781" s="121"/>
      <c r="E781" s="121"/>
      <c r="F781" s="120"/>
      <c r="G781" s="120"/>
      <c r="H781" s="121"/>
      <c r="I781" s="121"/>
      <c r="J781" s="121"/>
      <c r="K781" s="120"/>
      <c r="L781" s="120"/>
      <c r="M781" s="122"/>
      <c r="N781" s="121"/>
      <c r="O781" s="121"/>
      <c r="P781" s="121"/>
      <c r="Q781" s="121"/>
      <c r="R781" s="120"/>
      <c r="S781" s="120"/>
      <c r="T781" s="120"/>
      <c r="U781" s="190"/>
      <c r="V781" s="190"/>
      <c r="W781" s="190"/>
      <c r="X781" s="190"/>
      <c r="Y781" s="190"/>
      <c r="Z781" s="190"/>
      <c r="AA781" s="120"/>
      <c r="AB781" s="120"/>
      <c r="AC781" s="120"/>
    </row>
    <row r="782" spans="1:29" ht="14.25" customHeight="1">
      <c r="A782" s="120"/>
      <c r="B782" s="120"/>
      <c r="C782" s="120"/>
      <c r="D782" s="121"/>
      <c r="E782" s="121"/>
      <c r="F782" s="120"/>
      <c r="G782" s="120"/>
      <c r="H782" s="121"/>
      <c r="I782" s="121"/>
      <c r="J782" s="121"/>
      <c r="K782" s="120"/>
      <c r="L782" s="120"/>
      <c r="M782" s="122"/>
      <c r="N782" s="121"/>
      <c r="O782" s="121"/>
      <c r="P782" s="121"/>
      <c r="Q782" s="121"/>
      <c r="R782" s="120"/>
      <c r="S782" s="120"/>
      <c r="T782" s="120"/>
      <c r="U782" s="190"/>
      <c r="V782" s="190"/>
      <c r="W782" s="190"/>
      <c r="X782" s="190"/>
      <c r="Y782" s="190"/>
      <c r="Z782" s="190"/>
      <c r="AA782" s="120"/>
      <c r="AB782" s="120"/>
      <c r="AC782" s="120"/>
    </row>
    <row r="783" spans="1:29" ht="14.25" customHeight="1">
      <c r="A783" s="120"/>
      <c r="B783" s="120"/>
      <c r="C783" s="120"/>
      <c r="D783" s="121"/>
      <c r="E783" s="121"/>
      <c r="F783" s="120"/>
      <c r="G783" s="120"/>
      <c r="H783" s="121"/>
      <c r="I783" s="121"/>
      <c r="J783" s="121"/>
      <c r="K783" s="120"/>
      <c r="L783" s="120"/>
      <c r="M783" s="122"/>
      <c r="N783" s="121"/>
      <c r="O783" s="121"/>
      <c r="P783" s="121"/>
      <c r="Q783" s="121"/>
      <c r="R783" s="120"/>
      <c r="S783" s="120"/>
      <c r="T783" s="120"/>
      <c r="U783" s="190"/>
      <c r="V783" s="190"/>
      <c r="W783" s="190"/>
      <c r="X783" s="190"/>
      <c r="Y783" s="190"/>
      <c r="Z783" s="190"/>
      <c r="AA783" s="120"/>
      <c r="AB783" s="120"/>
      <c r="AC783" s="120"/>
    </row>
    <row r="784" spans="1:29" ht="14.25" customHeight="1">
      <c r="A784" s="120"/>
      <c r="B784" s="120"/>
      <c r="C784" s="120"/>
      <c r="D784" s="121"/>
      <c r="E784" s="121"/>
      <c r="F784" s="120"/>
      <c r="G784" s="120"/>
      <c r="H784" s="121"/>
      <c r="I784" s="121"/>
      <c r="J784" s="121"/>
      <c r="K784" s="120"/>
      <c r="L784" s="120"/>
      <c r="M784" s="122"/>
      <c r="N784" s="121"/>
      <c r="O784" s="121"/>
      <c r="P784" s="121"/>
      <c r="Q784" s="121"/>
      <c r="R784" s="120"/>
      <c r="S784" s="120"/>
      <c r="T784" s="120"/>
      <c r="U784" s="190"/>
      <c r="V784" s="190"/>
      <c r="W784" s="190"/>
      <c r="X784" s="190"/>
      <c r="Y784" s="190"/>
      <c r="Z784" s="190"/>
      <c r="AA784" s="120"/>
      <c r="AB784" s="120"/>
      <c r="AC784" s="120"/>
    </row>
    <row r="785" spans="1:29" ht="14.25" customHeight="1">
      <c r="A785" s="120"/>
      <c r="B785" s="120"/>
      <c r="C785" s="120"/>
      <c r="D785" s="121"/>
      <c r="E785" s="121"/>
      <c r="F785" s="120"/>
      <c r="G785" s="120"/>
      <c r="H785" s="121"/>
      <c r="I785" s="121"/>
      <c r="J785" s="121"/>
      <c r="K785" s="120"/>
      <c r="L785" s="120"/>
      <c r="M785" s="122"/>
      <c r="N785" s="121"/>
      <c r="O785" s="121"/>
      <c r="P785" s="121"/>
      <c r="Q785" s="121"/>
      <c r="R785" s="120"/>
      <c r="S785" s="120"/>
      <c r="T785" s="120"/>
      <c r="U785" s="190"/>
      <c r="V785" s="190"/>
      <c r="W785" s="190"/>
      <c r="X785" s="190"/>
      <c r="Y785" s="190"/>
      <c r="Z785" s="190"/>
      <c r="AA785" s="120"/>
      <c r="AB785" s="120"/>
      <c r="AC785" s="120"/>
    </row>
    <row r="786" spans="1:29" ht="14.25" customHeight="1">
      <c r="A786" s="120"/>
      <c r="B786" s="120"/>
      <c r="C786" s="120"/>
      <c r="D786" s="121"/>
      <c r="E786" s="121"/>
      <c r="F786" s="120"/>
      <c r="G786" s="120"/>
      <c r="H786" s="121"/>
      <c r="I786" s="121"/>
      <c r="J786" s="121"/>
      <c r="K786" s="120"/>
      <c r="L786" s="120"/>
      <c r="M786" s="122"/>
      <c r="N786" s="121"/>
      <c r="O786" s="121"/>
      <c r="P786" s="121"/>
      <c r="Q786" s="121"/>
      <c r="R786" s="120"/>
      <c r="S786" s="120"/>
      <c r="T786" s="120"/>
      <c r="U786" s="190"/>
      <c r="V786" s="190"/>
      <c r="W786" s="190"/>
      <c r="X786" s="190"/>
      <c r="Y786" s="190"/>
      <c r="Z786" s="190"/>
      <c r="AA786" s="120"/>
      <c r="AB786" s="120"/>
      <c r="AC786" s="120"/>
    </row>
    <row r="787" spans="1:29" ht="14.25" customHeight="1">
      <c r="A787" s="120"/>
      <c r="B787" s="120"/>
      <c r="C787" s="120"/>
      <c r="D787" s="121"/>
      <c r="E787" s="121"/>
      <c r="F787" s="120"/>
      <c r="G787" s="120"/>
      <c r="H787" s="121"/>
      <c r="I787" s="121"/>
      <c r="J787" s="121"/>
      <c r="K787" s="120"/>
      <c r="L787" s="120"/>
      <c r="M787" s="122"/>
      <c r="N787" s="121"/>
      <c r="O787" s="121"/>
      <c r="P787" s="121"/>
      <c r="Q787" s="121"/>
      <c r="R787" s="120"/>
      <c r="S787" s="120"/>
      <c r="T787" s="120"/>
      <c r="U787" s="190"/>
      <c r="V787" s="190"/>
      <c r="W787" s="190"/>
      <c r="X787" s="190"/>
      <c r="Y787" s="190"/>
      <c r="Z787" s="190"/>
      <c r="AA787" s="120"/>
      <c r="AB787" s="120"/>
      <c r="AC787" s="120"/>
    </row>
    <row r="788" spans="1:29" ht="14.25" customHeight="1">
      <c r="A788" s="120"/>
      <c r="B788" s="120"/>
      <c r="C788" s="120"/>
      <c r="D788" s="121"/>
      <c r="E788" s="121"/>
      <c r="F788" s="120"/>
      <c r="G788" s="120"/>
      <c r="H788" s="121"/>
      <c r="I788" s="121"/>
      <c r="J788" s="121"/>
      <c r="K788" s="120"/>
      <c r="L788" s="120"/>
      <c r="M788" s="122"/>
      <c r="N788" s="121"/>
      <c r="O788" s="121"/>
      <c r="P788" s="121"/>
      <c r="Q788" s="121"/>
      <c r="R788" s="120"/>
      <c r="S788" s="120"/>
      <c r="T788" s="120"/>
      <c r="U788" s="190"/>
      <c r="V788" s="190"/>
      <c r="W788" s="190"/>
      <c r="X788" s="190"/>
      <c r="Y788" s="190"/>
      <c r="Z788" s="190"/>
      <c r="AA788" s="120"/>
      <c r="AB788" s="120"/>
      <c r="AC788" s="120"/>
    </row>
    <row r="789" spans="1:29" ht="14.25" customHeight="1">
      <c r="A789" s="120"/>
      <c r="B789" s="120"/>
      <c r="C789" s="120"/>
      <c r="D789" s="121"/>
      <c r="E789" s="121"/>
      <c r="F789" s="120"/>
      <c r="G789" s="120"/>
      <c r="H789" s="121"/>
      <c r="I789" s="121"/>
      <c r="J789" s="121"/>
      <c r="K789" s="120"/>
      <c r="L789" s="120"/>
      <c r="M789" s="122"/>
      <c r="N789" s="121"/>
      <c r="O789" s="121"/>
      <c r="P789" s="121"/>
      <c r="Q789" s="121"/>
      <c r="R789" s="120"/>
      <c r="S789" s="120"/>
      <c r="T789" s="120"/>
      <c r="U789" s="190"/>
      <c r="V789" s="190"/>
      <c r="W789" s="190"/>
      <c r="X789" s="190"/>
      <c r="Y789" s="190"/>
      <c r="Z789" s="190"/>
      <c r="AA789" s="120"/>
      <c r="AB789" s="120"/>
      <c r="AC789" s="120"/>
    </row>
    <row r="790" spans="1:29" ht="14.25" customHeight="1">
      <c r="A790" s="120"/>
      <c r="B790" s="120"/>
      <c r="C790" s="120"/>
      <c r="D790" s="121"/>
      <c r="E790" s="121"/>
      <c r="F790" s="120"/>
      <c r="G790" s="120"/>
      <c r="H790" s="121"/>
      <c r="I790" s="121"/>
      <c r="J790" s="121"/>
      <c r="K790" s="120"/>
      <c r="L790" s="120"/>
      <c r="M790" s="122"/>
      <c r="N790" s="121"/>
      <c r="O790" s="121"/>
      <c r="P790" s="121"/>
      <c r="Q790" s="121"/>
      <c r="R790" s="120"/>
      <c r="S790" s="120"/>
      <c r="T790" s="120"/>
      <c r="U790" s="190"/>
      <c r="V790" s="190"/>
      <c r="W790" s="190"/>
      <c r="X790" s="190"/>
      <c r="Y790" s="190"/>
      <c r="Z790" s="190"/>
      <c r="AA790" s="120"/>
      <c r="AB790" s="120"/>
      <c r="AC790" s="120"/>
    </row>
    <row r="791" spans="1:29" ht="14.25" customHeight="1">
      <c r="A791" s="120"/>
      <c r="B791" s="120"/>
      <c r="C791" s="120"/>
      <c r="D791" s="121"/>
      <c r="E791" s="121"/>
      <c r="F791" s="120"/>
      <c r="G791" s="120"/>
      <c r="H791" s="121"/>
      <c r="I791" s="121"/>
      <c r="J791" s="121"/>
      <c r="K791" s="120"/>
      <c r="L791" s="120"/>
      <c r="M791" s="122"/>
      <c r="N791" s="121"/>
      <c r="O791" s="121"/>
      <c r="P791" s="121"/>
      <c r="Q791" s="121"/>
      <c r="R791" s="120"/>
      <c r="S791" s="120"/>
      <c r="T791" s="120"/>
      <c r="U791" s="190"/>
      <c r="V791" s="190"/>
      <c r="W791" s="190"/>
      <c r="X791" s="190"/>
      <c r="Y791" s="190"/>
      <c r="Z791" s="190"/>
      <c r="AA791" s="120"/>
      <c r="AB791" s="120"/>
      <c r="AC791" s="120"/>
    </row>
    <row r="792" spans="1:29" ht="14.25" customHeight="1">
      <c r="A792" s="120"/>
      <c r="B792" s="120"/>
      <c r="C792" s="120"/>
      <c r="D792" s="121"/>
      <c r="E792" s="121"/>
      <c r="F792" s="120"/>
      <c r="G792" s="120"/>
      <c r="H792" s="121"/>
      <c r="I792" s="121"/>
      <c r="J792" s="121"/>
      <c r="K792" s="120"/>
      <c r="L792" s="120"/>
      <c r="M792" s="122"/>
      <c r="N792" s="121"/>
      <c r="O792" s="121"/>
      <c r="P792" s="121"/>
      <c r="Q792" s="121"/>
      <c r="R792" s="120"/>
      <c r="S792" s="120"/>
      <c r="T792" s="120"/>
      <c r="U792" s="190"/>
      <c r="V792" s="190"/>
      <c r="W792" s="190"/>
      <c r="X792" s="190"/>
      <c r="Y792" s="190"/>
      <c r="Z792" s="190"/>
      <c r="AA792" s="120"/>
      <c r="AB792" s="120"/>
      <c r="AC792" s="120"/>
    </row>
    <row r="793" spans="1:29" ht="14.25" customHeight="1">
      <c r="A793" s="120"/>
      <c r="B793" s="120"/>
      <c r="C793" s="120"/>
      <c r="D793" s="121"/>
      <c r="E793" s="121"/>
      <c r="F793" s="120"/>
      <c r="G793" s="120"/>
      <c r="H793" s="121"/>
      <c r="I793" s="121"/>
      <c r="J793" s="121"/>
      <c r="K793" s="120"/>
      <c r="L793" s="120"/>
      <c r="M793" s="122"/>
      <c r="N793" s="121"/>
      <c r="O793" s="121"/>
      <c r="P793" s="121"/>
      <c r="Q793" s="121"/>
      <c r="R793" s="120"/>
      <c r="S793" s="120"/>
      <c r="T793" s="120"/>
      <c r="U793" s="190"/>
      <c r="V793" s="190"/>
      <c r="W793" s="190"/>
      <c r="X793" s="190"/>
      <c r="Y793" s="190"/>
      <c r="Z793" s="190"/>
      <c r="AA793" s="120"/>
      <c r="AB793" s="120"/>
      <c r="AC793" s="120"/>
    </row>
    <row r="794" spans="1:29" ht="14.25" customHeight="1">
      <c r="A794" s="120"/>
      <c r="B794" s="120"/>
      <c r="C794" s="120"/>
      <c r="D794" s="121"/>
      <c r="E794" s="121"/>
      <c r="F794" s="120"/>
      <c r="G794" s="120"/>
      <c r="H794" s="121"/>
      <c r="I794" s="121"/>
      <c r="J794" s="121"/>
      <c r="K794" s="120"/>
      <c r="L794" s="120"/>
      <c r="M794" s="122"/>
      <c r="N794" s="121"/>
      <c r="O794" s="121"/>
      <c r="P794" s="121"/>
      <c r="Q794" s="121"/>
      <c r="R794" s="120"/>
      <c r="S794" s="120"/>
      <c r="T794" s="120"/>
      <c r="U794" s="190"/>
      <c r="V794" s="190"/>
      <c r="W794" s="190"/>
      <c r="X794" s="190"/>
      <c r="Y794" s="190"/>
      <c r="Z794" s="190"/>
      <c r="AA794" s="120"/>
      <c r="AB794" s="120"/>
      <c r="AC794" s="120"/>
    </row>
    <row r="795" spans="1:29" ht="14.25" customHeight="1">
      <c r="A795" s="120"/>
      <c r="B795" s="120"/>
      <c r="C795" s="120"/>
      <c r="D795" s="121"/>
      <c r="E795" s="121"/>
      <c r="F795" s="120"/>
      <c r="G795" s="120"/>
      <c r="H795" s="121"/>
      <c r="I795" s="121"/>
      <c r="J795" s="121"/>
      <c r="K795" s="120"/>
      <c r="L795" s="120"/>
      <c r="M795" s="122"/>
      <c r="N795" s="121"/>
      <c r="O795" s="121"/>
      <c r="P795" s="121"/>
      <c r="Q795" s="121"/>
      <c r="R795" s="120"/>
      <c r="S795" s="120"/>
      <c r="T795" s="120"/>
      <c r="U795" s="190"/>
      <c r="V795" s="190"/>
      <c r="W795" s="190"/>
      <c r="X795" s="190"/>
      <c r="Y795" s="190"/>
      <c r="Z795" s="190"/>
      <c r="AA795" s="120"/>
      <c r="AB795" s="120"/>
      <c r="AC795" s="120"/>
    </row>
    <row r="796" spans="1:29" ht="14.25" customHeight="1">
      <c r="A796" s="120"/>
      <c r="B796" s="120"/>
      <c r="C796" s="120"/>
      <c r="D796" s="121"/>
      <c r="E796" s="121"/>
      <c r="F796" s="120"/>
      <c r="G796" s="120"/>
      <c r="H796" s="121"/>
      <c r="I796" s="121"/>
      <c r="J796" s="121"/>
      <c r="K796" s="120"/>
      <c r="L796" s="120"/>
      <c r="M796" s="122"/>
      <c r="N796" s="121"/>
      <c r="O796" s="121"/>
      <c r="P796" s="121"/>
      <c r="Q796" s="121"/>
      <c r="R796" s="120"/>
      <c r="S796" s="120"/>
      <c r="T796" s="120"/>
      <c r="U796" s="190"/>
      <c r="V796" s="190"/>
      <c r="W796" s="190"/>
      <c r="X796" s="190"/>
      <c r="Y796" s="190"/>
      <c r="Z796" s="190"/>
      <c r="AA796" s="120"/>
      <c r="AB796" s="120"/>
      <c r="AC796" s="120"/>
    </row>
    <row r="797" spans="1:29" ht="14.25" customHeight="1">
      <c r="A797" s="120"/>
      <c r="B797" s="120"/>
      <c r="C797" s="120"/>
      <c r="D797" s="121"/>
      <c r="E797" s="121"/>
      <c r="F797" s="120"/>
      <c r="G797" s="120"/>
      <c r="H797" s="121"/>
      <c r="I797" s="121"/>
      <c r="J797" s="121"/>
      <c r="K797" s="120"/>
      <c r="L797" s="120"/>
      <c r="M797" s="122"/>
      <c r="N797" s="121"/>
      <c r="O797" s="121"/>
      <c r="P797" s="121"/>
      <c r="Q797" s="121"/>
      <c r="R797" s="120"/>
      <c r="S797" s="120"/>
      <c r="T797" s="120"/>
      <c r="U797" s="190"/>
      <c r="V797" s="190"/>
      <c r="W797" s="190"/>
      <c r="X797" s="190"/>
      <c r="Y797" s="190"/>
      <c r="Z797" s="190"/>
      <c r="AA797" s="120"/>
      <c r="AB797" s="120"/>
      <c r="AC797" s="120"/>
    </row>
    <row r="798" spans="1:29" ht="14.25" customHeight="1">
      <c r="A798" s="120"/>
      <c r="B798" s="120"/>
      <c r="C798" s="120"/>
      <c r="D798" s="121"/>
      <c r="E798" s="121"/>
      <c r="F798" s="120"/>
      <c r="G798" s="120"/>
      <c r="H798" s="121"/>
      <c r="I798" s="121"/>
      <c r="J798" s="121"/>
      <c r="K798" s="120"/>
      <c r="L798" s="120"/>
      <c r="M798" s="122"/>
      <c r="N798" s="121"/>
      <c r="O798" s="121"/>
      <c r="P798" s="121"/>
      <c r="Q798" s="121"/>
      <c r="R798" s="120"/>
      <c r="S798" s="120"/>
      <c r="T798" s="120"/>
      <c r="U798" s="190"/>
      <c r="V798" s="190"/>
      <c r="W798" s="190"/>
      <c r="X798" s="190"/>
      <c r="Y798" s="190"/>
      <c r="Z798" s="190"/>
      <c r="AA798" s="120"/>
      <c r="AB798" s="120"/>
      <c r="AC798" s="120"/>
    </row>
    <row r="799" spans="1:29" ht="14.25" customHeight="1">
      <c r="A799" s="120"/>
      <c r="B799" s="120"/>
      <c r="C799" s="120"/>
      <c r="D799" s="121"/>
      <c r="E799" s="121"/>
      <c r="F799" s="120"/>
      <c r="G799" s="120"/>
      <c r="H799" s="121"/>
      <c r="I799" s="121"/>
      <c r="J799" s="121"/>
      <c r="K799" s="120"/>
      <c r="L799" s="120"/>
      <c r="M799" s="122"/>
      <c r="N799" s="121"/>
      <c r="O799" s="121"/>
      <c r="P799" s="121"/>
      <c r="Q799" s="121"/>
      <c r="R799" s="120"/>
      <c r="S799" s="120"/>
      <c r="T799" s="120"/>
      <c r="U799" s="190"/>
      <c r="V799" s="190"/>
      <c r="W799" s="190"/>
      <c r="X799" s="190"/>
      <c r="Y799" s="190"/>
      <c r="Z799" s="190"/>
      <c r="AA799" s="120"/>
      <c r="AB799" s="120"/>
      <c r="AC799" s="120"/>
    </row>
    <row r="800" spans="1:29" ht="14.25" customHeight="1">
      <c r="A800" s="120"/>
      <c r="B800" s="120"/>
      <c r="C800" s="120"/>
      <c r="D800" s="121"/>
      <c r="E800" s="121"/>
      <c r="F800" s="120"/>
      <c r="G800" s="120"/>
      <c r="H800" s="121"/>
      <c r="I800" s="121"/>
      <c r="J800" s="121"/>
      <c r="K800" s="120"/>
      <c r="L800" s="120"/>
      <c r="M800" s="122"/>
      <c r="N800" s="121"/>
      <c r="O800" s="121"/>
      <c r="P800" s="121"/>
      <c r="Q800" s="121"/>
      <c r="R800" s="120"/>
      <c r="S800" s="120"/>
      <c r="T800" s="120"/>
      <c r="U800" s="190"/>
      <c r="V800" s="190"/>
      <c r="W800" s="190"/>
      <c r="X800" s="190"/>
      <c r="Y800" s="190"/>
      <c r="Z800" s="190"/>
      <c r="AA800" s="120"/>
      <c r="AB800" s="120"/>
      <c r="AC800" s="120"/>
    </row>
    <row r="801" spans="1:29" ht="14.25" customHeight="1">
      <c r="A801" s="120"/>
      <c r="B801" s="120"/>
      <c r="C801" s="120"/>
      <c r="D801" s="121"/>
      <c r="E801" s="121"/>
      <c r="F801" s="120"/>
      <c r="G801" s="120"/>
      <c r="H801" s="121"/>
      <c r="I801" s="121"/>
      <c r="J801" s="121"/>
      <c r="K801" s="120"/>
      <c r="L801" s="120"/>
      <c r="M801" s="122"/>
      <c r="N801" s="121"/>
      <c r="O801" s="121"/>
      <c r="P801" s="121"/>
      <c r="Q801" s="121"/>
      <c r="R801" s="120"/>
      <c r="S801" s="120"/>
      <c r="T801" s="120"/>
      <c r="U801" s="190"/>
      <c r="V801" s="190"/>
      <c r="W801" s="190"/>
      <c r="X801" s="190"/>
      <c r="Y801" s="190"/>
      <c r="Z801" s="190"/>
      <c r="AA801" s="120"/>
      <c r="AB801" s="120"/>
      <c r="AC801" s="120"/>
    </row>
    <row r="802" spans="1:29" ht="14.25" customHeight="1">
      <c r="A802" s="120"/>
      <c r="B802" s="120"/>
      <c r="C802" s="120"/>
      <c r="D802" s="121"/>
      <c r="E802" s="121"/>
      <c r="F802" s="120"/>
      <c r="G802" s="120"/>
      <c r="H802" s="121"/>
      <c r="I802" s="121"/>
      <c r="J802" s="121"/>
      <c r="K802" s="120"/>
      <c r="L802" s="120"/>
      <c r="M802" s="122"/>
      <c r="N802" s="121"/>
      <c r="O802" s="121"/>
      <c r="P802" s="121"/>
      <c r="Q802" s="121"/>
      <c r="R802" s="120"/>
      <c r="S802" s="120"/>
      <c r="T802" s="120"/>
      <c r="U802" s="190"/>
      <c r="V802" s="190"/>
      <c r="W802" s="190"/>
      <c r="X802" s="190"/>
      <c r="Y802" s="190"/>
      <c r="Z802" s="190"/>
      <c r="AA802" s="120"/>
      <c r="AB802" s="120"/>
      <c r="AC802" s="120"/>
    </row>
    <row r="803" spans="1:29" ht="14.25" customHeight="1">
      <c r="A803" s="120"/>
      <c r="B803" s="120"/>
      <c r="C803" s="120"/>
      <c r="D803" s="121"/>
      <c r="E803" s="121"/>
      <c r="F803" s="120"/>
      <c r="G803" s="120"/>
      <c r="H803" s="121"/>
      <c r="I803" s="121"/>
      <c r="J803" s="121"/>
      <c r="K803" s="120"/>
      <c r="L803" s="120"/>
      <c r="M803" s="122"/>
      <c r="N803" s="121"/>
      <c r="O803" s="121"/>
      <c r="P803" s="121"/>
      <c r="Q803" s="121"/>
      <c r="R803" s="120"/>
      <c r="S803" s="120"/>
      <c r="T803" s="120"/>
      <c r="U803" s="190"/>
      <c r="V803" s="190"/>
      <c r="W803" s="190"/>
      <c r="X803" s="190"/>
      <c r="Y803" s="190"/>
      <c r="Z803" s="190"/>
      <c r="AA803" s="120"/>
      <c r="AB803" s="120"/>
      <c r="AC803" s="120"/>
    </row>
    <row r="804" spans="1:29" ht="14.25" customHeight="1">
      <c r="A804" s="120"/>
      <c r="B804" s="120"/>
      <c r="C804" s="120"/>
      <c r="D804" s="121"/>
      <c r="E804" s="121"/>
      <c r="F804" s="120"/>
      <c r="G804" s="120"/>
      <c r="H804" s="121"/>
      <c r="I804" s="121"/>
      <c r="J804" s="121"/>
      <c r="K804" s="120"/>
      <c r="L804" s="120"/>
      <c r="M804" s="122"/>
      <c r="N804" s="121"/>
      <c r="O804" s="121"/>
      <c r="P804" s="121"/>
      <c r="Q804" s="121"/>
      <c r="R804" s="120"/>
      <c r="S804" s="120"/>
      <c r="T804" s="120"/>
      <c r="U804" s="190"/>
      <c r="V804" s="190"/>
      <c r="W804" s="190"/>
      <c r="X804" s="190"/>
      <c r="Y804" s="190"/>
      <c r="Z804" s="190"/>
      <c r="AA804" s="120"/>
      <c r="AB804" s="120"/>
      <c r="AC804" s="120"/>
    </row>
    <row r="805" spans="1:29" ht="14.25" customHeight="1">
      <c r="A805" s="120"/>
      <c r="B805" s="120"/>
      <c r="C805" s="120"/>
      <c r="D805" s="121"/>
      <c r="E805" s="121"/>
      <c r="F805" s="120"/>
      <c r="G805" s="120"/>
      <c r="H805" s="121"/>
      <c r="I805" s="121"/>
      <c r="J805" s="121"/>
      <c r="K805" s="120"/>
      <c r="L805" s="120"/>
      <c r="M805" s="122"/>
      <c r="N805" s="121"/>
      <c r="O805" s="121"/>
      <c r="P805" s="121"/>
      <c r="Q805" s="121"/>
      <c r="R805" s="120"/>
      <c r="S805" s="120"/>
      <c r="T805" s="120"/>
      <c r="U805" s="190"/>
      <c r="V805" s="190"/>
      <c r="W805" s="190"/>
      <c r="X805" s="190"/>
      <c r="Y805" s="190"/>
      <c r="Z805" s="190"/>
      <c r="AA805" s="120"/>
      <c r="AB805" s="120"/>
      <c r="AC805" s="120"/>
    </row>
    <row r="806" spans="1:29" ht="14.25" customHeight="1">
      <c r="A806" s="120"/>
      <c r="B806" s="120"/>
      <c r="C806" s="120"/>
      <c r="D806" s="121"/>
      <c r="E806" s="121"/>
      <c r="F806" s="120"/>
      <c r="G806" s="120"/>
      <c r="H806" s="121"/>
      <c r="I806" s="121"/>
      <c r="J806" s="121"/>
      <c r="K806" s="120"/>
      <c r="L806" s="120"/>
      <c r="M806" s="122"/>
      <c r="N806" s="121"/>
      <c r="O806" s="121"/>
      <c r="P806" s="121"/>
      <c r="Q806" s="121"/>
      <c r="R806" s="120"/>
      <c r="S806" s="120"/>
      <c r="T806" s="120"/>
      <c r="U806" s="190"/>
      <c r="V806" s="190"/>
      <c r="W806" s="190"/>
      <c r="X806" s="190"/>
      <c r="Y806" s="190"/>
      <c r="Z806" s="190"/>
      <c r="AA806" s="120"/>
      <c r="AB806" s="120"/>
      <c r="AC806" s="120"/>
    </row>
    <row r="807" spans="1:29" ht="14.25" customHeight="1">
      <c r="A807" s="120"/>
      <c r="B807" s="120"/>
      <c r="C807" s="120"/>
      <c r="D807" s="121"/>
      <c r="E807" s="121"/>
      <c r="F807" s="120"/>
      <c r="G807" s="120"/>
      <c r="H807" s="121"/>
      <c r="I807" s="121"/>
      <c r="J807" s="121"/>
      <c r="K807" s="120"/>
      <c r="L807" s="120"/>
      <c r="M807" s="122"/>
      <c r="N807" s="121"/>
      <c r="O807" s="121"/>
      <c r="P807" s="121"/>
      <c r="Q807" s="121"/>
      <c r="R807" s="120"/>
      <c r="S807" s="120"/>
      <c r="T807" s="120"/>
      <c r="U807" s="190"/>
      <c r="V807" s="190"/>
      <c r="W807" s="190"/>
      <c r="X807" s="190"/>
      <c r="Y807" s="190"/>
      <c r="Z807" s="190"/>
      <c r="AA807" s="120"/>
      <c r="AB807" s="120"/>
      <c r="AC807" s="120"/>
    </row>
    <row r="808" spans="1:29" ht="14.25" customHeight="1">
      <c r="A808" s="120"/>
      <c r="B808" s="120"/>
      <c r="C808" s="120"/>
      <c r="D808" s="121"/>
      <c r="E808" s="121"/>
      <c r="F808" s="120"/>
      <c r="G808" s="120"/>
      <c r="H808" s="121"/>
      <c r="I808" s="121"/>
      <c r="J808" s="121"/>
      <c r="K808" s="120"/>
      <c r="L808" s="120"/>
      <c r="M808" s="122"/>
      <c r="N808" s="121"/>
      <c r="O808" s="121"/>
      <c r="P808" s="121"/>
      <c r="Q808" s="121"/>
      <c r="R808" s="120"/>
      <c r="S808" s="120"/>
      <c r="T808" s="120"/>
      <c r="U808" s="190"/>
      <c r="V808" s="190"/>
      <c r="W808" s="190"/>
      <c r="X808" s="190"/>
      <c r="Y808" s="190"/>
      <c r="Z808" s="190"/>
      <c r="AA808" s="120"/>
      <c r="AB808" s="120"/>
      <c r="AC808" s="120"/>
    </row>
    <row r="809" spans="1:29" ht="14.25" customHeight="1">
      <c r="A809" s="120"/>
      <c r="B809" s="120"/>
      <c r="C809" s="120"/>
      <c r="D809" s="121"/>
      <c r="E809" s="121"/>
      <c r="F809" s="120"/>
      <c r="G809" s="120"/>
      <c r="H809" s="121"/>
      <c r="I809" s="121"/>
      <c r="J809" s="121"/>
      <c r="K809" s="120"/>
      <c r="L809" s="120"/>
      <c r="M809" s="122"/>
      <c r="N809" s="121"/>
      <c r="O809" s="121"/>
      <c r="P809" s="121"/>
      <c r="Q809" s="121"/>
      <c r="R809" s="120"/>
      <c r="S809" s="120"/>
      <c r="T809" s="120"/>
      <c r="U809" s="190"/>
      <c r="V809" s="190"/>
      <c r="W809" s="190"/>
      <c r="X809" s="190"/>
      <c r="Y809" s="190"/>
      <c r="Z809" s="190"/>
      <c r="AA809" s="120"/>
      <c r="AB809" s="120"/>
      <c r="AC809" s="120"/>
    </row>
    <row r="810" spans="1:29" ht="14.25" customHeight="1">
      <c r="A810" s="120"/>
      <c r="B810" s="120"/>
      <c r="C810" s="120"/>
      <c r="D810" s="121"/>
      <c r="E810" s="121"/>
      <c r="F810" s="120"/>
      <c r="G810" s="120"/>
      <c r="H810" s="121"/>
      <c r="I810" s="121"/>
      <c r="J810" s="121"/>
      <c r="K810" s="120"/>
      <c r="L810" s="120"/>
      <c r="M810" s="122"/>
      <c r="N810" s="121"/>
      <c r="O810" s="121"/>
      <c r="P810" s="121"/>
      <c r="Q810" s="121"/>
      <c r="R810" s="120"/>
      <c r="S810" s="120"/>
      <c r="T810" s="120"/>
      <c r="U810" s="190"/>
      <c r="V810" s="190"/>
      <c r="W810" s="190"/>
      <c r="X810" s="190"/>
      <c r="Y810" s="190"/>
      <c r="Z810" s="190"/>
      <c r="AA810" s="120"/>
      <c r="AB810" s="120"/>
      <c r="AC810" s="120"/>
    </row>
    <row r="811" spans="1:29" ht="14.25" customHeight="1">
      <c r="A811" s="120"/>
      <c r="B811" s="120"/>
      <c r="C811" s="120"/>
      <c r="D811" s="121"/>
      <c r="E811" s="121"/>
      <c r="F811" s="120"/>
      <c r="G811" s="120"/>
      <c r="H811" s="121"/>
      <c r="I811" s="121"/>
      <c r="J811" s="121"/>
      <c r="K811" s="120"/>
      <c r="L811" s="120"/>
      <c r="M811" s="122"/>
      <c r="N811" s="121"/>
      <c r="O811" s="121"/>
      <c r="P811" s="121"/>
      <c r="Q811" s="121"/>
      <c r="R811" s="120"/>
      <c r="S811" s="120"/>
      <c r="T811" s="120"/>
      <c r="U811" s="190"/>
      <c r="V811" s="190"/>
      <c r="W811" s="190"/>
      <c r="X811" s="190"/>
      <c r="Y811" s="190"/>
      <c r="Z811" s="190"/>
      <c r="AA811" s="120"/>
      <c r="AB811" s="120"/>
      <c r="AC811" s="120"/>
    </row>
    <row r="812" spans="1:29" ht="14.25" customHeight="1">
      <c r="A812" s="120"/>
      <c r="B812" s="120"/>
      <c r="C812" s="120"/>
      <c r="D812" s="121"/>
      <c r="E812" s="121"/>
      <c r="F812" s="120"/>
      <c r="G812" s="120"/>
      <c r="H812" s="121"/>
      <c r="I812" s="121"/>
      <c r="J812" s="121"/>
      <c r="K812" s="120"/>
      <c r="L812" s="120"/>
      <c r="M812" s="122"/>
      <c r="N812" s="121"/>
      <c r="O812" s="121"/>
      <c r="P812" s="121"/>
      <c r="Q812" s="121"/>
      <c r="R812" s="120"/>
      <c r="S812" s="120"/>
      <c r="T812" s="120"/>
      <c r="U812" s="190"/>
      <c r="V812" s="190"/>
      <c r="W812" s="190"/>
      <c r="X812" s="190"/>
      <c r="Y812" s="190"/>
      <c r="Z812" s="190"/>
      <c r="AA812" s="120"/>
      <c r="AB812" s="120"/>
      <c r="AC812" s="120"/>
    </row>
    <row r="813" spans="1:29" ht="14.25" customHeight="1">
      <c r="A813" s="120"/>
      <c r="B813" s="120"/>
      <c r="C813" s="120"/>
      <c r="D813" s="121"/>
      <c r="E813" s="121"/>
      <c r="F813" s="120"/>
      <c r="G813" s="120"/>
      <c r="H813" s="121"/>
      <c r="I813" s="121"/>
      <c r="J813" s="121"/>
      <c r="K813" s="120"/>
      <c r="L813" s="120"/>
      <c r="M813" s="122"/>
      <c r="N813" s="121"/>
      <c r="O813" s="121"/>
      <c r="P813" s="121"/>
      <c r="Q813" s="121"/>
      <c r="R813" s="120"/>
      <c r="S813" s="120"/>
      <c r="T813" s="120"/>
      <c r="U813" s="190"/>
      <c r="V813" s="190"/>
      <c r="W813" s="190"/>
      <c r="X813" s="190"/>
      <c r="Y813" s="190"/>
      <c r="Z813" s="190"/>
      <c r="AA813" s="120"/>
      <c r="AB813" s="120"/>
      <c r="AC813" s="120"/>
    </row>
    <row r="814" spans="1:29" ht="14.25" customHeight="1">
      <c r="A814" s="120"/>
      <c r="B814" s="120"/>
      <c r="C814" s="120"/>
      <c r="D814" s="121"/>
      <c r="E814" s="121"/>
      <c r="F814" s="120"/>
      <c r="G814" s="120"/>
      <c r="H814" s="121"/>
      <c r="I814" s="121"/>
      <c r="J814" s="121"/>
      <c r="K814" s="120"/>
      <c r="L814" s="120"/>
      <c r="M814" s="122"/>
      <c r="N814" s="121"/>
      <c r="O814" s="121"/>
      <c r="P814" s="121"/>
      <c r="Q814" s="121"/>
      <c r="R814" s="120"/>
      <c r="S814" s="120"/>
      <c r="T814" s="120"/>
      <c r="U814" s="190"/>
      <c r="V814" s="190"/>
      <c r="W814" s="190"/>
      <c r="X814" s="190"/>
      <c r="Y814" s="190"/>
      <c r="Z814" s="190"/>
      <c r="AA814" s="120"/>
      <c r="AB814" s="120"/>
      <c r="AC814" s="120"/>
    </row>
    <row r="815" spans="1:29" ht="14.25" customHeight="1">
      <c r="A815" s="120"/>
      <c r="B815" s="120"/>
      <c r="C815" s="120"/>
      <c r="D815" s="121"/>
      <c r="E815" s="121"/>
      <c r="F815" s="120"/>
      <c r="G815" s="120"/>
      <c r="H815" s="121"/>
      <c r="I815" s="121"/>
      <c r="J815" s="121"/>
      <c r="K815" s="120"/>
      <c r="L815" s="120"/>
      <c r="M815" s="122"/>
      <c r="N815" s="121"/>
      <c r="O815" s="121"/>
      <c r="P815" s="121"/>
      <c r="Q815" s="121"/>
      <c r="R815" s="120"/>
      <c r="S815" s="120"/>
      <c r="T815" s="120"/>
      <c r="U815" s="190"/>
      <c r="V815" s="190"/>
      <c r="W815" s="190"/>
      <c r="X815" s="190"/>
      <c r="Y815" s="190"/>
      <c r="Z815" s="190"/>
      <c r="AA815" s="120"/>
      <c r="AB815" s="120"/>
      <c r="AC815" s="120"/>
    </row>
    <row r="816" spans="1:29" ht="14.25" customHeight="1">
      <c r="A816" s="120"/>
      <c r="B816" s="120"/>
      <c r="C816" s="120"/>
      <c r="D816" s="121"/>
      <c r="E816" s="121"/>
      <c r="F816" s="120"/>
      <c r="G816" s="120"/>
      <c r="H816" s="121"/>
      <c r="I816" s="121"/>
      <c r="J816" s="121"/>
      <c r="K816" s="120"/>
      <c r="L816" s="120"/>
      <c r="M816" s="122"/>
      <c r="N816" s="121"/>
      <c r="O816" s="121"/>
      <c r="P816" s="121"/>
      <c r="Q816" s="121"/>
      <c r="R816" s="120"/>
      <c r="S816" s="120"/>
      <c r="T816" s="120"/>
      <c r="U816" s="190"/>
      <c r="V816" s="190"/>
      <c r="W816" s="190"/>
      <c r="X816" s="190"/>
      <c r="Y816" s="190"/>
      <c r="Z816" s="190"/>
      <c r="AA816" s="120"/>
      <c r="AB816" s="120"/>
      <c r="AC816" s="120"/>
    </row>
    <row r="817" spans="1:29" ht="14.25" customHeight="1">
      <c r="A817" s="120"/>
      <c r="B817" s="120"/>
      <c r="C817" s="120"/>
      <c r="D817" s="121"/>
      <c r="E817" s="121"/>
      <c r="F817" s="120"/>
      <c r="G817" s="120"/>
      <c r="H817" s="121"/>
      <c r="I817" s="121"/>
      <c r="J817" s="121"/>
      <c r="K817" s="120"/>
      <c r="L817" s="120"/>
      <c r="M817" s="122"/>
      <c r="N817" s="121"/>
      <c r="O817" s="121"/>
      <c r="P817" s="121"/>
      <c r="Q817" s="121"/>
      <c r="R817" s="120"/>
      <c r="S817" s="120"/>
      <c r="T817" s="120"/>
      <c r="U817" s="190"/>
      <c r="V817" s="190"/>
      <c r="W817" s="190"/>
      <c r="X817" s="190"/>
      <c r="Y817" s="190"/>
      <c r="Z817" s="190"/>
      <c r="AA817" s="120"/>
      <c r="AB817" s="120"/>
      <c r="AC817" s="120"/>
    </row>
    <row r="818" spans="1:29" ht="14.25" customHeight="1">
      <c r="A818" s="120"/>
      <c r="B818" s="120"/>
      <c r="C818" s="120"/>
      <c r="D818" s="121"/>
      <c r="E818" s="121"/>
      <c r="F818" s="120"/>
      <c r="G818" s="120"/>
      <c r="H818" s="121"/>
      <c r="I818" s="121"/>
      <c r="J818" s="121"/>
      <c r="K818" s="120"/>
      <c r="L818" s="120"/>
      <c r="M818" s="122"/>
      <c r="N818" s="121"/>
      <c r="O818" s="121"/>
      <c r="P818" s="121"/>
      <c r="Q818" s="121"/>
      <c r="R818" s="120"/>
      <c r="S818" s="120"/>
      <c r="T818" s="120"/>
      <c r="U818" s="190"/>
      <c r="V818" s="190"/>
      <c r="W818" s="190"/>
      <c r="X818" s="190"/>
      <c r="Y818" s="190"/>
      <c r="Z818" s="190"/>
      <c r="AA818" s="120"/>
      <c r="AB818" s="120"/>
      <c r="AC818" s="120"/>
    </row>
    <row r="819" spans="1:29" ht="14.25" customHeight="1">
      <c r="A819" s="120"/>
      <c r="B819" s="120"/>
      <c r="C819" s="120"/>
      <c r="D819" s="121"/>
      <c r="E819" s="121"/>
      <c r="F819" s="120"/>
      <c r="G819" s="120"/>
      <c r="H819" s="121"/>
      <c r="I819" s="121"/>
      <c r="J819" s="121"/>
      <c r="K819" s="120"/>
      <c r="L819" s="120"/>
      <c r="M819" s="122"/>
      <c r="N819" s="121"/>
      <c r="O819" s="121"/>
      <c r="P819" s="121"/>
      <c r="Q819" s="121"/>
      <c r="R819" s="120"/>
      <c r="S819" s="120"/>
      <c r="T819" s="120"/>
      <c r="U819" s="190"/>
      <c r="V819" s="190"/>
      <c r="W819" s="190"/>
      <c r="X819" s="190"/>
      <c r="Y819" s="190"/>
      <c r="Z819" s="190"/>
      <c r="AA819" s="120"/>
      <c r="AB819" s="120"/>
      <c r="AC819" s="120"/>
    </row>
    <row r="820" spans="1:29" ht="14.25" customHeight="1">
      <c r="A820" s="120"/>
      <c r="B820" s="120"/>
      <c r="C820" s="120"/>
      <c r="D820" s="121"/>
      <c r="E820" s="121"/>
      <c r="F820" s="120"/>
      <c r="G820" s="120"/>
      <c r="H820" s="121"/>
      <c r="I820" s="121"/>
      <c r="J820" s="121"/>
      <c r="K820" s="120"/>
      <c r="L820" s="120"/>
      <c r="M820" s="122"/>
      <c r="N820" s="121"/>
      <c r="O820" s="121"/>
      <c r="P820" s="121"/>
      <c r="Q820" s="121"/>
      <c r="R820" s="120"/>
      <c r="S820" s="120"/>
      <c r="T820" s="120"/>
      <c r="U820" s="190"/>
      <c r="V820" s="190"/>
      <c r="W820" s="190"/>
      <c r="X820" s="190"/>
      <c r="Y820" s="190"/>
      <c r="Z820" s="190"/>
      <c r="AA820" s="120"/>
      <c r="AB820" s="120"/>
      <c r="AC820" s="120"/>
    </row>
    <row r="821" spans="1:29" ht="14.25" customHeight="1">
      <c r="A821" s="120"/>
      <c r="B821" s="120"/>
      <c r="C821" s="120"/>
      <c r="D821" s="121"/>
      <c r="E821" s="121"/>
      <c r="F821" s="120"/>
      <c r="G821" s="120"/>
      <c r="H821" s="121"/>
      <c r="I821" s="121"/>
      <c r="J821" s="121"/>
      <c r="K821" s="120"/>
      <c r="L821" s="120"/>
      <c r="M821" s="122"/>
      <c r="N821" s="121"/>
      <c r="O821" s="121"/>
      <c r="P821" s="121"/>
      <c r="Q821" s="121"/>
      <c r="R821" s="120"/>
      <c r="S821" s="120"/>
      <c r="T821" s="120"/>
      <c r="U821" s="190"/>
      <c r="V821" s="190"/>
      <c r="W821" s="190"/>
      <c r="X821" s="190"/>
      <c r="Y821" s="190"/>
      <c r="Z821" s="190"/>
      <c r="AA821" s="120"/>
      <c r="AB821" s="120"/>
      <c r="AC821" s="120"/>
    </row>
    <row r="822" spans="1:29" ht="14.25" customHeight="1">
      <c r="A822" s="120"/>
      <c r="B822" s="120"/>
      <c r="C822" s="120"/>
      <c r="D822" s="121"/>
      <c r="E822" s="121"/>
      <c r="F822" s="120"/>
      <c r="G822" s="120"/>
      <c r="H822" s="121"/>
      <c r="I822" s="121"/>
      <c r="J822" s="121"/>
      <c r="K822" s="120"/>
      <c r="L822" s="120"/>
      <c r="M822" s="122"/>
      <c r="N822" s="121"/>
      <c r="O822" s="121"/>
      <c r="P822" s="121"/>
      <c r="Q822" s="121"/>
      <c r="R822" s="120"/>
      <c r="S822" s="120"/>
      <c r="T822" s="120"/>
      <c r="U822" s="190"/>
      <c r="V822" s="190"/>
      <c r="W822" s="190"/>
      <c r="X822" s="190"/>
      <c r="Y822" s="190"/>
      <c r="Z822" s="190"/>
      <c r="AA822" s="120"/>
      <c r="AB822" s="120"/>
      <c r="AC822" s="120"/>
    </row>
    <row r="823" spans="1:29" ht="14.25" customHeight="1">
      <c r="A823" s="120"/>
      <c r="B823" s="120"/>
      <c r="C823" s="120"/>
      <c r="D823" s="121"/>
      <c r="E823" s="121"/>
      <c r="F823" s="120"/>
      <c r="G823" s="120"/>
      <c r="H823" s="121"/>
      <c r="I823" s="121"/>
      <c r="J823" s="121"/>
      <c r="K823" s="120"/>
      <c r="L823" s="120"/>
      <c r="M823" s="122"/>
      <c r="N823" s="121"/>
      <c r="O823" s="121"/>
      <c r="P823" s="121"/>
      <c r="Q823" s="121"/>
      <c r="R823" s="120"/>
      <c r="S823" s="120"/>
      <c r="T823" s="120"/>
      <c r="U823" s="190"/>
      <c r="V823" s="190"/>
      <c r="W823" s="190"/>
      <c r="X823" s="190"/>
      <c r="Y823" s="190"/>
      <c r="Z823" s="190"/>
      <c r="AA823" s="120"/>
      <c r="AB823" s="120"/>
      <c r="AC823" s="120"/>
    </row>
    <row r="824" spans="1:29" ht="14.25" customHeight="1">
      <c r="A824" s="120"/>
      <c r="B824" s="120"/>
      <c r="C824" s="120"/>
      <c r="D824" s="121"/>
      <c r="E824" s="121"/>
      <c r="F824" s="120"/>
      <c r="G824" s="120"/>
      <c r="H824" s="121"/>
      <c r="I824" s="121"/>
      <c r="J824" s="121"/>
      <c r="K824" s="120"/>
      <c r="L824" s="120"/>
      <c r="M824" s="122"/>
      <c r="N824" s="121"/>
      <c r="O824" s="121"/>
      <c r="P824" s="121"/>
      <c r="Q824" s="121"/>
      <c r="R824" s="120"/>
      <c r="S824" s="120"/>
      <c r="T824" s="120"/>
      <c r="U824" s="190"/>
      <c r="V824" s="190"/>
      <c r="W824" s="190"/>
      <c r="X824" s="190"/>
      <c r="Y824" s="190"/>
      <c r="Z824" s="190"/>
      <c r="AA824" s="120"/>
      <c r="AB824" s="120"/>
      <c r="AC824" s="120"/>
    </row>
    <row r="825" spans="1:29" ht="14.25" customHeight="1">
      <c r="A825" s="120"/>
      <c r="B825" s="120"/>
      <c r="C825" s="120"/>
      <c r="D825" s="121"/>
      <c r="E825" s="121"/>
      <c r="F825" s="120"/>
      <c r="G825" s="120"/>
      <c r="H825" s="121"/>
      <c r="I825" s="121"/>
      <c r="J825" s="121"/>
      <c r="K825" s="120"/>
      <c r="L825" s="120"/>
      <c r="M825" s="122"/>
      <c r="N825" s="121"/>
      <c r="O825" s="121"/>
      <c r="P825" s="121"/>
      <c r="Q825" s="121"/>
      <c r="R825" s="120"/>
      <c r="S825" s="120"/>
      <c r="T825" s="120"/>
      <c r="U825" s="190"/>
      <c r="V825" s="190"/>
      <c r="W825" s="190"/>
      <c r="X825" s="190"/>
      <c r="Y825" s="190"/>
      <c r="Z825" s="190"/>
      <c r="AA825" s="120"/>
      <c r="AB825" s="120"/>
      <c r="AC825" s="120"/>
    </row>
    <row r="826" spans="1:29" ht="14.25" customHeight="1">
      <c r="A826" s="120"/>
      <c r="B826" s="120"/>
      <c r="C826" s="120"/>
      <c r="D826" s="121"/>
      <c r="E826" s="121"/>
      <c r="F826" s="120"/>
      <c r="G826" s="120"/>
      <c r="H826" s="121"/>
      <c r="I826" s="121"/>
      <c r="J826" s="121"/>
      <c r="K826" s="120"/>
      <c r="L826" s="120"/>
      <c r="M826" s="122"/>
      <c r="N826" s="121"/>
      <c r="O826" s="121"/>
      <c r="P826" s="121"/>
      <c r="Q826" s="121"/>
      <c r="R826" s="120"/>
      <c r="S826" s="120"/>
      <c r="T826" s="120"/>
      <c r="U826" s="190"/>
      <c r="V826" s="190"/>
      <c r="W826" s="190"/>
      <c r="X826" s="190"/>
      <c r="Y826" s="190"/>
      <c r="Z826" s="190"/>
      <c r="AA826" s="120"/>
      <c r="AB826" s="120"/>
      <c r="AC826" s="120"/>
    </row>
    <row r="827" spans="1:29" ht="14.25" customHeight="1">
      <c r="A827" s="120"/>
      <c r="B827" s="120"/>
      <c r="C827" s="120"/>
      <c r="D827" s="121"/>
      <c r="E827" s="121"/>
      <c r="F827" s="120"/>
      <c r="G827" s="120"/>
      <c r="H827" s="121"/>
      <c r="I827" s="121"/>
      <c r="J827" s="121"/>
      <c r="K827" s="120"/>
      <c r="L827" s="120"/>
      <c r="M827" s="122"/>
      <c r="N827" s="121"/>
      <c r="O827" s="121"/>
      <c r="P827" s="121"/>
      <c r="Q827" s="121"/>
      <c r="R827" s="120"/>
      <c r="S827" s="120"/>
      <c r="T827" s="120"/>
      <c r="U827" s="190"/>
      <c r="V827" s="190"/>
      <c r="W827" s="190"/>
      <c r="X827" s="190"/>
      <c r="Y827" s="190"/>
      <c r="Z827" s="190"/>
      <c r="AA827" s="120"/>
      <c r="AB827" s="120"/>
      <c r="AC827" s="120"/>
    </row>
    <row r="828" spans="1:29" ht="14.25" customHeight="1">
      <c r="A828" s="120"/>
      <c r="B828" s="120"/>
      <c r="C828" s="120"/>
      <c r="D828" s="121"/>
      <c r="E828" s="121"/>
      <c r="F828" s="120"/>
      <c r="G828" s="120"/>
      <c r="H828" s="121"/>
      <c r="I828" s="121"/>
      <c r="J828" s="121"/>
      <c r="K828" s="120"/>
      <c r="L828" s="120"/>
      <c r="M828" s="122"/>
      <c r="N828" s="121"/>
      <c r="O828" s="121"/>
      <c r="P828" s="121"/>
      <c r="Q828" s="121"/>
      <c r="R828" s="120"/>
      <c r="S828" s="120"/>
      <c r="T828" s="120"/>
      <c r="U828" s="190"/>
      <c r="V828" s="190"/>
      <c r="W828" s="190"/>
      <c r="X828" s="190"/>
      <c r="Y828" s="190"/>
      <c r="Z828" s="190"/>
      <c r="AA828" s="120"/>
      <c r="AB828" s="120"/>
      <c r="AC828" s="120"/>
    </row>
    <row r="829" spans="1:29" ht="14.25" customHeight="1">
      <c r="A829" s="120"/>
      <c r="B829" s="120"/>
      <c r="C829" s="120"/>
      <c r="D829" s="121"/>
      <c r="E829" s="121"/>
      <c r="F829" s="120"/>
      <c r="G829" s="120"/>
      <c r="H829" s="121"/>
      <c r="I829" s="121"/>
      <c r="J829" s="121"/>
      <c r="K829" s="120"/>
      <c r="L829" s="120"/>
      <c r="M829" s="122"/>
      <c r="N829" s="121"/>
      <c r="O829" s="121"/>
      <c r="P829" s="121"/>
      <c r="Q829" s="121"/>
      <c r="R829" s="120"/>
      <c r="S829" s="120"/>
      <c r="T829" s="120"/>
      <c r="U829" s="190"/>
      <c r="V829" s="190"/>
      <c r="W829" s="190"/>
      <c r="X829" s="190"/>
      <c r="Y829" s="190"/>
      <c r="Z829" s="190"/>
      <c r="AA829" s="120"/>
      <c r="AB829" s="120"/>
      <c r="AC829" s="120"/>
    </row>
    <row r="830" spans="1:29" ht="14.25" customHeight="1">
      <c r="A830" s="120"/>
      <c r="B830" s="120"/>
      <c r="C830" s="120"/>
      <c r="D830" s="121"/>
      <c r="E830" s="121"/>
      <c r="F830" s="120"/>
      <c r="G830" s="120"/>
      <c r="H830" s="121"/>
      <c r="I830" s="121"/>
      <c r="J830" s="121"/>
      <c r="K830" s="120"/>
      <c r="L830" s="120"/>
      <c r="M830" s="122"/>
      <c r="N830" s="121"/>
      <c r="O830" s="121"/>
      <c r="P830" s="121"/>
      <c r="Q830" s="121"/>
      <c r="R830" s="120"/>
      <c r="S830" s="120"/>
      <c r="T830" s="120"/>
      <c r="U830" s="190"/>
      <c r="V830" s="190"/>
      <c r="W830" s="190"/>
      <c r="X830" s="190"/>
      <c r="Y830" s="190"/>
      <c r="Z830" s="190"/>
      <c r="AA830" s="120"/>
      <c r="AB830" s="120"/>
      <c r="AC830" s="120"/>
    </row>
    <row r="831" spans="1:29" ht="14.25" customHeight="1">
      <c r="A831" s="120"/>
      <c r="B831" s="120"/>
      <c r="C831" s="120"/>
      <c r="D831" s="121"/>
      <c r="E831" s="121"/>
      <c r="F831" s="120"/>
      <c r="G831" s="120"/>
      <c r="H831" s="121"/>
      <c r="I831" s="121"/>
      <c r="J831" s="121"/>
      <c r="K831" s="120"/>
      <c r="L831" s="120"/>
      <c r="M831" s="122"/>
      <c r="N831" s="121"/>
      <c r="O831" s="121"/>
      <c r="P831" s="121"/>
      <c r="Q831" s="121"/>
      <c r="R831" s="120"/>
      <c r="S831" s="120"/>
      <c r="T831" s="120"/>
      <c r="U831" s="190"/>
      <c r="V831" s="190"/>
      <c r="W831" s="190"/>
      <c r="X831" s="190"/>
      <c r="Y831" s="190"/>
      <c r="Z831" s="190"/>
      <c r="AA831" s="120"/>
      <c r="AB831" s="120"/>
      <c r="AC831" s="120"/>
    </row>
    <row r="832" spans="1:29" ht="14.25" customHeight="1">
      <c r="A832" s="120"/>
      <c r="B832" s="120"/>
      <c r="C832" s="120"/>
      <c r="D832" s="121"/>
      <c r="E832" s="121"/>
      <c r="F832" s="120"/>
      <c r="G832" s="120"/>
      <c r="H832" s="121"/>
      <c r="I832" s="121"/>
      <c r="J832" s="121"/>
      <c r="K832" s="120"/>
      <c r="L832" s="120"/>
      <c r="M832" s="122"/>
      <c r="N832" s="121"/>
      <c r="O832" s="121"/>
      <c r="P832" s="121"/>
      <c r="Q832" s="121"/>
      <c r="R832" s="120"/>
      <c r="S832" s="120"/>
      <c r="T832" s="120"/>
      <c r="U832" s="190"/>
      <c r="V832" s="190"/>
      <c r="W832" s="190"/>
      <c r="X832" s="190"/>
      <c r="Y832" s="190"/>
      <c r="Z832" s="190"/>
      <c r="AA832" s="120"/>
      <c r="AB832" s="120"/>
      <c r="AC832" s="120"/>
    </row>
    <row r="833" spans="1:29" ht="14.25" customHeight="1">
      <c r="A833" s="120"/>
      <c r="B833" s="120"/>
      <c r="C833" s="120"/>
      <c r="D833" s="121"/>
      <c r="E833" s="121"/>
      <c r="F833" s="120"/>
      <c r="G833" s="120"/>
      <c r="H833" s="121"/>
      <c r="I833" s="121"/>
      <c r="J833" s="121"/>
      <c r="K833" s="120"/>
      <c r="L833" s="120"/>
      <c r="M833" s="122"/>
      <c r="N833" s="121"/>
      <c r="O833" s="121"/>
      <c r="P833" s="121"/>
      <c r="Q833" s="121"/>
      <c r="R833" s="120"/>
      <c r="S833" s="120"/>
      <c r="T833" s="120"/>
      <c r="U833" s="190"/>
      <c r="V833" s="190"/>
      <c r="W833" s="190"/>
      <c r="X833" s="190"/>
      <c r="Y833" s="190"/>
      <c r="Z833" s="190"/>
      <c r="AA833" s="120"/>
      <c r="AB833" s="120"/>
      <c r="AC833" s="120"/>
    </row>
    <row r="834" spans="1:29" ht="14.25" customHeight="1">
      <c r="A834" s="120"/>
      <c r="B834" s="120"/>
      <c r="C834" s="120"/>
      <c r="D834" s="121"/>
      <c r="E834" s="121"/>
      <c r="F834" s="120"/>
      <c r="G834" s="120"/>
      <c r="H834" s="121"/>
      <c r="I834" s="121"/>
      <c r="J834" s="121"/>
      <c r="K834" s="120"/>
      <c r="L834" s="120"/>
      <c r="M834" s="122"/>
      <c r="N834" s="121"/>
      <c r="O834" s="121"/>
      <c r="P834" s="121"/>
      <c r="Q834" s="121"/>
      <c r="R834" s="120"/>
      <c r="S834" s="120"/>
      <c r="T834" s="120"/>
      <c r="U834" s="190"/>
      <c r="V834" s="190"/>
      <c r="W834" s="190"/>
      <c r="X834" s="190"/>
      <c r="Y834" s="190"/>
      <c r="Z834" s="190"/>
      <c r="AA834" s="120"/>
      <c r="AB834" s="120"/>
      <c r="AC834" s="120"/>
    </row>
    <row r="835" spans="1:29" ht="14.25" customHeight="1">
      <c r="A835" s="120"/>
      <c r="B835" s="120"/>
      <c r="C835" s="120"/>
      <c r="D835" s="121"/>
      <c r="E835" s="121"/>
      <c r="F835" s="120"/>
      <c r="G835" s="120"/>
      <c r="H835" s="121"/>
      <c r="I835" s="121"/>
      <c r="J835" s="121"/>
      <c r="K835" s="120"/>
      <c r="L835" s="120"/>
      <c r="M835" s="122"/>
      <c r="N835" s="121"/>
      <c r="O835" s="121"/>
      <c r="P835" s="121"/>
      <c r="Q835" s="121"/>
      <c r="R835" s="120"/>
      <c r="S835" s="120"/>
      <c r="T835" s="120"/>
      <c r="U835" s="190"/>
      <c r="V835" s="190"/>
      <c r="W835" s="190"/>
      <c r="X835" s="190"/>
      <c r="Y835" s="190"/>
      <c r="Z835" s="190"/>
      <c r="AA835" s="120"/>
      <c r="AB835" s="120"/>
      <c r="AC835" s="120"/>
    </row>
    <row r="836" spans="1:29" ht="14.25" customHeight="1">
      <c r="A836" s="120"/>
      <c r="B836" s="120"/>
      <c r="C836" s="120"/>
      <c r="D836" s="121"/>
      <c r="E836" s="121"/>
      <c r="F836" s="120"/>
      <c r="G836" s="120"/>
      <c r="H836" s="121"/>
      <c r="I836" s="121"/>
      <c r="J836" s="121"/>
      <c r="K836" s="120"/>
      <c r="L836" s="120"/>
      <c r="M836" s="122"/>
      <c r="N836" s="121"/>
      <c r="O836" s="121"/>
      <c r="P836" s="121"/>
      <c r="Q836" s="121"/>
      <c r="R836" s="120"/>
      <c r="S836" s="120"/>
      <c r="T836" s="120"/>
      <c r="U836" s="190"/>
      <c r="V836" s="190"/>
      <c r="W836" s="190"/>
      <c r="X836" s="190"/>
      <c r="Y836" s="190"/>
      <c r="Z836" s="190"/>
      <c r="AA836" s="120"/>
      <c r="AB836" s="120"/>
      <c r="AC836" s="120"/>
    </row>
    <row r="837" spans="1:29" ht="14.25" customHeight="1">
      <c r="A837" s="120"/>
      <c r="B837" s="120"/>
      <c r="C837" s="120"/>
      <c r="D837" s="121"/>
      <c r="E837" s="121"/>
      <c r="F837" s="120"/>
      <c r="G837" s="120"/>
      <c r="H837" s="121"/>
      <c r="I837" s="121"/>
      <c r="J837" s="121"/>
      <c r="K837" s="120"/>
      <c r="L837" s="120"/>
      <c r="M837" s="122"/>
      <c r="N837" s="121"/>
      <c r="O837" s="121"/>
      <c r="P837" s="121"/>
      <c r="Q837" s="121"/>
      <c r="R837" s="120"/>
      <c r="S837" s="120"/>
      <c r="T837" s="120"/>
      <c r="U837" s="190"/>
      <c r="V837" s="190"/>
      <c r="W837" s="190"/>
      <c r="X837" s="190"/>
      <c r="Y837" s="190"/>
      <c r="Z837" s="190"/>
      <c r="AA837" s="120"/>
      <c r="AB837" s="120"/>
      <c r="AC837" s="120"/>
    </row>
    <row r="838" spans="1:29" ht="14.25" customHeight="1">
      <c r="A838" s="120"/>
      <c r="B838" s="120"/>
      <c r="C838" s="120"/>
      <c r="D838" s="121"/>
      <c r="E838" s="121"/>
      <c r="F838" s="120"/>
      <c r="G838" s="120"/>
      <c r="H838" s="121"/>
      <c r="I838" s="121"/>
      <c r="J838" s="121"/>
      <c r="K838" s="120"/>
      <c r="L838" s="120"/>
      <c r="M838" s="122"/>
      <c r="N838" s="121"/>
      <c r="O838" s="121"/>
      <c r="P838" s="121"/>
      <c r="Q838" s="121"/>
      <c r="R838" s="120"/>
      <c r="S838" s="120"/>
      <c r="T838" s="120"/>
      <c r="U838" s="190"/>
      <c r="V838" s="190"/>
      <c r="W838" s="190"/>
      <c r="X838" s="190"/>
      <c r="Y838" s="190"/>
      <c r="Z838" s="190"/>
      <c r="AA838" s="120"/>
      <c r="AB838" s="120"/>
      <c r="AC838" s="120"/>
    </row>
    <row r="839" spans="1:29" ht="14.25" customHeight="1">
      <c r="A839" s="120"/>
      <c r="B839" s="120"/>
      <c r="C839" s="120"/>
      <c r="D839" s="121"/>
      <c r="E839" s="121"/>
      <c r="F839" s="120"/>
      <c r="G839" s="120"/>
      <c r="H839" s="121"/>
      <c r="I839" s="121"/>
      <c r="J839" s="121"/>
      <c r="K839" s="120"/>
      <c r="L839" s="120"/>
      <c r="M839" s="122"/>
      <c r="N839" s="121"/>
      <c r="O839" s="121"/>
      <c r="P839" s="121"/>
      <c r="Q839" s="121"/>
      <c r="R839" s="120"/>
      <c r="S839" s="120"/>
      <c r="T839" s="120"/>
      <c r="U839" s="190"/>
      <c r="V839" s="190"/>
      <c r="W839" s="190"/>
      <c r="X839" s="190"/>
      <c r="Y839" s="190"/>
      <c r="Z839" s="190"/>
      <c r="AA839" s="120"/>
      <c r="AB839" s="120"/>
      <c r="AC839" s="120"/>
    </row>
    <row r="840" spans="1:29" ht="14.25" customHeight="1">
      <c r="A840" s="120"/>
      <c r="B840" s="120"/>
      <c r="C840" s="120"/>
      <c r="D840" s="121"/>
      <c r="E840" s="121"/>
      <c r="F840" s="120"/>
      <c r="G840" s="120"/>
      <c r="H840" s="121"/>
      <c r="I840" s="121"/>
      <c r="J840" s="121"/>
      <c r="K840" s="120"/>
      <c r="L840" s="120"/>
      <c r="M840" s="122"/>
      <c r="N840" s="121"/>
      <c r="O840" s="121"/>
      <c r="P840" s="121"/>
      <c r="Q840" s="121"/>
      <c r="R840" s="120"/>
      <c r="S840" s="120"/>
      <c r="T840" s="120"/>
      <c r="U840" s="190"/>
      <c r="V840" s="190"/>
      <c r="W840" s="190"/>
      <c r="X840" s="190"/>
      <c r="Y840" s="190"/>
      <c r="Z840" s="190"/>
      <c r="AA840" s="120"/>
      <c r="AB840" s="120"/>
      <c r="AC840" s="120"/>
    </row>
    <row r="841" spans="1:29" ht="14.25" customHeight="1">
      <c r="A841" s="120"/>
      <c r="B841" s="120"/>
      <c r="C841" s="120"/>
      <c r="D841" s="121"/>
      <c r="E841" s="121"/>
      <c r="F841" s="120"/>
      <c r="G841" s="120"/>
      <c r="H841" s="121"/>
      <c r="I841" s="121"/>
      <c r="J841" s="121"/>
      <c r="K841" s="120"/>
      <c r="L841" s="120"/>
      <c r="M841" s="122"/>
      <c r="N841" s="121"/>
      <c r="O841" s="121"/>
      <c r="P841" s="121"/>
      <c r="Q841" s="121"/>
      <c r="R841" s="120"/>
      <c r="S841" s="120"/>
      <c r="T841" s="120"/>
      <c r="U841" s="190"/>
      <c r="V841" s="190"/>
      <c r="W841" s="190"/>
      <c r="X841" s="190"/>
      <c r="Y841" s="190"/>
      <c r="Z841" s="190"/>
      <c r="AA841" s="120"/>
      <c r="AB841" s="120"/>
      <c r="AC841" s="120"/>
    </row>
    <row r="842" spans="1:29" ht="14.25" customHeight="1">
      <c r="A842" s="120"/>
      <c r="B842" s="120"/>
      <c r="C842" s="120"/>
      <c r="D842" s="121"/>
      <c r="E842" s="121"/>
      <c r="F842" s="120"/>
      <c r="G842" s="120"/>
      <c r="H842" s="121"/>
      <c r="I842" s="121"/>
      <c r="J842" s="121"/>
      <c r="K842" s="120"/>
      <c r="L842" s="120"/>
      <c r="M842" s="122"/>
      <c r="N842" s="121"/>
      <c r="O842" s="121"/>
      <c r="P842" s="121"/>
      <c r="Q842" s="121"/>
      <c r="R842" s="120"/>
      <c r="S842" s="120"/>
      <c r="T842" s="120"/>
      <c r="U842" s="190"/>
      <c r="V842" s="190"/>
      <c r="W842" s="190"/>
      <c r="X842" s="190"/>
      <c r="Y842" s="190"/>
      <c r="Z842" s="190"/>
      <c r="AA842" s="120"/>
      <c r="AB842" s="120"/>
      <c r="AC842" s="120"/>
    </row>
    <row r="843" spans="1:29" ht="14.25" customHeight="1">
      <c r="A843" s="120"/>
      <c r="B843" s="120"/>
      <c r="C843" s="120"/>
      <c r="D843" s="121"/>
      <c r="E843" s="121"/>
      <c r="F843" s="120"/>
      <c r="G843" s="120"/>
      <c r="H843" s="121"/>
      <c r="I843" s="121"/>
      <c r="J843" s="121"/>
      <c r="K843" s="120"/>
      <c r="L843" s="120"/>
      <c r="M843" s="122"/>
      <c r="N843" s="121"/>
      <c r="O843" s="121"/>
      <c r="P843" s="121"/>
      <c r="Q843" s="121"/>
      <c r="R843" s="120"/>
      <c r="S843" s="120"/>
      <c r="T843" s="120"/>
      <c r="U843" s="190"/>
      <c r="V843" s="190"/>
      <c r="W843" s="190"/>
      <c r="X843" s="190"/>
      <c r="Y843" s="190"/>
      <c r="Z843" s="190"/>
      <c r="AA843" s="120"/>
      <c r="AB843" s="120"/>
      <c r="AC843" s="120"/>
    </row>
    <row r="844" spans="1:29" ht="14.25" customHeight="1">
      <c r="A844" s="120"/>
      <c r="B844" s="120"/>
      <c r="C844" s="120"/>
      <c r="D844" s="121"/>
      <c r="E844" s="121"/>
      <c r="F844" s="120"/>
      <c r="G844" s="120"/>
      <c r="H844" s="121"/>
      <c r="I844" s="121"/>
      <c r="J844" s="121"/>
      <c r="K844" s="120"/>
      <c r="L844" s="120"/>
      <c r="M844" s="122"/>
      <c r="N844" s="121"/>
      <c r="O844" s="121"/>
      <c r="P844" s="121"/>
      <c r="Q844" s="121"/>
      <c r="R844" s="120"/>
      <c r="S844" s="120"/>
      <c r="T844" s="120"/>
      <c r="U844" s="190"/>
      <c r="V844" s="190"/>
      <c r="W844" s="190"/>
      <c r="X844" s="190"/>
      <c r="Y844" s="190"/>
      <c r="Z844" s="190"/>
      <c r="AA844" s="120"/>
      <c r="AB844" s="120"/>
      <c r="AC844" s="120"/>
    </row>
    <row r="845" spans="1:29" ht="14.25" customHeight="1">
      <c r="A845" s="120"/>
      <c r="B845" s="120"/>
      <c r="C845" s="120"/>
      <c r="D845" s="121"/>
      <c r="E845" s="121"/>
      <c r="F845" s="120"/>
      <c r="G845" s="120"/>
      <c r="H845" s="121"/>
      <c r="I845" s="121"/>
      <c r="J845" s="121"/>
      <c r="K845" s="120"/>
      <c r="L845" s="120"/>
      <c r="M845" s="122"/>
      <c r="N845" s="121"/>
      <c r="O845" s="121"/>
      <c r="P845" s="121"/>
      <c r="Q845" s="121"/>
      <c r="R845" s="120"/>
      <c r="S845" s="120"/>
      <c r="T845" s="120"/>
      <c r="U845" s="190"/>
      <c r="V845" s="190"/>
      <c r="W845" s="190"/>
      <c r="X845" s="190"/>
      <c r="Y845" s="190"/>
      <c r="Z845" s="190"/>
      <c r="AA845" s="120"/>
      <c r="AB845" s="120"/>
      <c r="AC845" s="120"/>
    </row>
    <row r="846" spans="1:29" ht="14.25" customHeight="1">
      <c r="A846" s="120"/>
      <c r="B846" s="120"/>
      <c r="C846" s="120"/>
      <c r="D846" s="121"/>
      <c r="E846" s="121"/>
      <c r="F846" s="120"/>
      <c r="G846" s="120"/>
      <c r="H846" s="121"/>
      <c r="I846" s="121"/>
      <c r="J846" s="121"/>
      <c r="K846" s="120"/>
      <c r="L846" s="120"/>
      <c r="M846" s="122"/>
      <c r="N846" s="121"/>
      <c r="O846" s="121"/>
      <c r="P846" s="121"/>
      <c r="Q846" s="121"/>
      <c r="R846" s="120"/>
      <c r="S846" s="120"/>
      <c r="T846" s="120"/>
      <c r="U846" s="190"/>
      <c r="V846" s="190"/>
      <c r="W846" s="190"/>
      <c r="X846" s="190"/>
      <c r="Y846" s="190"/>
      <c r="Z846" s="190"/>
      <c r="AA846" s="120"/>
      <c r="AB846" s="120"/>
      <c r="AC846" s="120"/>
    </row>
    <row r="847" spans="1:29" ht="14.25" customHeight="1">
      <c r="A847" s="120"/>
      <c r="B847" s="120"/>
      <c r="C847" s="120"/>
      <c r="D847" s="121"/>
      <c r="E847" s="121"/>
      <c r="F847" s="120"/>
      <c r="G847" s="120"/>
      <c r="H847" s="121"/>
      <c r="I847" s="121"/>
      <c r="J847" s="121"/>
      <c r="K847" s="120"/>
      <c r="L847" s="120"/>
      <c r="M847" s="122"/>
      <c r="N847" s="121"/>
      <c r="O847" s="121"/>
      <c r="P847" s="121"/>
      <c r="Q847" s="121"/>
      <c r="R847" s="120"/>
      <c r="S847" s="120"/>
      <c r="T847" s="120"/>
      <c r="U847" s="190"/>
      <c r="V847" s="190"/>
      <c r="W847" s="190"/>
      <c r="X847" s="190"/>
      <c r="Y847" s="190"/>
      <c r="Z847" s="190"/>
      <c r="AA847" s="120"/>
      <c r="AB847" s="120"/>
      <c r="AC847" s="120"/>
    </row>
    <row r="848" spans="1:29" ht="14.25" customHeight="1">
      <c r="A848" s="120"/>
      <c r="B848" s="120"/>
      <c r="C848" s="120"/>
      <c r="D848" s="121"/>
      <c r="E848" s="121"/>
      <c r="F848" s="120"/>
      <c r="G848" s="120"/>
      <c r="H848" s="121"/>
      <c r="I848" s="121"/>
      <c r="J848" s="121"/>
      <c r="K848" s="120"/>
      <c r="L848" s="120"/>
      <c r="M848" s="122"/>
      <c r="N848" s="121"/>
      <c r="O848" s="121"/>
      <c r="P848" s="121"/>
      <c r="Q848" s="121"/>
      <c r="R848" s="120"/>
      <c r="S848" s="120"/>
      <c r="T848" s="120"/>
      <c r="U848" s="190"/>
      <c r="V848" s="190"/>
      <c r="W848" s="190"/>
      <c r="X848" s="190"/>
      <c r="Y848" s="190"/>
      <c r="Z848" s="190"/>
      <c r="AA848" s="120"/>
      <c r="AB848" s="120"/>
      <c r="AC848" s="120"/>
    </row>
    <row r="849" spans="1:29" ht="14.25" customHeight="1">
      <c r="A849" s="120"/>
      <c r="B849" s="120"/>
      <c r="C849" s="120"/>
      <c r="D849" s="121"/>
      <c r="E849" s="121"/>
      <c r="F849" s="120"/>
      <c r="G849" s="120"/>
      <c r="H849" s="121"/>
      <c r="I849" s="121"/>
      <c r="J849" s="121"/>
      <c r="K849" s="120"/>
      <c r="L849" s="120"/>
      <c r="M849" s="122"/>
      <c r="N849" s="121"/>
      <c r="O849" s="121"/>
      <c r="P849" s="121"/>
      <c r="Q849" s="121"/>
      <c r="R849" s="120"/>
      <c r="S849" s="120"/>
      <c r="T849" s="120"/>
      <c r="U849" s="190"/>
      <c r="V849" s="190"/>
      <c r="W849" s="190"/>
      <c r="X849" s="190"/>
      <c r="Y849" s="190"/>
      <c r="Z849" s="190"/>
      <c r="AA849" s="120"/>
      <c r="AB849" s="120"/>
      <c r="AC849" s="120"/>
    </row>
    <row r="850" spans="1:29" ht="14.25" customHeight="1">
      <c r="A850" s="120"/>
      <c r="B850" s="120"/>
      <c r="C850" s="120"/>
      <c r="D850" s="121"/>
      <c r="E850" s="121"/>
      <c r="F850" s="120"/>
      <c r="G850" s="120"/>
      <c r="H850" s="121"/>
      <c r="I850" s="121"/>
      <c r="J850" s="121"/>
      <c r="K850" s="120"/>
      <c r="L850" s="120"/>
      <c r="M850" s="122"/>
      <c r="N850" s="121"/>
      <c r="O850" s="121"/>
      <c r="P850" s="121"/>
      <c r="Q850" s="121"/>
      <c r="R850" s="120"/>
      <c r="S850" s="120"/>
      <c r="T850" s="120"/>
      <c r="U850" s="190"/>
      <c r="V850" s="190"/>
      <c r="W850" s="190"/>
      <c r="X850" s="190"/>
      <c r="Y850" s="190"/>
      <c r="Z850" s="190"/>
      <c r="AA850" s="120"/>
      <c r="AB850" s="120"/>
      <c r="AC850" s="120"/>
    </row>
    <row r="851" spans="1:29" ht="14.25" customHeight="1">
      <c r="A851" s="120"/>
      <c r="B851" s="120"/>
      <c r="C851" s="120"/>
      <c r="D851" s="121"/>
      <c r="E851" s="121"/>
      <c r="F851" s="120"/>
      <c r="G851" s="120"/>
      <c r="H851" s="121"/>
      <c r="I851" s="121"/>
      <c r="J851" s="121"/>
      <c r="K851" s="120"/>
      <c r="L851" s="120"/>
      <c r="M851" s="122"/>
      <c r="N851" s="121"/>
      <c r="O851" s="121"/>
      <c r="P851" s="121"/>
      <c r="Q851" s="121"/>
      <c r="R851" s="120"/>
      <c r="S851" s="120"/>
      <c r="T851" s="120"/>
      <c r="U851" s="190"/>
      <c r="V851" s="190"/>
      <c r="W851" s="190"/>
      <c r="X851" s="190"/>
      <c r="Y851" s="190"/>
      <c r="Z851" s="190"/>
      <c r="AA851" s="120"/>
      <c r="AB851" s="120"/>
      <c r="AC851" s="120"/>
    </row>
    <row r="852" spans="1:29" ht="14.25" customHeight="1">
      <c r="A852" s="120"/>
      <c r="B852" s="120"/>
      <c r="C852" s="120"/>
      <c r="D852" s="121"/>
      <c r="E852" s="121"/>
      <c r="F852" s="120"/>
      <c r="G852" s="120"/>
      <c r="H852" s="121"/>
      <c r="I852" s="121"/>
      <c r="J852" s="121"/>
      <c r="K852" s="120"/>
      <c r="L852" s="120"/>
      <c r="M852" s="122"/>
      <c r="N852" s="121"/>
      <c r="O852" s="121"/>
      <c r="P852" s="121"/>
      <c r="Q852" s="121"/>
      <c r="R852" s="120"/>
      <c r="S852" s="120"/>
      <c r="T852" s="120"/>
      <c r="U852" s="190"/>
      <c r="V852" s="190"/>
      <c r="W852" s="190"/>
      <c r="X852" s="190"/>
      <c r="Y852" s="190"/>
      <c r="Z852" s="190"/>
      <c r="AA852" s="120"/>
      <c r="AB852" s="120"/>
      <c r="AC852" s="120"/>
    </row>
    <row r="853" spans="1:29" ht="14.25" customHeight="1">
      <c r="A853" s="120"/>
      <c r="B853" s="120"/>
      <c r="C853" s="120"/>
      <c r="D853" s="121"/>
      <c r="E853" s="121"/>
      <c r="F853" s="120"/>
      <c r="G853" s="120"/>
      <c r="H853" s="121"/>
      <c r="I853" s="121"/>
      <c r="J853" s="121"/>
      <c r="K853" s="120"/>
      <c r="L853" s="120"/>
      <c r="M853" s="122"/>
      <c r="N853" s="121"/>
      <c r="O853" s="121"/>
      <c r="P853" s="121"/>
      <c r="Q853" s="121"/>
      <c r="R853" s="120"/>
      <c r="S853" s="120"/>
      <c r="T853" s="120"/>
      <c r="U853" s="190"/>
      <c r="V853" s="190"/>
      <c r="W853" s="190"/>
      <c r="X853" s="190"/>
      <c r="Y853" s="190"/>
      <c r="Z853" s="190"/>
      <c r="AA853" s="120"/>
      <c r="AB853" s="120"/>
      <c r="AC853" s="120"/>
    </row>
    <row r="854" spans="1:29" ht="14.25" customHeight="1">
      <c r="A854" s="120"/>
      <c r="B854" s="120"/>
      <c r="C854" s="120"/>
      <c r="D854" s="121"/>
      <c r="E854" s="121"/>
      <c r="F854" s="120"/>
      <c r="G854" s="120"/>
      <c r="H854" s="121"/>
      <c r="I854" s="121"/>
      <c r="J854" s="121"/>
      <c r="K854" s="120"/>
      <c r="L854" s="120"/>
      <c r="M854" s="122"/>
      <c r="N854" s="121"/>
      <c r="O854" s="121"/>
      <c r="P854" s="121"/>
      <c r="Q854" s="121"/>
      <c r="R854" s="120"/>
      <c r="S854" s="120"/>
      <c r="T854" s="120"/>
      <c r="U854" s="190"/>
      <c r="V854" s="190"/>
      <c r="W854" s="190"/>
      <c r="X854" s="190"/>
      <c r="Y854" s="190"/>
      <c r="Z854" s="190"/>
      <c r="AA854" s="120"/>
      <c r="AB854" s="120"/>
      <c r="AC854" s="120"/>
    </row>
    <row r="855" spans="1:29" ht="14.25" customHeight="1">
      <c r="A855" s="120"/>
      <c r="B855" s="120"/>
      <c r="C855" s="120"/>
      <c r="D855" s="121"/>
      <c r="E855" s="121"/>
      <c r="F855" s="120"/>
      <c r="G855" s="120"/>
      <c r="H855" s="121"/>
      <c r="I855" s="121"/>
      <c r="J855" s="121"/>
      <c r="K855" s="120"/>
      <c r="L855" s="120"/>
      <c r="M855" s="122"/>
      <c r="N855" s="121"/>
      <c r="O855" s="121"/>
      <c r="P855" s="121"/>
      <c r="Q855" s="121"/>
      <c r="R855" s="120"/>
      <c r="S855" s="120"/>
      <c r="T855" s="120"/>
      <c r="U855" s="190"/>
      <c r="V855" s="190"/>
      <c r="W855" s="190"/>
      <c r="X855" s="190"/>
      <c r="Y855" s="190"/>
      <c r="Z855" s="190"/>
      <c r="AA855" s="120"/>
      <c r="AB855" s="120"/>
      <c r="AC855" s="120"/>
    </row>
    <row r="856" spans="1:29" ht="14.25" customHeight="1">
      <c r="A856" s="120"/>
      <c r="B856" s="120"/>
      <c r="C856" s="120"/>
      <c r="D856" s="121"/>
      <c r="E856" s="121"/>
      <c r="F856" s="120"/>
      <c r="G856" s="120"/>
      <c r="H856" s="121"/>
      <c r="I856" s="121"/>
      <c r="J856" s="121"/>
      <c r="K856" s="120"/>
      <c r="L856" s="120"/>
      <c r="M856" s="122"/>
      <c r="N856" s="121"/>
      <c r="O856" s="121"/>
      <c r="P856" s="121"/>
      <c r="Q856" s="121"/>
      <c r="R856" s="120"/>
      <c r="S856" s="120"/>
      <c r="T856" s="120"/>
      <c r="U856" s="190"/>
      <c r="V856" s="190"/>
      <c r="W856" s="190"/>
      <c r="X856" s="190"/>
      <c r="Y856" s="190"/>
      <c r="Z856" s="190"/>
      <c r="AA856" s="120"/>
      <c r="AB856" s="120"/>
      <c r="AC856" s="120"/>
    </row>
    <row r="857" spans="1:29" ht="14.25" customHeight="1">
      <c r="A857" s="120"/>
      <c r="B857" s="120"/>
      <c r="C857" s="120"/>
      <c r="D857" s="121"/>
      <c r="E857" s="121"/>
      <c r="F857" s="120"/>
      <c r="G857" s="120"/>
      <c r="H857" s="121"/>
      <c r="I857" s="121"/>
      <c r="J857" s="121"/>
      <c r="K857" s="120"/>
      <c r="L857" s="120"/>
      <c r="M857" s="122"/>
      <c r="N857" s="121"/>
      <c r="O857" s="121"/>
      <c r="P857" s="121"/>
      <c r="Q857" s="121"/>
      <c r="R857" s="120"/>
      <c r="S857" s="120"/>
      <c r="T857" s="120"/>
      <c r="U857" s="190"/>
      <c r="V857" s="190"/>
      <c r="W857" s="190"/>
      <c r="X857" s="190"/>
      <c r="Y857" s="190"/>
      <c r="Z857" s="190"/>
      <c r="AA857" s="120"/>
      <c r="AB857" s="120"/>
      <c r="AC857" s="120"/>
    </row>
    <row r="858" spans="1:29" ht="14.25" customHeight="1">
      <c r="A858" s="120"/>
      <c r="B858" s="120"/>
      <c r="C858" s="120"/>
      <c r="D858" s="121"/>
      <c r="E858" s="121"/>
      <c r="F858" s="120"/>
      <c r="G858" s="120"/>
      <c r="H858" s="121"/>
      <c r="I858" s="121"/>
      <c r="J858" s="121"/>
      <c r="K858" s="120"/>
      <c r="L858" s="120"/>
      <c r="M858" s="122"/>
      <c r="N858" s="121"/>
      <c r="O858" s="121"/>
      <c r="P858" s="121"/>
      <c r="Q858" s="121"/>
      <c r="R858" s="120"/>
      <c r="S858" s="120"/>
      <c r="T858" s="120"/>
      <c r="U858" s="190"/>
      <c r="V858" s="190"/>
      <c r="W858" s="190"/>
      <c r="X858" s="190"/>
      <c r="Y858" s="190"/>
      <c r="Z858" s="190"/>
      <c r="AA858" s="120"/>
      <c r="AB858" s="120"/>
      <c r="AC858" s="120"/>
    </row>
    <row r="859" spans="1:29" ht="14.25" customHeight="1">
      <c r="A859" s="120"/>
      <c r="B859" s="120"/>
      <c r="C859" s="120"/>
      <c r="D859" s="121"/>
      <c r="E859" s="121"/>
      <c r="F859" s="120"/>
      <c r="G859" s="120"/>
      <c r="H859" s="121"/>
      <c r="I859" s="121"/>
      <c r="J859" s="121"/>
      <c r="K859" s="120"/>
      <c r="L859" s="120"/>
      <c r="M859" s="122"/>
      <c r="N859" s="121"/>
      <c r="O859" s="121"/>
      <c r="P859" s="121"/>
      <c r="Q859" s="121"/>
      <c r="R859" s="120"/>
      <c r="S859" s="120"/>
      <c r="T859" s="120"/>
      <c r="U859" s="190"/>
      <c r="V859" s="190"/>
      <c r="W859" s="190"/>
      <c r="X859" s="190"/>
      <c r="Y859" s="190"/>
      <c r="Z859" s="190"/>
      <c r="AA859" s="120"/>
      <c r="AB859" s="120"/>
      <c r="AC859" s="120"/>
    </row>
    <row r="860" spans="1:29" ht="14.25" customHeight="1">
      <c r="A860" s="120"/>
      <c r="B860" s="120"/>
      <c r="C860" s="120"/>
      <c r="D860" s="121"/>
      <c r="E860" s="121"/>
      <c r="F860" s="120"/>
      <c r="G860" s="120"/>
      <c r="H860" s="121"/>
      <c r="I860" s="121"/>
      <c r="J860" s="121"/>
      <c r="K860" s="120"/>
      <c r="L860" s="120"/>
      <c r="M860" s="122"/>
      <c r="N860" s="121"/>
      <c r="O860" s="121"/>
      <c r="P860" s="121"/>
      <c r="Q860" s="121"/>
      <c r="R860" s="120"/>
      <c r="S860" s="120"/>
      <c r="T860" s="120"/>
      <c r="U860" s="190"/>
      <c r="V860" s="190"/>
      <c r="W860" s="190"/>
      <c r="X860" s="190"/>
      <c r="Y860" s="190"/>
      <c r="Z860" s="190"/>
      <c r="AA860" s="120"/>
      <c r="AB860" s="120"/>
      <c r="AC860" s="120"/>
    </row>
    <row r="861" spans="1:29" ht="14.25" customHeight="1">
      <c r="A861" s="120"/>
      <c r="B861" s="120"/>
      <c r="C861" s="120"/>
      <c r="D861" s="121"/>
      <c r="E861" s="121"/>
      <c r="F861" s="120"/>
      <c r="G861" s="120"/>
      <c r="H861" s="121"/>
      <c r="I861" s="121"/>
      <c r="J861" s="121"/>
      <c r="K861" s="120"/>
      <c r="L861" s="120"/>
      <c r="M861" s="122"/>
      <c r="N861" s="121"/>
      <c r="O861" s="121"/>
      <c r="P861" s="121"/>
      <c r="Q861" s="121"/>
      <c r="R861" s="120"/>
      <c r="S861" s="120"/>
      <c r="T861" s="120"/>
      <c r="U861" s="190"/>
      <c r="V861" s="190"/>
      <c r="W861" s="190"/>
      <c r="X861" s="190"/>
      <c r="Y861" s="190"/>
      <c r="Z861" s="190"/>
      <c r="AA861" s="120"/>
      <c r="AB861" s="120"/>
      <c r="AC861" s="120"/>
    </row>
    <row r="862" spans="1:29" ht="14.25" customHeight="1">
      <c r="A862" s="120"/>
      <c r="B862" s="120"/>
      <c r="C862" s="120"/>
      <c r="D862" s="121"/>
      <c r="E862" s="121"/>
      <c r="F862" s="120"/>
      <c r="G862" s="120"/>
      <c r="H862" s="121"/>
      <c r="I862" s="121"/>
      <c r="J862" s="121"/>
      <c r="K862" s="120"/>
      <c r="L862" s="120"/>
      <c r="M862" s="122"/>
      <c r="N862" s="121"/>
      <c r="O862" s="121"/>
      <c r="P862" s="121"/>
      <c r="Q862" s="121"/>
      <c r="R862" s="120"/>
      <c r="S862" s="120"/>
      <c r="T862" s="120"/>
      <c r="U862" s="190"/>
      <c r="V862" s="190"/>
      <c r="W862" s="190"/>
      <c r="X862" s="190"/>
      <c r="Y862" s="190"/>
      <c r="Z862" s="190"/>
      <c r="AA862" s="120"/>
      <c r="AB862" s="120"/>
      <c r="AC862" s="120"/>
    </row>
    <row r="863" spans="1:29" ht="14.25" customHeight="1">
      <c r="A863" s="120"/>
      <c r="B863" s="120"/>
      <c r="C863" s="120"/>
      <c r="D863" s="121"/>
      <c r="E863" s="121"/>
      <c r="F863" s="120"/>
      <c r="G863" s="120"/>
      <c r="H863" s="121"/>
      <c r="I863" s="121"/>
      <c r="J863" s="121"/>
      <c r="K863" s="120"/>
      <c r="L863" s="120"/>
      <c r="M863" s="122"/>
      <c r="N863" s="121"/>
      <c r="O863" s="121"/>
      <c r="P863" s="121"/>
      <c r="Q863" s="121"/>
      <c r="R863" s="120"/>
      <c r="S863" s="120"/>
      <c r="T863" s="120"/>
      <c r="U863" s="190"/>
      <c r="V863" s="190"/>
      <c r="W863" s="190"/>
      <c r="X863" s="190"/>
      <c r="Y863" s="190"/>
      <c r="Z863" s="190"/>
      <c r="AA863" s="120"/>
      <c r="AB863" s="120"/>
      <c r="AC863" s="120"/>
    </row>
    <row r="864" spans="1:29" ht="14.25" customHeight="1">
      <c r="A864" s="120"/>
      <c r="B864" s="120"/>
      <c r="C864" s="120"/>
      <c r="D864" s="121"/>
      <c r="E864" s="121"/>
      <c r="F864" s="120"/>
      <c r="G864" s="120"/>
      <c r="H864" s="121"/>
      <c r="I864" s="121"/>
      <c r="J864" s="121"/>
      <c r="K864" s="120"/>
      <c r="L864" s="120"/>
      <c r="M864" s="122"/>
      <c r="N864" s="121"/>
      <c r="O864" s="121"/>
      <c r="P864" s="121"/>
      <c r="Q864" s="121"/>
      <c r="R864" s="120"/>
      <c r="S864" s="120"/>
      <c r="T864" s="120"/>
      <c r="U864" s="190"/>
      <c r="V864" s="190"/>
      <c r="W864" s="190"/>
      <c r="X864" s="190"/>
      <c r="Y864" s="190"/>
      <c r="Z864" s="190"/>
      <c r="AA864" s="120"/>
      <c r="AB864" s="120"/>
      <c r="AC864" s="120"/>
    </row>
    <row r="865" spans="1:29" ht="14.25" customHeight="1">
      <c r="A865" s="120"/>
      <c r="B865" s="120"/>
      <c r="C865" s="120"/>
      <c r="D865" s="121"/>
      <c r="E865" s="121"/>
      <c r="F865" s="120"/>
      <c r="G865" s="120"/>
      <c r="H865" s="121"/>
      <c r="I865" s="121"/>
      <c r="J865" s="121"/>
      <c r="K865" s="120"/>
      <c r="L865" s="120"/>
      <c r="M865" s="122"/>
      <c r="N865" s="121"/>
      <c r="O865" s="121"/>
      <c r="P865" s="121"/>
      <c r="Q865" s="121"/>
      <c r="R865" s="120"/>
      <c r="S865" s="120"/>
      <c r="T865" s="120"/>
      <c r="U865" s="190"/>
      <c r="V865" s="190"/>
      <c r="W865" s="190"/>
      <c r="X865" s="190"/>
      <c r="Y865" s="190"/>
      <c r="Z865" s="190"/>
      <c r="AA865" s="120"/>
      <c r="AB865" s="120"/>
      <c r="AC865" s="120"/>
    </row>
    <row r="866" spans="1:29" ht="14.25" customHeight="1">
      <c r="A866" s="120"/>
      <c r="B866" s="120"/>
      <c r="C866" s="120"/>
      <c r="D866" s="121"/>
      <c r="E866" s="121"/>
      <c r="F866" s="120"/>
      <c r="G866" s="120"/>
      <c r="H866" s="121"/>
      <c r="I866" s="121"/>
      <c r="J866" s="121"/>
      <c r="K866" s="120"/>
      <c r="L866" s="120"/>
      <c r="M866" s="122"/>
      <c r="N866" s="121"/>
      <c r="O866" s="121"/>
      <c r="P866" s="121"/>
      <c r="Q866" s="121"/>
      <c r="R866" s="120"/>
      <c r="S866" s="120"/>
      <c r="T866" s="120"/>
      <c r="U866" s="190"/>
      <c r="V866" s="190"/>
      <c r="W866" s="190"/>
      <c r="X866" s="190"/>
      <c r="Y866" s="190"/>
      <c r="Z866" s="190"/>
      <c r="AA866" s="120"/>
      <c r="AB866" s="120"/>
      <c r="AC866" s="120"/>
    </row>
    <row r="867" spans="1:29" ht="14.25" customHeight="1">
      <c r="A867" s="120"/>
      <c r="B867" s="120"/>
      <c r="C867" s="120"/>
      <c r="D867" s="121"/>
      <c r="E867" s="121"/>
      <c r="F867" s="120"/>
      <c r="G867" s="120"/>
      <c r="H867" s="121"/>
      <c r="I867" s="121"/>
      <c r="J867" s="121"/>
      <c r="K867" s="120"/>
      <c r="L867" s="120"/>
      <c r="M867" s="122"/>
      <c r="N867" s="121"/>
      <c r="O867" s="121"/>
      <c r="P867" s="121"/>
      <c r="Q867" s="121"/>
      <c r="R867" s="120"/>
      <c r="S867" s="120"/>
      <c r="T867" s="120"/>
      <c r="U867" s="190"/>
      <c r="V867" s="190"/>
      <c r="W867" s="190"/>
      <c r="X867" s="190"/>
      <c r="Y867" s="190"/>
      <c r="Z867" s="190"/>
      <c r="AA867" s="120"/>
      <c r="AB867" s="120"/>
      <c r="AC867" s="120"/>
    </row>
    <row r="868" spans="1:29" ht="14.25" customHeight="1">
      <c r="A868" s="120"/>
      <c r="B868" s="120"/>
      <c r="C868" s="120"/>
      <c r="D868" s="121"/>
      <c r="E868" s="121"/>
      <c r="F868" s="120"/>
      <c r="G868" s="120"/>
      <c r="H868" s="121"/>
      <c r="I868" s="121"/>
      <c r="J868" s="121"/>
      <c r="K868" s="120"/>
      <c r="L868" s="120"/>
      <c r="M868" s="122"/>
      <c r="N868" s="121"/>
      <c r="O868" s="121"/>
      <c r="P868" s="121"/>
      <c r="Q868" s="121"/>
      <c r="R868" s="120"/>
      <c r="S868" s="120"/>
      <c r="T868" s="120"/>
      <c r="U868" s="190"/>
      <c r="V868" s="190"/>
      <c r="W868" s="190"/>
      <c r="X868" s="190"/>
      <c r="Y868" s="190"/>
      <c r="Z868" s="190"/>
      <c r="AA868" s="120"/>
      <c r="AB868" s="120"/>
      <c r="AC868" s="120"/>
    </row>
    <row r="869" spans="1:29" ht="14.25" customHeight="1">
      <c r="A869" s="120"/>
      <c r="B869" s="120"/>
      <c r="C869" s="120"/>
      <c r="D869" s="121"/>
      <c r="E869" s="121"/>
      <c r="F869" s="120"/>
      <c r="G869" s="120"/>
      <c r="H869" s="121"/>
      <c r="I869" s="121"/>
      <c r="J869" s="121"/>
      <c r="K869" s="120"/>
      <c r="L869" s="120"/>
      <c r="M869" s="122"/>
      <c r="N869" s="121"/>
      <c r="O869" s="121"/>
      <c r="P869" s="121"/>
      <c r="Q869" s="121"/>
      <c r="R869" s="120"/>
      <c r="S869" s="120"/>
      <c r="T869" s="120"/>
      <c r="U869" s="190"/>
      <c r="V869" s="190"/>
      <c r="W869" s="190"/>
      <c r="X869" s="190"/>
      <c r="Y869" s="190"/>
      <c r="Z869" s="190"/>
      <c r="AA869" s="120"/>
      <c r="AB869" s="120"/>
      <c r="AC869" s="120"/>
    </row>
    <row r="870" spans="1:29" ht="14.25" customHeight="1">
      <c r="A870" s="120"/>
      <c r="B870" s="120"/>
      <c r="C870" s="120"/>
      <c r="D870" s="121"/>
      <c r="E870" s="121"/>
      <c r="F870" s="120"/>
      <c r="G870" s="120"/>
      <c r="H870" s="121"/>
      <c r="I870" s="121"/>
      <c r="J870" s="121"/>
      <c r="K870" s="120"/>
      <c r="L870" s="120"/>
      <c r="M870" s="122"/>
      <c r="N870" s="121"/>
      <c r="O870" s="121"/>
      <c r="P870" s="121"/>
      <c r="Q870" s="121"/>
      <c r="R870" s="120"/>
      <c r="S870" s="120"/>
      <c r="T870" s="120"/>
      <c r="U870" s="190"/>
      <c r="V870" s="190"/>
      <c r="W870" s="190"/>
      <c r="X870" s="190"/>
      <c r="Y870" s="190"/>
      <c r="Z870" s="190"/>
      <c r="AA870" s="120"/>
      <c r="AB870" s="120"/>
      <c r="AC870" s="120"/>
    </row>
    <row r="871" spans="1:29" ht="14.25" customHeight="1">
      <c r="A871" s="120"/>
      <c r="B871" s="120"/>
      <c r="C871" s="120"/>
      <c r="D871" s="121"/>
      <c r="E871" s="121"/>
      <c r="F871" s="120"/>
      <c r="G871" s="120"/>
      <c r="H871" s="121"/>
      <c r="I871" s="121"/>
      <c r="J871" s="121"/>
      <c r="K871" s="120"/>
      <c r="L871" s="120"/>
      <c r="M871" s="122"/>
      <c r="N871" s="121"/>
      <c r="O871" s="121"/>
      <c r="P871" s="121"/>
      <c r="Q871" s="121"/>
      <c r="R871" s="120"/>
      <c r="S871" s="120"/>
      <c r="T871" s="120"/>
      <c r="U871" s="190"/>
      <c r="V871" s="190"/>
      <c r="W871" s="190"/>
      <c r="X871" s="190"/>
      <c r="Y871" s="190"/>
      <c r="Z871" s="190"/>
      <c r="AA871" s="120"/>
      <c r="AB871" s="120"/>
      <c r="AC871" s="120"/>
    </row>
    <row r="872" spans="1:29" ht="14.25" customHeight="1">
      <c r="A872" s="120"/>
      <c r="B872" s="120"/>
      <c r="C872" s="120"/>
      <c r="D872" s="121"/>
      <c r="E872" s="121"/>
      <c r="F872" s="120"/>
      <c r="G872" s="120"/>
      <c r="H872" s="121"/>
      <c r="I872" s="121"/>
      <c r="J872" s="121"/>
      <c r="K872" s="120"/>
      <c r="L872" s="120"/>
      <c r="M872" s="122"/>
      <c r="N872" s="121"/>
      <c r="O872" s="121"/>
      <c r="P872" s="121"/>
      <c r="Q872" s="121"/>
      <c r="R872" s="120"/>
      <c r="S872" s="120"/>
      <c r="T872" s="120"/>
      <c r="U872" s="190"/>
      <c r="V872" s="190"/>
      <c r="W872" s="190"/>
      <c r="X872" s="190"/>
      <c r="Y872" s="190"/>
      <c r="Z872" s="190"/>
      <c r="AA872" s="120"/>
      <c r="AB872" s="120"/>
      <c r="AC872" s="120"/>
    </row>
    <row r="873" spans="1:29" ht="14.25" customHeight="1">
      <c r="A873" s="120"/>
      <c r="B873" s="120"/>
      <c r="C873" s="120"/>
      <c r="D873" s="121"/>
      <c r="E873" s="121"/>
      <c r="F873" s="120"/>
      <c r="G873" s="120"/>
      <c r="H873" s="121"/>
      <c r="I873" s="121"/>
      <c r="J873" s="121"/>
      <c r="K873" s="120"/>
      <c r="L873" s="120"/>
      <c r="M873" s="122"/>
      <c r="N873" s="121"/>
      <c r="O873" s="121"/>
      <c r="P873" s="121"/>
      <c r="Q873" s="121"/>
      <c r="R873" s="120"/>
      <c r="S873" s="120"/>
      <c r="T873" s="120"/>
      <c r="U873" s="190"/>
      <c r="V873" s="190"/>
      <c r="W873" s="190"/>
      <c r="X873" s="190"/>
      <c r="Y873" s="190"/>
      <c r="Z873" s="190"/>
      <c r="AA873" s="120"/>
      <c r="AB873" s="120"/>
      <c r="AC873" s="120"/>
    </row>
    <row r="874" spans="1:29" ht="14.25" customHeight="1">
      <c r="A874" s="120"/>
      <c r="B874" s="120"/>
      <c r="C874" s="120"/>
      <c r="D874" s="121"/>
      <c r="E874" s="121"/>
      <c r="F874" s="120"/>
      <c r="G874" s="120"/>
      <c r="H874" s="121"/>
      <c r="I874" s="121"/>
      <c r="J874" s="121"/>
      <c r="K874" s="120"/>
      <c r="L874" s="120"/>
      <c r="M874" s="122"/>
      <c r="N874" s="121"/>
      <c r="O874" s="121"/>
      <c r="P874" s="121"/>
      <c r="Q874" s="121"/>
      <c r="R874" s="120"/>
      <c r="S874" s="120"/>
      <c r="T874" s="120"/>
      <c r="U874" s="190"/>
      <c r="V874" s="190"/>
      <c r="W874" s="190"/>
      <c r="X874" s="190"/>
      <c r="Y874" s="190"/>
      <c r="Z874" s="190"/>
      <c r="AA874" s="120"/>
      <c r="AB874" s="120"/>
      <c r="AC874" s="120"/>
    </row>
    <row r="875" spans="1:29" ht="14.25" customHeight="1">
      <c r="A875" s="120"/>
      <c r="B875" s="120"/>
      <c r="C875" s="120"/>
      <c r="D875" s="121"/>
      <c r="E875" s="121"/>
      <c r="F875" s="120"/>
      <c r="G875" s="120"/>
      <c r="H875" s="121"/>
      <c r="I875" s="121"/>
      <c r="J875" s="121"/>
      <c r="K875" s="120"/>
      <c r="L875" s="120"/>
      <c r="M875" s="122"/>
      <c r="N875" s="121"/>
      <c r="O875" s="121"/>
      <c r="P875" s="121"/>
      <c r="Q875" s="121"/>
      <c r="R875" s="120"/>
      <c r="S875" s="120"/>
      <c r="T875" s="120"/>
      <c r="U875" s="190"/>
      <c r="V875" s="190"/>
      <c r="W875" s="190"/>
      <c r="X875" s="190"/>
      <c r="Y875" s="190"/>
      <c r="Z875" s="190"/>
      <c r="AA875" s="120"/>
      <c r="AB875" s="120"/>
      <c r="AC875" s="120"/>
    </row>
    <row r="876" spans="1:29" ht="14.25" customHeight="1">
      <c r="A876" s="120"/>
      <c r="B876" s="120"/>
      <c r="C876" s="120"/>
      <c r="D876" s="121"/>
      <c r="E876" s="121"/>
      <c r="F876" s="120"/>
      <c r="G876" s="120"/>
      <c r="H876" s="121"/>
      <c r="I876" s="121"/>
      <c r="J876" s="121"/>
      <c r="K876" s="120"/>
      <c r="L876" s="120"/>
      <c r="M876" s="122"/>
      <c r="N876" s="121"/>
      <c r="O876" s="121"/>
      <c r="P876" s="121"/>
      <c r="Q876" s="121"/>
      <c r="R876" s="120"/>
      <c r="S876" s="120"/>
      <c r="T876" s="120"/>
      <c r="U876" s="190"/>
      <c r="V876" s="190"/>
      <c r="W876" s="190"/>
      <c r="X876" s="190"/>
      <c r="Y876" s="190"/>
      <c r="Z876" s="190"/>
      <c r="AA876" s="120"/>
      <c r="AB876" s="120"/>
      <c r="AC876" s="120"/>
    </row>
    <row r="877" spans="1:29" ht="14.25" customHeight="1">
      <c r="A877" s="120"/>
      <c r="B877" s="120"/>
      <c r="C877" s="120"/>
      <c r="D877" s="121"/>
      <c r="E877" s="121"/>
      <c r="F877" s="120"/>
      <c r="G877" s="120"/>
      <c r="H877" s="121"/>
      <c r="I877" s="121"/>
      <c r="J877" s="121"/>
      <c r="K877" s="120"/>
      <c r="L877" s="120"/>
      <c r="M877" s="122"/>
      <c r="N877" s="121"/>
      <c r="O877" s="121"/>
      <c r="P877" s="121"/>
      <c r="Q877" s="121"/>
      <c r="R877" s="120"/>
      <c r="S877" s="120"/>
      <c r="T877" s="120"/>
      <c r="U877" s="190"/>
      <c r="V877" s="190"/>
      <c r="W877" s="190"/>
      <c r="X877" s="190"/>
      <c r="Y877" s="190"/>
      <c r="Z877" s="190"/>
      <c r="AA877" s="120"/>
      <c r="AB877" s="120"/>
      <c r="AC877" s="120"/>
    </row>
    <row r="878" spans="1:29" ht="14.25" customHeight="1">
      <c r="A878" s="120"/>
      <c r="B878" s="120"/>
      <c r="C878" s="120"/>
      <c r="D878" s="121"/>
      <c r="E878" s="121"/>
      <c r="F878" s="120"/>
      <c r="G878" s="120"/>
      <c r="H878" s="121"/>
      <c r="I878" s="121"/>
      <c r="J878" s="121"/>
      <c r="K878" s="120"/>
      <c r="L878" s="120"/>
      <c r="M878" s="122"/>
      <c r="N878" s="121"/>
      <c r="O878" s="121"/>
      <c r="P878" s="121"/>
      <c r="Q878" s="121"/>
      <c r="R878" s="120"/>
      <c r="S878" s="120"/>
      <c r="T878" s="120"/>
      <c r="U878" s="190"/>
      <c r="V878" s="190"/>
      <c r="W878" s="190"/>
      <c r="X878" s="190"/>
      <c r="Y878" s="190"/>
      <c r="Z878" s="190"/>
      <c r="AA878" s="120"/>
      <c r="AB878" s="120"/>
      <c r="AC878" s="120"/>
    </row>
    <row r="879" spans="1:29" ht="14.25" customHeight="1">
      <c r="A879" s="120"/>
      <c r="B879" s="120"/>
      <c r="C879" s="120"/>
      <c r="D879" s="121"/>
      <c r="E879" s="121"/>
      <c r="F879" s="120"/>
      <c r="G879" s="120"/>
      <c r="H879" s="121"/>
      <c r="I879" s="121"/>
      <c r="J879" s="121"/>
      <c r="K879" s="120"/>
      <c r="L879" s="120"/>
      <c r="M879" s="122"/>
      <c r="N879" s="121"/>
      <c r="O879" s="121"/>
      <c r="P879" s="121"/>
      <c r="Q879" s="121"/>
      <c r="R879" s="120"/>
      <c r="S879" s="120"/>
      <c r="T879" s="120"/>
      <c r="U879" s="190"/>
      <c r="V879" s="190"/>
      <c r="W879" s="190"/>
      <c r="X879" s="190"/>
      <c r="Y879" s="190"/>
      <c r="Z879" s="190"/>
      <c r="AA879" s="120"/>
      <c r="AB879" s="120"/>
      <c r="AC879" s="120"/>
    </row>
    <row r="880" spans="1:29" ht="14.25" customHeight="1">
      <c r="A880" s="120"/>
      <c r="B880" s="120"/>
      <c r="C880" s="120"/>
      <c r="D880" s="121"/>
      <c r="E880" s="121"/>
      <c r="F880" s="120"/>
      <c r="G880" s="120"/>
      <c r="H880" s="121"/>
      <c r="I880" s="121"/>
      <c r="J880" s="121"/>
      <c r="K880" s="120"/>
      <c r="L880" s="120"/>
      <c r="M880" s="122"/>
      <c r="N880" s="121"/>
      <c r="O880" s="121"/>
      <c r="P880" s="121"/>
      <c r="Q880" s="121"/>
      <c r="R880" s="120"/>
      <c r="S880" s="120"/>
      <c r="T880" s="120"/>
      <c r="U880" s="190"/>
      <c r="V880" s="190"/>
      <c r="W880" s="190"/>
      <c r="X880" s="190"/>
      <c r="Y880" s="190"/>
      <c r="Z880" s="190"/>
      <c r="AA880" s="120"/>
      <c r="AB880" s="120"/>
      <c r="AC880" s="120"/>
    </row>
    <row r="881" spans="1:29" ht="14.25" customHeight="1">
      <c r="A881" s="120"/>
      <c r="B881" s="120"/>
      <c r="C881" s="120"/>
      <c r="D881" s="121"/>
      <c r="E881" s="121"/>
      <c r="F881" s="120"/>
      <c r="G881" s="120"/>
      <c r="H881" s="121"/>
      <c r="I881" s="121"/>
      <c r="J881" s="121"/>
      <c r="K881" s="120"/>
      <c r="L881" s="120"/>
      <c r="M881" s="122"/>
      <c r="N881" s="121"/>
      <c r="O881" s="121"/>
      <c r="P881" s="121"/>
      <c r="Q881" s="121"/>
      <c r="R881" s="120"/>
      <c r="S881" s="120"/>
      <c r="T881" s="120"/>
      <c r="U881" s="190"/>
      <c r="V881" s="190"/>
      <c r="W881" s="190"/>
      <c r="X881" s="190"/>
      <c r="Y881" s="190"/>
      <c r="Z881" s="190"/>
      <c r="AA881" s="120"/>
      <c r="AB881" s="120"/>
      <c r="AC881" s="120"/>
    </row>
    <row r="882" spans="1:29" ht="14.25" customHeight="1">
      <c r="A882" s="120"/>
      <c r="B882" s="120"/>
      <c r="C882" s="120"/>
      <c r="D882" s="121"/>
      <c r="E882" s="121"/>
      <c r="F882" s="120"/>
      <c r="G882" s="120"/>
      <c r="H882" s="121"/>
      <c r="I882" s="121"/>
      <c r="J882" s="121"/>
      <c r="K882" s="120"/>
      <c r="L882" s="120"/>
      <c r="M882" s="122"/>
      <c r="N882" s="121"/>
      <c r="O882" s="121"/>
      <c r="P882" s="121"/>
      <c r="Q882" s="121"/>
      <c r="R882" s="120"/>
      <c r="S882" s="120"/>
      <c r="T882" s="120"/>
      <c r="U882" s="190"/>
      <c r="V882" s="190"/>
      <c r="W882" s="190"/>
      <c r="X882" s="190"/>
      <c r="Y882" s="190"/>
      <c r="Z882" s="190"/>
      <c r="AA882" s="120"/>
      <c r="AB882" s="120"/>
      <c r="AC882" s="120"/>
    </row>
    <row r="883" spans="1:29" ht="14.25" customHeight="1">
      <c r="A883" s="120"/>
      <c r="B883" s="120"/>
      <c r="C883" s="120"/>
      <c r="D883" s="121"/>
      <c r="E883" s="121"/>
      <c r="F883" s="120"/>
      <c r="G883" s="120"/>
      <c r="H883" s="121"/>
      <c r="I883" s="121"/>
      <c r="J883" s="121"/>
      <c r="K883" s="120"/>
      <c r="L883" s="120"/>
      <c r="M883" s="122"/>
      <c r="N883" s="121"/>
      <c r="O883" s="121"/>
      <c r="P883" s="121"/>
      <c r="Q883" s="121"/>
      <c r="R883" s="120"/>
      <c r="S883" s="120"/>
      <c r="T883" s="120"/>
      <c r="U883" s="190"/>
      <c r="V883" s="190"/>
      <c r="W883" s="190"/>
      <c r="X883" s="190"/>
      <c r="Y883" s="190"/>
      <c r="Z883" s="190"/>
      <c r="AA883" s="120"/>
      <c r="AB883" s="120"/>
      <c r="AC883" s="120"/>
    </row>
    <row r="884" spans="1:29" ht="14.25" customHeight="1">
      <c r="A884" s="120"/>
      <c r="B884" s="120"/>
      <c r="C884" s="120"/>
      <c r="D884" s="121"/>
      <c r="E884" s="121"/>
      <c r="F884" s="120"/>
      <c r="G884" s="120"/>
      <c r="H884" s="121"/>
      <c r="I884" s="121"/>
      <c r="J884" s="121"/>
      <c r="K884" s="120"/>
      <c r="L884" s="120"/>
      <c r="M884" s="122"/>
      <c r="N884" s="121"/>
      <c r="O884" s="121"/>
      <c r="P884" s="121"/>
      <c r="Q884" s="121"/>
      <c r="R884" s="120"/>
      <c r="S884" s="120"/>
      <c r="T884" s="120"/>
      <c r="U884" s="190"/>
      <c r="V884" s="190"/>
      <c r="W884" s="190"/>
      <c r="X884" s="190"/>
      <c r="Y884" s="190"/>
      <c r="Z884" s="190"/>
      <c r="AA884" s="120"/>
      <c r="AB884" s="120"/>
      <c r="AC884" s="120"/>
    </row>
    <row r="885" spans="1:29" ht="14.25" customHeight="1">
      <c r="A885" s="120"/>
      <c r="B885" s="120"/>
      <c r="C885" s="120"/>
      <c r="D885" s="121"/>
      <c r="E885" s="121"/>
      <c r="F885" s="120"/>
      <c r="G885" s="120"/>
      <c r="H885" s="121"/>
      <c r="I885" s="121"/>
      <c r="J885" s="121"/>
      <c r="K885" s="120"/>
      <c r="L885" s="120"/>
      <c r="M885" s="122"/>
      <c r="N885" s="121"/>
      <c r="O885" s="121"/>
      <c r="P885" s="121"/>
      <c r="Q885" s="121"/>
      <c r="R885" s="120"/>
      <c r="S885" s="120"/>
      <c r="T885" s="120"/>
      <c r="U885" s="190"/>
      <c r="V885" s="190"/>
      <c r="W885" s="190"/>
      <c r="X885" s="190"/>
      <c r="Y885" s="190"/>
      <c r="Z885" s="190"/>
      <c r="AA885" s="120"/>
      <c r="AB885" s="120"/>
      <c r="AC885" s="120"/>
    </row>
    <row r="886" spans="1:29" ht="14.25" customHeight="1">
      <c r="A886" s="120"/>
      <c r="B886" s="120"/>
      <c r="C886" s="120"/>
      <c r="D886" s="121"/>
      <c r="E886" s="121"/>
      <c r="F886" s="120"/>
      <c r="G886" s="120"/>
      <c r="H886" s="121"/>
      <c r="I886" s="121"/>
      <c r="J886" s="121"/>
      <c r="K886" s="120"/>
      <c r="L886" s="120"/>
      <c r="M886" s="122"/>
      <c r="N886" s="121"/>
      <c r="O886" s="121"/>
      <c r="P886" s="121"/>
      <c r="Q886" s="121"/>
      <c r="R886" s="120"/>
      <c r="S886" s="120"/>
      <c r="T886" s="120"/>
      <c r="U886" s="190"/>
      <c r="V886" s="190"/>
      <c r="W886" s="190"/>
      <c r="X886" s="190"/>
      <c r="Y886" s="190"/>
      <c r="Z886" s="190"/>
      <c r="AA886" s="120"/>
      <c r="AB886" s="120"/>
      <c r="AC886" s="120"/>
    </row>
    <row r="887" spans="1:29" ht="14.25" customHeight="1">
      <c r="A887" s="120"/>
      <c r="B887" s="120"/>
      <c r="C887" s="120"/>
      <c r="D887" s="121"/>
      <c r="E887" s="121"/>
      <c r="F887" s="120"/>
      <c r="G887" s="120"/>
      <c r="H887" s="121"/>
      <c r="I887" s="121"/>
      <c r="J887" s="121"/>
      <c r="K887" s="120"/>
      <c r="L887" s="120"/>
      <c r="M887" s="122"/>
      <c r="N887" s="121"/>
      <c r="O887" s="121"/>
      <c r="P887" s="121"/>
      <c r="Q887" s="121"/>
      <c r="R887" s="120"/>
      <c r="S887" s="120"/>
      <c r="T887" s="120"/>
      <c r="U887" s="190"/>
      <c r="V887" s="190"/>
      <c r="W887" s="190"/>
      <c r="X887" s="190"/>
      <c r="Y887" s="190"/>
      <c r="Z887" s="190"/>
      <c r="AA887" s="120"/>
      <c r="AB887" s="120"/>
      <c r="AC887" s="120"/>
    </row>
    <row r="888" spans="1:29" ht="14.25" customHeight="1">
      <c r="A888" s="120"/>
      <c r="B888" s="120"/>
      <c r="C888" s="120"/>
      <c r="D888" s="121"/>
      <c r="E888" s="121"/>
      <c r="F888" s="120"/>
      <c r="G888" s="120"/>
      <c r="H888" s="121"/>
      <c r="I888" s="121"/>
      <c r="J888" s="121"/>
      <c r="K888" s="120"/>
      <c r="L888" s="120"/>
      <c r="M888" s="122"/>
      <c r="N888" s="121"/>
      <c r="O888" s="121"/>
      <c r="P888" s="121"/>
      <c r="Q888" s="121"/>
      <c r="R888" s="120"/>
      <c r="S888" s="120"/>
      <c r="T888" s="120"/>
      <c r="U888" s="190"/>
      <c r="V888" s="190"/>
      <c r="W888" s="190"/>
      <c r="X888" s="190"/>
      <c r="Y888" s="190"/>
      <c r="Z888" s="190"/>
      <c r="AA888" s="120"/>
      <c r="AB888" s="120"/>
      <c r="AC888" s="120"/>
    </row>
    <row r="889" spans="1:29" ht="14.25" customHeight="1">
      <c r="A889" s="120"/>
      <c r="B889" s="120"/>
      <c r="C889" s="120"/>
      <c r="D889" s="121"/>
      <c r="E889" s="121"/>
      <c r="F889" s="120"/>
      <c r="G889" s="120"/>
      <c r="H889" s="121"/>
      <c r="I889" s="121"/>
      <c r="J889" s="121"/>
      <c r="K889" s="120"/>
      <c r="L889" s="120"/>
      <c r="M889" s="122"/>
      <c r="N889" s="121"/>
      <c r="O889" s="121"/>
      <c r="P889" s="121"/>
      <c r="Q889" s="121"/>
      <c r="R889" s="120"/>
      <c r="S889" s="120"/>
      <c r="T889" s="120"/>
      <c r="U889" s="190"/>
      <c r="V889" s="190"/>
      <c r="W889" s="190"/>
      <c r="X889" s="190"/>
      <c r="Y889" s="190"/>
      <c r="Z889" s="190"/>
      <c r="AA889" s="120"/>
      <c r="AB889" s="120"/>
      <c r="AC889" s="120"/>
    </row>
    <row r="890" spans="1:29" ht="14.25" customHeight="1">
      <c r="A890" s="120"/>
      <c r="B890" s="120"/>
      <c r="C890" s="120"/>
      <c r="D890" s="121"/>
      <c r="E890" s="121"/>
      <c r="F890" s="120"/>
      <c r="G890" s="120"/>
      <c r="H890" s="121"/>
      <c r="I890" s="121"/>
      <c r="J890" s="121"/>
      <c r="K890" s="120"/>
      <c r="L890" s="120"/>
      <c r="M890" s="122"/>
      <c r="N890" s="121"/>
      <c r="O890" s="121"/>
      <c r="P890" s="121"/>
      <c r="Q890" s="121"/>
      <c r="R890" s="120"/>
      <c r="S890" s="120"/>
      <c r="T890" s="120"/>
      <c r="U890" s="190"/>
      <c r="V890" s="190"/>
      <c r="W890" s="190"/>
      <c r="X890" s="190"/>
      <c r="Y890" s="190"/>
      <c r="Z890" s="190"/>
      <c r="AA890" s="120"/>
      <c r="AB890" s="120"/>
      <c r="AC890" s="120"/>
    </row>
    <row r="891" spans="1:29" ht="14.25" customHeight="1">
      <c r="A891" s="120"/>
      <c r="B891" s="120"/>
      <c r="C891" s="120"/>
      <c r="D891" s="121"/>
      <c r="E891" s="121"/>
      <c r="F891" s="120"/>
      <c r="G891" s="120"/>
      <c r="H891" s="121"/>
      <c r="I891" s="121"/>
      <c r="J891" s="121"/>
      <c r="K891" s="120"/>
      <c r="L891" s="120"/>
      <c r="M891" s="122"/>
      <c r="N891" s="121"/>
      <c r="O891" s="121"/>
      <c r="P891" s="121"/>
      <c r="Q891" s="121"/>
      <c r="R891" s="120"/>
      <c r="S891" s="120"/>
      <c r="T891" s="120"/>
      <c r="U891" s="190"/>
      <c r="V891" s="190"/>
      <c r="W891" s="190"/>
      <c r="X891" s="190"/>
      <c r="Y891" s="190"/>
      <c r="Z891" s="190"/>
      <c r="AA891" s="120"/>
      <c r="AB891" s="120"/>
      <c r="AC891" s="120"/>
    </row>
    <row r="892" spans="1:29" ht="14.25" customHeight="1">
      <c r="A892" s="120"/>
      <c r="B892" s="120"/>
      <c r="C892" s="120"/>
      <c r="D892" s="121"/>
      <c r="E892" s="121"/>
      <c r="F892" s="120"/>
      <c r="G892" s="120"/>
      <c r="H892" s="121"/>
      <c r="I892" s="121"/>
      <c r="J892" s="121"/>
      <c r="K892" s="120"/>
      <c r="L892" s="120"/>
      <c r="M892" s="122"/>
      <c r="N892" s="121"/>
      <c r="O892" s="121"/>
      <c r="P892" s="121"/>
      <c r="Q892" s="121"/>
      <c r="R892" s="120"/>
      <c r="S892" s="120"/>
      <c r="T892" s="120"/>
      <c r="U892" s="190"/>
      <c r="V892" s="190"/>
      <c r="W892" s="190"/>
      <c r="X892" s="190"/>
      <c r="Y892" s="190"/>
      <c r="Z892" s="190"/>
      <c r="AA892" s="120"/>
      <c r="AB892" s="120"/>
      <c r="AC892" s="120"/>
    </row>
    <row r="893" spans="1:29" ht="14.25" customHeight="1">
      <c r="A893" s="120"/>
      <c r="B893" s="120"/>
      <c r="C893" s="120"/>
      <c r="D893" s="121"/>
      <c r="E893" s="121"/>
      <c r="F893" s="120"/>
      <c r="G893" s="120"/>
      <c r="H893" s="121"/>
      <c r="I893" s="121"/>
      <c r="J893" s="121"/>
      <c r="K893" s="120"/>
      <c r="L893" s="120"/>
      <c r="M893" s="122"/>
      <c r="N893" s="121"/>
      <c r="O893" s="121"/>
      <c r="P893" s="121"/>
      <c r="Q893" s="121"/>
      <c r="R893" s="120"/>
      <c r="S893" s="120"/>
      <c r="T893" s="120"/>
      <c r="U893" s="190"/>
      <c r="V893" s="190"/>
      <c r="W893" s="190"/>
      <c r="X893" s="190"/>
      <c r="Y893" s="190"/>
      <c r="Z893" s="190"/>
      <c r="AA893" s="120"/>
      <c r="AB893" s="120"/>
      <c r="AC893" s="120"/>
    </row>
    <row r="894" spans="1:29" ht="14.25" customHeight="1">
      <c r="A894" s="120"/>
      <c r="B894" s="120"/>
      <c r="C894" s="120"/>
      <c r="D894" s="121"/>
      <c r="E894" s="121"/>
      <c r="F894" s="120"/>
      <c r="G894" s="120"/>
      <c r="H894" s="121"/>
      <c r="I894" s="121"/>
      <c r="J894" s="121"/>
      <c r="K894" s="120"/>
      <c r="L894" s="120"/>
      <c r="M894" s="122"/>
      <c r="N894" s="121"/>
      <c r="O894" s="121"/>
      <c r="P894" s="121"/>
      <c r="Q894" s="121"/>
      <c r="R894" s="120"/>
      <c r="S894" s="120"/>
      <c r="T894" s="120"/>
      <c r="U894" s="190"/>
      <c r="V894" s="190"/>
      <c r="W894" s="190"/>
      <c r="X894" s="190"/>
      <c r="Y894" s="190"/>
      <c r="Z894" s="190"/>
      <c r="AA894" s="120"/>
      <c r="AB894" s="120"/>
      <c r="AC894" s="120"/>
    </row>
    <row r="895" spans="1:29" ht="14.25" customHeight="1">
      <c r="A895" s="120"/>
      <c r="B895" s="120"/>
      <c r="C895" s="120"/>
      <c r="D895" s="121"/>
      <c r="E895" s="121"/>
      <c r="F895" s="120"/>
      <c r="G895" s="120"/>
      <c r="H895" s="121"/>
      <c r="I895" s="121"/>
      <c r="J895" s="121"/>
      <c r="K895" s="120"/>
      <c r="L895" s="120"/>
      <c r="M895" s="122"/>
      <c r="N895" s="121"/>
      <c r="O895" s="121"/>
      <c r="P895" s="121"/>
      <c r="Q895" s="121"/>
      <c r="R895" s="120"/>
      <c r="S895" s="120"/>
      <c r="T895" s="120"/>
      <c r="U895" s="190"/>
      <c r="V895" s="190"/>
      <c r="W895" s="190"/>
      <c r="X895" s="190"/>
      <c r="Y895" s="190"/>
      <c r="Z895" s="190"/>
      <c r="AA895" s="120"/>
      <c r="AB895" s="120"/>
      <c r="AC895" s="120"/>
    </row>
    <row r="896" spans="1:29" ht="14.25" customHeight="1">
      <c r="A896" s="120"/>
      <c r="B896" s="120"/>
      <c r="C896" s="120"/>
      <c r="D896" s="121"/>
      <c r="E896" s="121"/>
      <c r="F896" s="120"/>
      <c r="G896" s="120"/>
      <c r="H896" s="121"/>
      <c r="I896" s="121"/>
      <c r="J896" s="121"/>
      <c r="K896" s="120"/>
      <c r="L896" s="120"/>
      <c r="M896" s="122"/>
      <c r="N896" s="121"/>
      <c r="O896" s="121"/>
      <c r="P896" s="121"/>
      <c r="Q896" s="121"/>
      <c r="R896" s="120"/>
      <c r="S896" s="120"/>
      <c r="T896" s="120"/>
      <c r="U896" s="190"/>
      <c r="V896" s="190"/>
      <c r="W896" s="190"/>
      <c r="X896" s="190"/>
      <c r="Y896" s="190"/>
      <c r="Z896" s="190"/>
      <c r="AA896" s="120"/>
      <c r="AB896" s="120"/>
      <c r="AC896" s="120"/>
    </row>
    <row r="897" spans="1:29" ht="14.25" customHeight="1">
      <c r="A897" s="120"/>
      <c r="B897" s="120"/>
      <c r="C897" s="120"/>
      <c r="D897" s="121"/>
      <c r="E897" s="121"/>
      <c r="F897" s="120"/>
      <c r="G897" s="120"/>
      <c r="H897" s="121"/>
      <c r="I897" s="121"/>
      <c r="J897" s="121"/>
      <c r="K897" s="120"/>
      <c r="L897" s="120"/>
      <c r="M897" s="122"/>
      <c r="N897" s="121"/>
      <c r="O897" s="121"/>
      <c r="P897" s="121"/>
      <c r="Q897" s="121"/>
      <c r="R897" s="120"/>
      <c r="S897" s="120"/>
      <c r="T897" s="120"/>
      <c r="U897" s="190"/>
      <c r="V897" s="190"/>
      <c r="W897" s="190"/>
      <c r="X897" s="190"/>
      <c r="Y897" s="190"/>
      <c r="Z897" s="190"/>
      <c r="AA897" s="120"/>
      <c r="AB897" s="120"/>
      <c r="AC897" s="120"/>
    </row>
    <row r="898" spans="1:29" ht="14.25" customHeight="1">
      <c r="A898" s="120"/>
      <c r="B898" s="120"/>
      <c r="C898" s="120"/>
      <c r="D898" s="121"/>
      <c r="E898" s="121"/>
      <c r="F898" s="120"/>
      <c r="G898" s="120"/>
      <c r="H898" s="121"/>
      <c r="I898" s="121"/>
      <c r="J898" s="121"/>
      <c r="K898" s="120"/>
      <c r="L898" s="120"/>
      <c r="M898" s="122"/>
      <c r="N898" s="121"/>
      <c r="O898" s="121"/>
      <c r="P898" s="121"/>
      <c r="Q898" s="121"/>
      <c r="R898" s="120"/>
      <c r="S898" s="120"/>
      <c r="T898" s="120"/>
      <c r="U898" s="190"/>
      <c r="V898" s="190"/>
      <c r="W898" s="190"/>
      <c r="X898" s="190"/>
      <c r="Y898" s="190"/>
      <c r="Z898" s="190"/>
      <c r="AA898" s="120"/>
      <c r="AB898" s="120"/>
      <c r="AC898" s="120"/>
    </row>
    <row r="899" spans="1:29" ht="14.25" customHeight="1">
      <c r="A899" s="120"/>
      <c r="B899" s="120"/>
      <c r="C899" s="120"/>
      <c r="D899" s="121"/>
      <c r="E899" s="121"/>
      <c r="F899" s="120"/>
      <c r="G899" s="120"/>
      <c r="H899" s="121"/>
      <c r="I899" s="121"/>
      <c r="J899" s="121"/>
      <c r="K899" s="120"/>
      <c r="L899" s="120"/>
      <c r="M899" s="122"/>
      <c r="N899" s="121"/>
      <c r="O899" s="121"/>
      <c r="P899" s="121"/>
      <c r="Q899" s="121"/>
      <c r="R899" s="120"/>
      <c r="S899" s="120"/>
      <c r="T899" s="120"/>
      <c r="U899" s="190"/>
      <c r="V899" s="190"/>
      <c r="W899" s="190"/>
      <c r="X899" s="190"/>
      <c r="Y899" s="190"/>
      <c r="Z899" s="190"/>
      <c r="AA899" s="120"/>
      <c r="AB899" s="120"/>
      <c r="AC899" s="120"/>
    </row>
    <row r="900" spans="1:29" ht="14.25" customHeight="1">
      <c r="A900" s="120"/>
      <c r="B900" s="120"/>
      <c r="C900" s="120"/>
      <c r="D900" s="121"/>
      <c r="E900" s="121"/>
      <c r="F900" s="120"/>
      <c r="G900" s="120"/>
      <c r="H900" s="121"/>
      <c r="I900" s="121"/>
      <c r="J900" s="121"/>
      <c r="K900" s="120"/>
      <c r="L900" s="120"/>
      <c r="M900" s="122"/>
      <c r="N900" s="121"/>
      <c r="O900" s="121"/>
      <c r="P900" s="121"/>
      <c r="Q900" s="121"/>
      <c r="R900" s="120"/>
      <c r="S900" s="120"/>
      <c r="T900" s="120"/>
      <c r="U900" s="190"/>
      <c r="V900" s="190"/>
      <c r="W900" s="190"/>
      <c r="X900" s="190"/>
      <c r="Y900" s="190"/>
      <c r="Z900" s="190"/>
      <c r="AA900" s="120"/>
      <c r="AB900" s="120"/>
      <c r="AC900" s="120"/>
    </row>
    <row r="901" spans="1:29" ht="14.25" customHeight="1">
      <c r="A901" s="120"/>
      <c r="B901" s="120"/>
      <c r="C901" s="120"/>
      <c r="D901" s="121"/>
      <c r="E901" s="121"/>
      <c r="F901" s="120"/>
      <c r="G901" s="120"/>
      <c r="H901" s="121"/>
      <c r="I901" s="121"/>
      <c r="J901" s="121"/>
      <c r="K901" s="120"/>
      <c r="L901" s="120"/>
      <c r="M901" s="122"/>
      <c r="N901" s="121"/>
      <c r="O901" s="121"/>
      <c r="P901" s="121"/>
      <c r="Q901" s="121"/>
      <c r="R901" s="120"/>
      <c r="S901" s="120"/>
      <c r="T901" s="120"/>
      <c r="U901" s="190"/>
      <c r="V901" s="190"/>
      <c r="W901" s="190"/>
      <c r="X901" s="190"/>
      <c r="Y901" s="190"/>
      <c r="Z901" s="190"/>
      <c r="AA901" s="120"/>
      <c r="AB901" s="120"/>
      <c r="AC901" s="120"/>
    </row>
    <row r="902" spans="1:29" ht="14.25" customHeight="1">
      <c r="A902" s="120"/>
      <c r="B902" s="120"/>
      <c r="C902" s="120"/>
      <c r="D902" s="121"/>
      <c r="E902" s="121"/>
      <c r="F902" s="120"/>
      <c r="G902" s="120"/>
      <c r="H902" s="121"/>
      <c r="I902" s="121"/>
      <c r="J902" s="121"/>
      <c r="K902" s="120"/>
      <c r="L902" s="120"/>
      <c r="M902" s="122"/>
      <c r="N902" s="121"/>
      <c r="O902" s="121"/>
      <c r="P902" s="121"/>
      <c r="Q902" s="121"/>
      <c r="R902" s="120"/>
      <c r="S902" s="120"/>
      <c r="T902" s="120"/>
      <c r="U902" s="190"/>
      <c r="V902" s="190"/>
      <c r="W902" s="190"/>
      <c r="X902" s="190"/>
      <c r="Y902" s="190"/>
      <c r="Z902" s="190"/>
      <c r="AA902" s="120"/>
      <c r="AB902" s="120"/>
      <c r="AC902" s="120"/>
    </row>
    <row r="903" spans="1:29" ht="14.25" customHeight="1">
      <c r="A903" s="120"/>
      <c r="B903" s="120"/>
      <c r="C903" s="120"/>
      <c r="D903" s="121"/>
      <c r="E903" s="121"/>
      <c r="F903" s="120"/>
      <c r="G903" s="120"/>
      <c r="H903" s="121"/>
      <c r="I903" s="121"/>
      <c r="J903" s="121"/>
      <c r="K903" s="120"/>
      <c r="L903" s="120"/>
      <c r="M903" s="122"/>
      <c r="N903" s="121"/>
      <c r="O903" s="121"/>
      <c r="P903" s="121"/>
      <c r="Q903" s="121"/>
      <c r="R903" s="120"/>
      <c r="S903" s="120"/>
      <c r="T903" s="120"/>
      <c r="U903" s="190"/>
      <c r="V903" s="190"/>
      <c r="W903" s="190"/>
      <c r="X903" s="190"/>
      <c r="Y903" s="190"/>
      <c r="Z903" s="190"/>
      <c r="AA903" s="120"/>
      <c r="AB903" s="120"/>
      <c r="AC903" s="120"/>
    </row>
    <row r="904" spans="1:29" ht="14.25" customHeight="1">
      <c r="A904" s="120"/>
      <c r="B904" s="120"/>
      <c r="C904" s="120"/>
      <c r="D904" s="121"/>
      <c r="E904" s="121"/>
      <c r="F904" s="120"/>
      <c r="G904" s="120"/>
      <c r="H904" s="121"/>
      <c r="I904" s="121"/>
      <c r="J904" s="121"/>
      <c r="K904" s="120"/>
      <c r="L904" s="120"/>
      <c r="M904" s="122"/>
      <c r="N904" s="121"/>
      <c r="O904" s="121"/>
      <c r="P904" s="121"/>
      <c r="Q904" s="121"/>
      <c r="R904" s="120"/>
      <c r="S904" s="120"/>
      <c r="T904" s="120"/>
      <c r="U904" s="190"/>
      <c r="V904" s="190"/>
      <c r="W904" s="190"/>
      <c r="X904" s="190"/>
      <c r="Y904" s="190"/>
      <c r="Z904" s="190"/>
      <c r="AA904" s="120"/>
      <c r="AB904" s="120"/>
      <c r="AC904" s="120"/>
    </row>
    <row r="905" spans="1:29" ht="14.25" customHeight="1">
      <c r="A905" s="120"/>
      <c r="B905" s="120"/>
      <c r="C905" s="120"/>
      <c r="D905" s="121"/>
      <c r="E905" s="121"/>
      <c r="F905" s="120"/>
      <c r="G905" s="120"/>
      <c r="H905" s="121"/>
      <c r="I905" s="121"/>
      <c r="J905" s="121"/>
      <c r="K905" s="120"/>
      <c r="L905" s="120"/>
      <c r="M905" s="122"/>
      <c r="N905" s="121"/>
      <c r="O905" s="121"/>
      <c r="P905" s="121"/>
      <c r="Q905" s="121"/>
      <c r="R905" s="120"/>
      <c r="S905" s="120"/>
      <c r="T905" s="120"/>
      <c r="U905" s="190"/>
      <c r="V905" s="190"/>
      <c r="W905" s="190"/>
      <c r="X905" s="190"/>
      <c r="Y905" s="190"/>
      <c r="Z905" s="190"/>
      <c r="AA905" s="120"/>
      <c r="AB905" s="120"/>
      <c r="AC905" s="120"/>
    </row>
    <row r="906" spans="1:29" ht="14.25" customHeight="1">
      <c r="A906" s="120"/>
      <c r="B906" s="120"/>
      <c r="C906" s="120"/>
      <c r="D906" s="121"/>
      <c r="E906" s="121"/>
      <c r="F906" s="120"/>
      <c r="G906" s="120"/>
      <c r="H906" s="121"/>
      <c r="I906" s="121"/>
      <c r="J906" s="121"/>
      <c r="K906" s="120"/>
      <c r="L906" s="120"/>
      <c r="M906" s="122"/>
      <c r="N906" s="121"/>
      <c r="O906" s="121"/>
      <c r="P906" s="121"/>
      <c r="Q906" s="121"/>
      <c r="R906" s="120"/>
      <c r="S906" s="120"/>
      <c r="T906" s="120"/>
      <c r="U906" s="190"/>
      <c r="V906" s="190"/>
      <c r="W906" s="190"/>
      <c r="X906" s="190"/>
      <c r="Y906" s="190"/>
      <c r="Z906" s="190"/>
      <c r="AA906" s="120"/>
      <c r="AB906" s="120"/>
      <c r="AC906" s="120"/>
    </row>
    <row r="907" spans="1:29" ht="14.25" customHeight="1">
      <c r="A907" s="120"/>
      <c r="B907" s="120"/>
      <c r="C907" s="120"/>
      <c r="D907" s="121"/>
      <c r="E907" s="121"/>
      <c r="F907" s="120"/>
      <c r="G907" s="120"/>
      <c r="H907" s="121"/>
      <c r="I907" s="121"/>
      <c r="J907" s="121"/>
      <c r="K907" s="120"/>
      <c r="L907" s="120"/>
      <c r="M907" s="122"/>
      <c r="N907" s="121"/>
      <c r="O907" s="121"/>
      <c r="P907" s="121"/>
      <c r="Q907" s="121"/>
      <c r="R907" s="120"/>
      <c r="S907" s="120"/>
      <c r="T907" s="120"/>
      <c r="U907" s="190"/>
      <c r="V907" s="190"/>
      <c r="W907" s="190"/>
      <c r="X907" s="190"/>
      <c r="Y907" s="190"/>
      <c r="Z907" s="190"/>
      <c r="AA907" s="120"/>
      <c r="AB907" s="120"/>
      <c r="AC907" s="120"/>
    </row>
    <row r="908" spans="1:29" ht="14.25" customHeight="1">
      <c r="A908" s="120"/>
      <c r="B908" s="120"/>
      <c r="C908" s="120"/>
      <c r="D908" s="121"/>
      <c r="E908" s="121"/>
      <c r="F908" s="120"/>
      <c r="G908" s="120"/>
      <c r="H908" s="121"/>
      <c r="I908" s="121"/>
      <c r="J908" s="121"/>
      <c r="K908" s="120"/>
      <c r="L908" s="120"/>
      <c r="M908" s="122"/>
      <c r="N908" s="121"/>
      <c r="O908" s="121"/>
      <c r="P908" s="121"/>
      <c r="Q908" s="121"/>
      <c r="R908" s="120"/>
      <c r="S908" s="120"/>
      <c r="T908" s="120"/>
      <c r="U908" s="190"/>
      <c r="V908" s="190"/>
      <c r="W908" s="190"/>
      <c r="X908" s="190"/>
      <c r="Y908" s="190"/>
      <c r="Z908" s="190"/>
      <c r="AA908" s="120"/>
      <c r="AB908" s="120"/>
      <c r="AC908" s="120"/>
    </row>
    <row r="909" spans="1:29" ht="14.25" customHeight="1">
      <c r="A909" s="120"/>
      <c r="B909" s="120"/>
      <c r="C909" s="120"/>
      <c r="D909" s="121"/>
      <c r="E909" s="121"/>
      <c r="F909" s="120"/>
      <c r="G909" s="120"/>
      <c r="H909" s="121"/>
      <c r="I909" s="121"/>
      <c r="J909" s="121"/>
      <c r="K909" s="120"/>
      <c r="L909" s="120"/>
      <c r="M909" s="122"/>
      <c r="N909" s="121"/>
      <c r="O909" s="121"/>
      <c r="P909" s="121"/>
      <c r="Q909" s="121"/>
      <c r="R909" s="120"/>
      <c r="S909" s="120"/>
      <c r="T909" s="120"/>
      <c r="U909" s="190"/>
      <c r="V909" s="190"/>
      <c r="W909" s="190"/>
      <c r="X909" s="190"/>
      <c r="Y909" s="190"/>
      <c r="Z909" s="190"/>
      <c r="AA909" s="120"/>
      <c r="AB909" s="120"/>
      <c r="AC909" s="120"/>
    </row>
    <row r="910" spans="1:29" ht="14.25" customHeight="1">
      <c r="A910" s="120"/>
      <c r="B910" s="120"/>
      <c r="C910" s="120"/>
      <c r="D910" s="121"/>
      <c r="E910" s="121"/>
      <c r="F910" s="120"/>
      <c r="G910" s="120"/>
      <c r="H910" s="121"/>
      <c r="I910" s="121"/>
      <c r="J910" s="121"/>
      <c r="K910" s="120"/>
      <c r="L910" s="120"/>
      <c r="M910" s="122"/>
      <c r="N910" s="121"/>
      <c r="O910" s="121"/>
      <c r="P910" s="121"/>
      <c r="Q910" s="121"/>
      <c r="R910" s="120"/>
      <c r="S910" s="120"/>
      <c r="T910" s="120"/>
      <c r="U910" s="190"/>
      <c r="V910" s="190"/>
      <c r="W910" s="190"/>
      <c r="X910" s="190"/>
      <c r="Y910" s="190"/>
      <c r="Z910" s="190"/>
      <c r="AA910" s="120"/>
      <c r="AB910" s="120"/>
      <c r="AC910" s="120"/>
    </row>
    <row r="911" spans="1:29" ht="14.25" customHeight="1">
      <c r="A911" s="120"/>
      <c r="B911" s="120"/>
      <c r="C911" s="120"/>
      <c r="D911" s="121"/>
      <c r="E911" s="121"/>
      <c r="F911" s="120"/>
      <c r="G911" s="120"/>
      <c r="H911" s="121"/>
      <c r="I911" s="121"/>
      <c r="J911" s="121"/>
      <c r="K911" s="120"/>
      <c r="L911" s="120"/>
      <c r="M911" s="122"/>
      <c r="N911" s="121"/>
      <c r="O911" s="121"/>
      <c r="P911" s="121"/>
      <c r="Q911" s="121"/>
      <c r="R911" s="120"/>
      <c r="S911" s="120"/>
      <c r="T911" s="120"/>
      <c r="U911" s="190"/>
      <c r="V911" s="190"/>
      <c r="W911" s="190"/>
      <c r="X911" s="190"/>
      <c r="Y911" s="190"/>
      <c r="Z911" s="190"/>
      <c r="AA911" s="120"/>
      <c r="AB911" s="120"/>
      <c r="AC911" s="120"/>
    </row>
    <row r="912" spans="1:29" ht="14.25" customHeight="1">
      <c r="A912" s="120"/>
      <c r="B912" s="120"/>
      <c r="C912" s="120"/>
      <c r="D912" s="121"/>
      <c r="E912" s="121"/>
      <c r="F912" s="120"/>
      <c r="G912" s="120"/>
      <c r="H912" s="121"/>
      <c r="I912" s="121"/>
      <c r="J912" s="121"/>
      <c r="K912" s="120"/>
      <c r="L912" s="120"/>
      <c r="M912" s="122"/>
      <c r="N912" s="121"/>
      <c r="O912" s="121"/>
      <c r="P912" s="121"/>
      <c r="Q912" s="121"/>
      <c r="R912" s="120"/>
      <c r="S912" s="120"/>
      <c r="T912" s="120"/>
      <c r="U912" s="190"/>
      <c r="V912" s="190"/>
      <c r="W912" s="190"/>
      <c r="X912" s="190"/>
      <c r="Y912" s="190"/>
      <c r="Z912" s="190"/>
      <c r="AA912" s="120"/>
      <c r="AB912" s="120"/>
      <c r="AC912" s="120"/>
    </row>
    <row r="913" spans="1:29" ht="14.25" customHeight="1">
      <c r="A913" s="120"/>
      <c r="B913" s="120"/>
      <c r="C913" s="120"/>
      <c r="D913" s="121"/>
      <c r="E913" s="121"/>
      <c r="F913" s="120"/>
      <c r="G913" s="120"/>
      <c r="H913" s="121"/>
      <c r="I913" s="121"/>
      <c r="J913" s="121"/>
      <c r="K913" s="120"/>
      <c r="L913" s="120"/>
      <c r="M913" s="122"/>
      <c r="N913" s="121"/>
      <c r="O913" s="121"/>
      <c r="P913" s="121"/>
      <c r="Q913" s="121"/>
      <c r="R913" s="120"/>
      <c r="S913" s="120"/>
      <c r="T913" s="120"/>
      <c r="U913" s="190"/>
      <c r="V913" s="190"/>
      <c r="W913" s="190"/>
      <c r="X913" s="190"/>
      <c r="Y913" s="190"/>
      <c r="Z913" s="190"/>
      <c r="AA913" s="120"/>
      <c r="AB913" s="120"/>
      <c r="AC913" s="120"/>
    </row>
    <row r="914" spans="1:29" ht="14.25" customHeight="1">
      <c r="A914" s="120"/>
      <c r="B914" s="120"/>
      <c r="C914" s="120"/>
      <c r="D914" s="121"/>
      <c r="E914" s="121"/>
      <c r="F914" s="120"/>
      <c r="G914" s="120"/>
      <c r="H914" s="121"/>
      <c r="I914" s="121"/>
      <c r="J914" s="121"/>
      <c r="K914" s="120"/>
      <c r="L914" s="120"/>
      <c r="M914" s="122"/>
      <c r="N914" s="121"/>
      <c r="O914" s="121"/>
      <c r="P914" s="121"/>
      <c r="Q914" s="121"/>
      <c r="R914" s="120"/>
      <c r="S914" s="120"/>
      <c r="T914" s="120"/>
      <c r="U914" s="190"/>
      <c r="V914" s="190"/>
      <c r="W914" s="190"/>
      <c r="X914" s="190"/>
      <c r="Y914" s="190"/>
      <c r="Z914" s="190"/>
      <c r="AA914" s="120"/>
      <c r="AB914" s="120"/>
      <c r="AC914" s="120"/>
    </row>
    <row r="915" spans="1:29" ht="14.25" customHeight="1">
      <c r="A915" s="120"/>
      <c r="B915" s="120"/>
      <c r="C915" s="120"/>
      <c r="D915" s="121"/>
      <c r="E915" s="121"/>
      <c r="F915" s="120"/>
      <c r="G915" s="120"/>
      <c r="H915" s="121"/>
      <c r="I915" s="121"/>
      <c r="J915" s="121"/>
      <c r="K915" s="120"/>
      <c r="L915" s="120"/>
      <c r="M915" s="122"/>
      <c r="N915" s="121"/>
      <c r="O915" s="121"/>
      <c r="P915" s="121"/>
      <c r="Q915" s="121"/>
      <c r="R915" s="120"/>
      <c r="S915" s="120"/>
      <c r="T915" s="120"/>
      <c r="U915" s="190"/>
      <c r="V915" s="190"/>
      <c r="W915" s="190"/>
      <c r="X915" s="190"/>
      <c r="Y915" s="190"/>
      <c r="Z915" s="190"/>
      <c r="AA915" s="120"/>
      <c r="AB915" s="120"/>
      <c r="AC915" s="120"/>
    </row>
    <row r="916" spans="1:29" ht="14.25" customHeight="1">
      <c r="A916" s="120"/>
      <c r="B916" s="120"/>
      <c r="C916" s="120"/>
      <c r="D916" s="121"/>
      <c r="E916" s="121"/>
      <c r="F916" s="120"/>
      <c r="G916" s="120"/>
      <c r="H916" s="121"/>
      <c r="I916" s="121"/>
      <c r="J916" s="121"/>
      <c r="K916" s="120"/>
      <c r="L916" s="120"/>
      <c r="M916" s="122"/>
      <c r="N916" s="121"/>
      <c r="O916" s="121"/>
      <c r="P916" s="121"/>
      <c r="Q916" s="121"/>
      <c r="R916" s="120"/>
      <c r="S916" s="120"/>
      <c r="T916" s="120"/>
      <c r="U916" s="190"/>
      <c r="V916" s="190"/>
      <c r="W916" s="190"/>
      <c r="X916" s="190"/>
      <c r="Y916" s="190"/>
      <c r="Z916" s="190"/>
      <c r="AA916" s="120"/>
      <c r="AB916" s="120"/>
      <c r="AC916" s="120"/>
    </row>
    <row r="917" spans="1:29" ht="14.25" customHeight="1">
      <c r="A917" s="120"/>
      <c r="B917" s="120"/>
      <c r="C917" s="120"/>
      <c r="D917" s="121"/>
      <c r="E917" s="121"/>
      <c r="F917" s="120"/>
      <c r="G917" s="120"/>
      <c r="H917" s="121"/>
      <c r="I917" s="121"/>
      <c r="J917" s="121"/>
      <c r="K917" s="120"/>
      <c r="L917" s="120"/>
      <c r="M917" s="122"/>
      <c r="N917" s="121"/>
      <c r="O917" s="121"/>
      <c r="P917" s="121"/>
      <c r="Q917" s="121"/>
      <c r="R917" s="120"/>
      <c r="S917" s="120"/>
      <c r="T917" s="120"/>
      <c r="U917" s="190"/>
      <c r="V917" s="190"/>
      <c r="W917" s="190"/>
      <c r="X917" s="190"/>
      <c r="Y917" s="190"/>
      <c r="Z917" s="190"/>
      <c r="AA917" s="120"/>
      <c r="AB917" s="120"/>
      <c r="AC917" s="120"/>
    </row>
    <row r="918" spans="1:29" ht="14.25" customHeight="1">
      <c r="A918" s="120"/>
      <c r="B918" s="120"/>
      <c r="C918" s="120"/>
      <c r="D918" s="121"/>
      <c r="E918" s="121"/>
      <c r="F918" s="120"/>
      <c r="G918" s="120"/>
      <c r="H918" s="121"/>
      <c r="I918" s="121"/>
      <c r="J918" s="121"/>
      <c r="K918" s="120"/>
      <c r="L918" s="120"/>
      <c r="M918" s="122"/>
      <c r="N918" s="121"/>
      <c r="O918" s="121"/>
      <c r="P918" s="121"/>
      <c r="Q918" s="121"/>
      <c r="R918" s="120"/>
      <c r="S918" s="120"/>
      <c r="T918" s="120"/>
      <c r="U918" s="190"/>
      <c r="V918" s="190"/>
      <c r="W918" s="190"/>
      <c r="X918" s="190"/>
      <c r="Y918" s="190"/>
      <c r="Z918" s="190"/>
      <c r="AA918" s="120"/>
      <c r="AB918" s="120"/>
      <c r="AC918" s="120"/>
    </row>
    <row r="919" spans="1:29" ht="14.25" customHeight="1">
      <c r="A919" s="120"/>
      <c r="B919" s="120"/>
      <c r="C919" s="120"/>
      <c r="D919" s="121"/>
      <c r="E919" s="121"/>
      <c r="F919" s="120"/>
      <c r="G919" s="120"/>
      <c r="H919" s="121"/>
      <c r="I919" s="121"/>
      <c r="J919" s="121"/>
      <c r="K919" s="120"/>
      <c r="L919" s="120"/>
      <c r="M919" s="122"/>
      <c r="N919" s="121"/>
      <c r="O919" s="121"/>
      <c r="P919" s="121"/>
      <c r="Q919" s="121"/>
      <c r="R919" s="120"/>
      <c r="S919" s="120"/>
      <c r="T919" s="120"/>
      <c r="U919" s="190"/>
      <c r="V919" s="190"/>
      <c r="W919" s="190"/>
      <c r="X919" s="190"/>
      <c r="Y919" s="190"/>
      <c r="Z919" s="190"/>
      <c r="AA919" s="120"/>
      <c r="AB919" s="120"/>
      <c r="AC919" s="120"/>
    </row>
    <row r="920" spans="1:29" ht="14.25" customHeight="1">
      <c r="A920" s="120"/>
      <c r="B920" s="120"/>
      <c r="C920" s="120"/>
      <c r="D920" s="121"/>
      <c r="E920" s="121"/>
      <c r="F920" s="120"/>
      <c r="G920" s="120"/>
      <c r="H920" s="121"/>
      <c r="I920" s="121"/>
      <c r="J920" s="121"/>
      <c r="K920" s="120"/>
      <c r="L920" s="120"/>
      <c r="M920" s="122"/>
      <c r="N920" s="121"/>
      <c r="O920" s="121"/>
      <c r="P920" s="121"/>
      <c r="Q920" s="121"/>
      <c r="R920" s="120"/>
      <c r="S920" s="120"/>
      <c r="T920" s="120"/>
      <c r="U920" s="190"/>
      <c r="V920" s="190"/>
      <c r="W920" s="190"/>
      <c r="X920" s="190"/>
      <c r="Y920" s="190"/>
      <c r="Z920" s="190"/>
      <c r="AA920" s="120"/>
      <c r="AB920" s="120"/>
      <c r="AC920" s="120"/>
    </row>
    <row r="921" spans="1:29" ht="14.25" customHeight="1">
      <c r="A921" s="120"/>
      <c r="B921" s="120"/>
      <c r="C921" s="120"/>
      <c r="D921" s="121"/>
      <c r="E921" s="121"/>
      <c r="F921" s="120"/>
      <c r="G921" s="120"/>
      <c r="H921" s="121"/>
      <c r="I921" s="121"/>
      <c r="J921" s="121"/>
      <c r="K921" s="120"/>
      <c r="L921" s="120"/>
      <c r="M921" s="122"/>
      <c r="N921" s="121"/>
      <c r="O921" s="121"/>
      <c r="P921" s="121"/>
      <c r="Q921" s="121"/>
      <c r="R921" s="120"/>
      <c r="S921" s="120"/>
      <c r="T921" s="120"/>
      <c r="U921" s="190"/>
      <c r="V921" s="190"/>
      <c r="W921" s="190"/>
      <c r="X921" s="190"/>
      <c r="Y921" s="190"/>
      <c r="Z921" s="190"/>
      <c r="AA921" s="120"/>
      <c r="AB921" s="120"/>
      <c r="AC921" s="120"/>
    </row>
    <row r="922" spans="1:29" ht="14.25" customHeight="1">
      <c r="A922" s="120"/>
      <c r="B922" s="120"/>
      <c r="C922" s="120"/>
      <c r="D922" s="121"/>
      <c r="E922" s="121"/>
      <c r="F922" s="120"/>
      <c r="G922" s="120"/>
      <c r="H922" s="121"/>
      <c r="I922" s="121"/>
      <c r="J922" s="121"/>
      <c r="K922" s="120"/>
      <c r="L922" s="120"/>
      <c r="M922" s="122"/>
      <c r="N922" s="121"/>
      <c r="O922" s="121"/>
      <c r="P922" s="121"/>
      <c r="Q922" s="121"/>
      <c r="R922" s="120"/>
      <c r="S922" s="120"/>
      <c r="T922" s="120"/>
      <c r="U922" s="190"/>
      <c r="V922" s="190"/>
      <c r="W922" s="190"/>
      <c r="X922" s="190"/>
      <c r="Y922" s="190"/>
      <c r="Z922" s="190"/>
      <c r="AA922" s="120"/>
      <c r="AB922" s="120"/>
      <c r="AC922" s="120"/>
    </row>
    <row r="923" spans="1:29" ht="14.25" customHeight="1">
      <c r="A923" s="120"/>
      <c r="B923" s="120"/>
      <c r="C923" s="120"/>
      <c r="D923" s="121"/>
      <c r="E923" s="121"/>
      <c r="F923" s="120"/>
      <c r="G923" s="120"/>
      <c r="H923" s="121"/>
      <c r="I923" s="121"/>
      <c r="J923" s="121"/>
      <c r="K923" s="120"/>
      <c r="L923" s="120"/>
      <c r="M923" s="122"/>
      <c r="N923" s="121"/>
      <c r="O923" s="121"/>
      <c r="P923" s="121"/>
      <c r="Q923" s="121"/>
      <c r="R923" s="120"/>
      <c r="S923" s="120"/>
      <c r="T923" s="120"/>
      <c r="U923" s="190"/>
      <c r="V923" s="190"/>
      <c r="W923" s="190"/>
      <c r="X923" s="190"/>
      <c r="Y923" s="190"/>
      <c r="Z923" s="190"/>
      <c r="AA923" s="120"/>
      <c r="AB923" s="120"/>
      <c r="AC923" s="120"/>
    </row>
    <row r="924" spans="1:29" ht="14.25" customHeight="1">
      <c r="A924" s="120"/>
      <c r="B924" s="120"/>
      <c r="C924" s="120"/>
      <c r="D924" s="121"/>
      <c r="E924" s="121"/>
      <c r="F924" s="120"/>
      <c r="G924" s="120"/>
      <c r="H924" s="121"/>
      <c r="I924" s="121"/>
      <c r="J924" s="121"/>
      <c r="K924" s="120"/>
      <c r="L924" s="120"/>
      <c r="M924" s="122"/>
      <c r="N924" s="121"/>
      <c r="O924" s="121"/>
      <c r="P924" s="121"/>
      <c r="Q924" s="121"/>
      <c r="R924" s="120"/>
      <c r="S924" s="120"/>
      <c r="T924" s="120"/>
      <c r="U924" s="190"/>
      <c r="V924" s="190"/>
      <c r="W924" s="190"/>
      <c r="X924" s="190"/>
      <c r="Y924" s="190"/>
      <c r="Z924" s="190"/>
      <c r="AA924" s="120"/>
      <c r="AB924" s="120"/>
      <c r="AC924" s="120"/>
    </row>
    <row r="925" spans="1:29" ht="14.25" customHeight="1">
      <c r="A925" s="120"/>
      <c r="B925" s="120"/>
      <c r="C925" s="120"/>
      <c r="D925" s="121"/>
      <c r="E925" s="121"/>
      <c r="F925" s="120"/>
      <c r="G925" s="120"/>
      <c r="H925" s="121"/>
      <c r="I925" s="121"/>
      <c r="J925" s="121"/>
      <c r="K925" s="120"/>
      <c r="L925" s="120"/>
      <c r="M925" s="122"/>
      <c r="N925" s="121"/>
      <c r="O925" s="121"/>
      <c r="P925" s="121"/>
      <c r="Q925" s="121"/>
      <c r="R925" s="120"/>
      <c r="S925" s="120"/>
      <c r="T925" s="120"/>
      <c r="U925" s="190"/>
      <c r="V925" s="190"/>
      <c r="W925" s="190"/>
      <c r="X925" s="190"/>
      <c r="Y925" s="190"/>
      <c r="Z925" s="190"/>
      <c r="AA925" s="120"/>
      <c r="AB925" s="120"/>
      <c r="AC925" s="120"/>
    </row>
    <row r="926" spans="1:29" ht="14.25" customHeight="1">
      <c r="A926" s="120"/>
      <c r="B926" s="120"/>
      <c r="C926" s="120"/>
      <c r="D926" s="121"/>
      <c r="E926" s="121"/>
      <c r="F926" s="120"/>
      <c r="G926" s="120"/>
      <c r="H926" s="121"/>
      <c r="I926" s="121"/>
      <c r="J926" s="121"/>
      <c r="K926" s="120"/>
      <c r="L926" s="120"/>
      <c r="M926" s="122"/>
      <c r="N926" s="121"/>
      <c r="O926" s="121"/>
      <c r="P926" s="121"/>
      <c r="Q926" s="121"/>
      <c r="R926" s="120"/>
      <c r="S926" s="120"/>
      <c r="T926" s="120"/>
      <c r="U926" s="190"/>
      <c r="V926" s="190"/>
      <c r="W926" s="190"/>
      <c r="X926" s="190"/>
      <c r="Y926" s="190"/>
      <c r="Z926" s="190"/>
      <c r="AA926" s="120"/>
      <c r="AB926" s="120"/>
      <c r="AC926" s="120"/>
    </row>
    <row r="927" spans="1:29" ht="14.25" customHeight="1">
      <c r="A927" s="120"/>
      <c r="B927" s="120"/>
      <c r="C927" s="120"/>
      <c r="D927" s="121"/>
      <c r="E927" s="121"/>
      <c r="F927" s="120"/>
      <c r="G927" s="120"/>
      <c r="H927" s="121"/>
      <c r="I927" s="121"/>
      <c r="J927" s="121"/>
      <c r="K927" s="120"/>
      <c r="L927" s="120"/>
      <c r="M927" s="122"/>
      <c r="N927" s="121"/>
      <c r="O927" s="121"/>
      <c r="P927" s="121"/>
      <c r="Q927" s="121"/>
      <c r="R927" s="120"/>
      <c r="S927" s="120"/>
      <c r="T927" s="120"/>
      <c r="U927" s="190"/>
      <c r="V927" s="190"/>
      <c r="W927" s="190"/>
      <c r="X927" s="190"/>
      <c r="Y927" s="190"/>
      <c r="Z927" s="190"/>
      <c r="AA927" s="120"/>
      <c r="AB927" s="120"/>
      <c r="AC927" s="120"/>
    </row>
    <row r="928" spans="1:29" ht="14.25" customHeight="1">
      <c r="A928" s="120"/>
      <c r="B928" s="120"/>
      <c r="C928" s="120"/>
      <c r="D928" s="121"/>
      <c r="E928" s="121"/>
      <c r="F928" s="120"/>
      <c r="G928" s="120"/>
      <c r="H928" s="121"/>
      <c r="I928" s="121"/>
      <c r="J928" s="121"/>
      <c r="K928" s="120"/>
      <c r="L928" s="120"/>
      <c r="M928" s="122"/>
      <c r="N928" s="121"/>
      <c r="O928" s="121"/>
      <c r="P928" s="121"/>
      <c r="Q928" s="121"/>
      <c r="R928" s="120"/>
      <c r="S928" s="120"/>
      <c r="T928" s="120"/>
      <c r="U928" s="190"/>
      <c r="V928" s="190"/>
      <c r="W928" s="190"/>
      <c r="X928" s="190"/>
      <c r="Y928" s="190"/>
      <c r="Z928" s="190"/>
      <c r="AA928" s="120"/>
      <c r="AB928" s="120"/>
      <c r="AC928" s="120"/>
    </row>
    <row r="929" spans="1:29" ht="14.25" customHeight="1">
      <c r="A929" s="120"/>
      <c r="B929" s="120"/>
      <c r="C929" s="120"/>
      <c r="D929" s="121"/>
      <c r="E929" s="121"/>
      <c r="F929" s="120"/>
      <c r="G929" s="120"/>
      <c r="H929" s="121"/>
      <c r="I929" s="121"/>
      <c r="J929" s="121"/>
      <c r="K929" s="120"/>
      <c r="L929" s="120"/>
      <c r="M929" s="122"/>
      <c r="N929" s="121"/>
      <c r="O929" s="121"/>
      <c r="P929" s="121"/>
      <c r="Q929" s="121"/>
      <c r="R929" s="120"/>
      <c r="S929" s="120"/>
      <c r="T929" s="120"/>
      <c r="U929" s="190"/>
      <c r="V929" s="190"/>
      <c r="W929" s="190"/>
      <c r="X929" s="190"/>
      <c r="Y929" s="190"/>
      <c r="Z929" s="190"/>
      <c r="AA929" s="120"/>
      <c r="AB929" s="120"/>
      <c r="AC929" s="120"/>
    </row>
    <row r="930" spans="1:29" ht="14.25" customHeight="1">
      <c r="A930" s="120"/>
      <c r="B930" s="120"/>
      <c r="C930" s="120"/>
      <c r="D930" s="121"/>
      <c r="E930" s="121"/>
      <c r="F930" s="120"/>
      <c r="G930" s="120"/>
      <c r="H930" s="121"/>
      <c r="I930" s="121"/>
      <c r="J930" s="121"/>
      <c r="K930" s="120"/>
      <c r="L930" s="120"/>
      <c r="M930" s="122"/>
      <c r="N930" s="121"/>
      <c r="O930" s="121"/>
      <c r="P930" s="121"/>
      <c r="Q930" s="121"/>
      <c r="R930" s="120"/>
      <c r="S930" s="120"/>
      <c r="T930" s="120"/>
      <c r="U930" s="190"/>
      <c r="V930" s="190"/>
      <c r="W930" s="190"/>
      <c r="X930" s="190"/>
      <c r="Y930" s="190"/>
      <c r="Z930" s="190"/>
      <c r="AA930" s="120"/>
      <c r="AB930" s="120"/>
      <c r="AC930" s="120"/>
    </row>
    <row r="931" spans="1:29" ht="14.25" customHeight="1">
      <c r="A931" s="120"/>
      <c r="B931" s="120"/>
      <c r="C931" s="120"/>
      <c r="D931" s="121"/>
      <c r="E931" s="121"/>
      <c r="F931" s="120"/>
      <c r="G931" s="120"/>
      <c r="H931" s="121"/>
      <c r="I931" s="121"/>
      <c r="J931" s="121"/>
      <c r="K931" s="120"/>
      <c r="L931" s="120"/>
      <c r="M931" s="122"/>
      <c r="N931" s="121"/>
      <c r="O931" s="121"/>
      <c r="P931" s="121"/>
      <c r="Q931" s="121"/>
      <c r="R931" s="120"/>
      <c r="S931" s="120"/>
      <c r="T931" s="120"/>
      <c r="U931" s="190"/>
      <c r="V931" s="190"/>
      <c r="W931" s="190"/>
      <c r="X931" s="190"/>
      <c r="Y931" s="190"/>
      <c r="Z931" s="190"/>
      <c r="AA931" s="120"/>
      <c r="AB931" s="120"/>
      <c r="AC931" s="120"/>
    </row>
    <row r="932" spans="1:29" ht="14.25" customHeight="1">
      <c r="A932" s="120"/>
      <c r="B932" s="120"/>
      <c r="C932" s="120"/>
      <c r="D932" s="121"/>
      <c r="E932" s="121"/>
      <c r="F932" s="120"/>
      <c r="G932" s="120"/>
      <c r="H932" s="121"/>
      <c r="I932" s="121"/>
      <c r="J932" s="121"/>
      <c r="K932" s="120"/>
      <c r="L932" s="120"/>
      <c r="M932" s="122"/>
      <c r="N932" s="121"/>
      <c r="O932" s="121"/>
      <c r="P932" s="121"/>
      <c r="Q932" s="121"/>
      <c r="R932" s="120"/>
      <c r="S932" s="120"/>
      <c r="T932" s="120"/>
      <c r="U932" s="190"/>
      <c r="V932" s="190"/>
      <c r="W932" s="190"/>
      <c r="X932" s="190"/>
      <c r="Y932" s="190"/>
      <c r="Z932" s="190"/>
      <c r="AA932" s="120"/>
      <c r="AB932" s="120"/>
      <c r="AC932" s="120"/>
    </row>
    <row r="933" spans="1:29" ht="14.25" customHeight="1">
      <c r="A933" s="120"/>
      <c r="B933" s="120"/>
      <c r="C933" s="120"/>
      <c r="D933" s="121"/>
      <c r="E933" s="121"/>
      <c r="F933" s="120"/>
      <c r="G933" s="120"/>
      <c r="H933" s="121"/>
      <c r="I933" s="121"/>
      <c r="J933" s="121"/>
      <c r="K933" s="120"/>
      <c r="L933" s="120"/>
      <c r="M933" s="122"/>
      <c r="N933" s="121"/>
      <c r="O933" s="121"/>
      <c r="P933" s="121"/>
      <c r="Q933" s="121"/>
      <c r="R933" s="120"/>
      <c r="S933" s="120"/>
      <c r="T933" s="120"/>
      <c r="U933" s="190"/>
      <c r="V933" s="190"/>
      <c r="W933" s="190"/>
      <c r="X933" s="190"/>
      <c r="Y933" s="190"/>
      <c r="Z933" s="190"/>
      <c r="AA933" s="120"/>
      <c r="AB933" s="120"/>
      <c r="AC933" s="120"/>
    </row>
    <row r="934" spans="1:29" ht="14.25" customHeight="1">
      <c r="A934" s="120"/>
      <c r="B934" s="120"/>
      <c r="C934" s="120"/>
      <c r="D934" s="121"/>
      <c r="E934" s="121"/>
      <c r="F934" s="120"/>
      <c r="G934" s="120"/>
      <c r="H934" s="121"/>
      <c r="I934" s="121"/>
      <c r="J934" s="121"/>
      <c r="K934" s="120"/>
      <c r="L934" s="120"/>
      <c r="M934" s="122"/>
      <c r="N934" s="121"/>
      <c r="O934" s="121"/>
      <c r="P934" s="121"/>
      <c r="Q934" s="121"/>
      <c r="R934" s="120"/>
      <c r="S934" s="120"/>
      <c r="T934" s="120"/>
      <c r="U934" s="190"/>
      <c r="V934" s="190"/>
      <c r="W934" s="190"/>
      <c r="X934" s="190"/>
      <c r="Y934" s="190"/>
      <c r="Z934" s="190"/>
      <c r="AA934" s="120"/>
      <c r="AB934" s="120"/>
      <c r="AC934" s="120"/>
    </row>
    <row r="935" spans="1:29" ht="14.25" customHeight="1">
      <c r="A935" s="120"/>
      <c r="B935" s="120"/>
      <c r="C935" s="120"/>
      <c r="D935" s="121"/>
      <c r="E935" s="121"/>
      <c r="F935" s="120"/>
      <c r="G935" s="120"/>
      <c r="H935" s="121"/>
      <c r="I935" s="121"/>
      <c r="J935" s="121"/>
      <c r="K935" s="120"/>
      <c r="L935" s="120"/>
      <c r="M935" s="122"/>
      <c r="N935" s="121"/>
      <c r="O935" s="121"/>
      <c r="P935" s="121"/>
      <c r="Q935" s="121"/>
      <c r="R935" s="120"/>
      <c r="S935" s="120"/>
      <c r="T935" s="120"/>
      <c r="U935" s="190"/>
      <c r="V935" s="190"/>
      <c r="W935" s="190"/>
      <c r="X935" s="190"/>
      <c r="Y935" s="190"/>
      <c r="Z935" s="190"/>
      <c r="AA935" s="120"/>
      <c r="AB935" s="120"/>
      <c r="AC935" s="120"/>
    </row>
    <row r="936" spans="1:29" ht="14.25" customHeight="1">
      <c r="A936" s="120"/>
      <c r="B936" s="120"/>
      <c r="C936" s="120"/>
      <c r="D936" s="121"/>
      <c r="E936" s="121"/>
      <c r="F936" s="120"/>
      <c r="G936" s="120"/>
      <c r="H936" s="121"/>
      <c r="I936" s="121"/>
      <c r="J936" s="121"/>
      <c r="K936" s="120"/>
      <c r="L936" s="120"/>
      <c r="M936" s="122"/>
      <c r="N936" s="121"/>
      <c r="O936" s="121"/>
      <c r="P936" s="121"/>
      <c r="Q936" s="121"/>
      <c r="R936" s="120"/>
      <c r="S936" s="120"/>
      <c r="T936" s="120"/>
      <c r="U936" s="190"/>
      <c r="V936" s="190"/>
      <c r="W936" s="190"/>
      <c r="X936" s="190"/>
      <c r="Y936" s="190"/>
      <c r="Z936" s="190"/>
      <c r="AA936" s="120"/>
      <c r="AB936" s="120"/>
      <c r="AC936" s="120"/>
    </row>
    <row r="937" spans="1:29" ht="14.25" customHeight="1">
      <c r="A937" s="120"/>
      <c r="B937" s="120"/>
      <c r="C937" s="120"/>
      <c r="D937" s="121"/>
      <c r="E937" s="121"/>
      <c r="F937" s="120"/>
      <c r="G937" s="120"/>
      <c r="H937" s="121"/>
      <c r="I937" s="121"/>
      <c r="J937" s="121"/>
      <c r="K937" s="120"/>
      <c r="L937" s="120"/>
      <c r="M937" s="122"/>
      <c r="N937" s="121"/>
      <c r="O937" s="121"/>
      <c r="P937" s="121"/>
      <c r="Q937" s="121"/>
      <c r="R937" s="120"/>
      <c r="S937" s="120"/>
      <c r="T937" s="120"/>
      <c r="U937" s="190"/>
      <c r="V937" s="190"/>
      <c r="W937" s="190"/>
      <c r="X937" s="190"/>
      <c r="Y937" s="190"/>
      <c r="Z937" s="190"/>
      <c r="AA937" s="120"/>
      <c r="AB937" s="120"/>
      <c r="AC937" s="120"/>
    </row>
    <row r="938" spans="1:29" ht="14.25" customHeight="1">
      <c r="A938" s="120"/>
      <c r="B938" s="120"/>
      <c r="C938" s="120"/>
      <c r="D938" s="121"/>
      <c r="E938" s="121"/>
      <c r="F938" s="120"/>
      <c r="G938" s="120"/>
      <c r="H938" s="121"/>
      <c r="I938" s="121"/>
      <c r="J938" s="121"/>
      <c r="K938" s="120"/>
      <c r="L938" s="120"/>
      <c r="M938" s="122"/>
      <c r="N938" s="121"/>
      <c r="O938" s="121"/>
      <c r="P938" s="121"/>
      <c r="Q938" s="121"/>
      <c r="R938" s="120"/>
      <c r="S938" s="120"/>
      <c r="T938" s="120"/>
      <c r="U938" s="190"/>
      <c r="V938" s="190"/>
      <c r="W938" s="190"/>
      <c r="X938" s="190"/>
      <c r="Y938" s="190"/>
      <c r="Z938" s="190"/>
      <c r="AA938" s="120"/>
      <c r="AB938" s="120"/>
      <c r="AC938" s="120"/>
    </row>
    <row r="939" spans="1:29" ht="14.25" customHeight="1">
      <c r="A939" s="120"/>
      <c r="B939" s="120"/>
      <c r="C939" s="120"/>
      <c r="D939" s="121"/>
      <c r="E939" s="121"/>
      <c r="F939" s="120"/>
      <c r="G939" s="120"/>
      <c r="H939" s="121"/>
      <c r="I939" s="121"/>
      <c r="J939" s="121"/>
      <c r="K939" s="120"/>
      <c r="L939" s="120"/>
      <c r="M939" s="122"/>
      <c r="N939" s="121"/>
      <c r="O939" s="121"/>
      <c r="P939" s="121"/>
      <c r="Q939" s="121"/>
      <c r="R939" s="120"/>
      <c r="S939" s="120"/>
      <c r="T939" s="120"/>
      <c r="U939" s="190"/>
      <c r="V939" s="190"/>
      <c r="W939" s="190"/>
      <c r="X939" s="190"/>
      <c r="Y939" s="190"/>
      <c r="Z939" s="190"/>
      <c r="AA939" s="120"/>
      <c r="AB939" s="120"/>
      <c r="AC939" s="120"/>
    </row>
    <row r="940" spans="1:29" ht="14.25" customHeight="1">
      <c r="A940" s="120"/>
      <c r="B940" s="120"/>
      <c r="C940" s="120"/>
      <c r="D940" s="121"/>
      <c r="E940" s="121"/>
      <c r="F940" s="120"/>
      <c r="G940" s="120"/>
      <c r="H940" s="121"/>
      <c r="I940" s="121"/>
      <c r="J940" s="121"/>
      <c r="K940" s="120"/>
      <c r="L940" s="120"/>
      <c r="M940" s="122"/>
      <c r="N940" s="121"/>
      <c r="O940" s="121"/>
      <c r="P940" s="121"/>
      <c r="Q940" s="121"/>
      <c r="R940" s="120"/>
      <c r="S940" s="120"/>
      <c r="T940" s="120"/>
      <c r="U940" s="190"/>
      <c r="V940" s="190"/>
      <c r="W940" s="190"/>
      <c r="X940" s="190"/>
      <c r="Y940" s="190"/>
      <c r="Z940" s="190"/>
      <c r="AA940" s="120"/>
      <c r="AB940" s="120"/>
      <c r="AC940" s="120"/>
    </row>
    <row r="941" spans="1:29" ht="14.25" customHeight="1">
      <c r="A941" s="120"/>
      <c r="B941" s="120"/>
      <c r="C941" s="120"/>
      <c r="D941" s="121"/>
      <c r="E941" s="121"/>
      <c r="F941" s="120"/>
      <c r="G941" s="120"/>
      <c r="H941" s="121"/>
      <c r="I941" s="121"/>
      <c r="J941" s="121"/>
      <c r="K941" s="120"/>
      <c r="L941" s="120"/>
      <c r="M941" s="122"/>
      <c r="N941" s="121"/>
      <c r="O941" s="121"/>
      <c r="P941" s="121"/>
      <c r="Q941" s="121"/>
      <c r="R941" s="120"/>
      <c r="S941" s="120"/>
      <c r="T941" s="120"/>
      <c r="U941" s="190"/>
      <c r="V941" s="190"/>
      <c r="W941" s="190"/>
      <c r="X941" s="190"/>
      <c r="Y941" s="190"/>
      <c r="Z941" s="190"/>
      <c r="AA941" s="120"/>
      <c r="AB941" s="120"/>
      <c r="AC941" s="120"/>
    </row>
    <row r="942" spans="1:29" ht="14.25" customHeight="1">
      <c r="A942" s="120"/>
      <c r="B942" s="120"/>
      <c r="C942" s="120"/>
      <c r="D942" s="121"/>
      <c r="E942" s="121"/>
      <c r="F942" s="120"/>
      <c r="G942" s="120"/>
      <c r="H942" s="121"/>
      <c r="I942" s="121"/>
      <c r="J942" s="121"/>
      <c r="K942" s="120"/>
      <c r="L942" s="120"/>
      <c r="M942" s="122"/>
      <c r="N942" s="121"/>
      <c r="O942" s="121"/>
      <c r="P942" s="121"/>
      <c r="Q942" s="121"/>
      <c r="R942" s="120"/>
      <c r="S942" s="120"/>
      <c r="T942" s="120"/>
      <c r="U942" s="190"/>
      <c r="V942" s="190"/>
      <c r="W942" s="190"/>
      <c r="X942" s="190"/>
      <c r="Y942" s="190"/>
      <c r="Z942" s="190"/>
      <c r="AA942" s="120"/>
      <c r="AB942" s="120"/>
      <c r="AC942" s="120"/>
    </row>
    <row r="943" spans="1:29" ht="14.25" customHeight="1">
      <c r="A943" s="120"/>
      <c r="B943" s="120"/>
      <c r="C943" s="120"/>
      <c r="D943" s="121"/>
      <c r="E943" s="121"/>
      <c r="F943" s="120"/>
      <c r="G943" s="120"/>
      <c r="H943" s="121"/>
      <c r="I943" s="121"/>
      <c r="J943" s="121"/>
      <c r="K943" s="120"/>
      <c r="L943" s="120"/>
      <c r="M943" s="122"/>
      <c r="N943" s="121"/>
      <c r="O943" s="121"/>
      <c r="P943" s="121"/>
      <c r="Q943" s="121"/>
      <c r="R943" s="120"/>
      <c r="S943" s="120"/>
      <c r="T943" s="120"/>
      <c r="U943" s="190"/>
      <c r="V943" s="190"/>
      <c r="W943" s="190"/>
      <c r="X943" s="190"/>
      <c r="Y943" s="190"/>
      <c r="Z943" s="190"/>
      <c r="AA943" s="120"/>
      <c r="AB943" s="120"/>
      <c r="AC943" s="120"/>
    </row>
    <row r="944" spans="1:29" ht="14.25" customHeight="1">
      <c r="A944" s="120"/>
      <c r="B944" s="120"/>
      <c r="C944" s="120"/>
      <c r="D944" s="121"/>
      <c r="E944" s="121"/>
      <c r="F944" s="120"/>
      <c r="G944" s="120"/>
      <c r="H944" s="121"/>
      <c r="I944" s="121"/>
      <c r="J944" s="121"/>
      <c r="K944" s="120"/>
      <c r="L944" s="120"/>
      <c r="M944" s="122"/>
      <c r="N944" s="121"/>
      <c r="O944" s="121"/>
      <c r="P944" s="121"/>
      <c r="Q944" s="121"/>
      <c r="R944" s="120"/>
      <c r="S944" s="120"/>
      <c r="T944" s="120"/>
      <c r="U944" s="190"/>
      <c r="V944" s="190"/>
      <c r="W944" s="190"/>
      <c r="X944" s="190"/>
      <c r="Y944" s="190"/>
      <c r="Z944" s="190"/>
      <c r="AA944" s="120"/>
      <c r="AB944" s="120"/>
      <c r="AC944" s="120"/>
    </row>
    <row r="945" spans="1:29" ht="14.25" customHeight="1">
      <c r="A945" s="120"/>
      <c r="B945" s="120"/>
      <c r="C945" s="120"/>
      <c r="D945" s="121"/>
      <c r="E945" s="121"/>
      <c r="F945" s="120"/>
      <c r="G945" s="120"/>
      <c r="H945" s="121"/>
      <c r="I945" s="121"/>
      <c r="J945" s="121"/>
      <c r="K945" s="120"/>
      <c r="L945" s="120"/>
      <c r="M945" s="122"/>
      <c r="N945" s="121"/>
      <c r="O945" s="121"/>
      <c r="P945" s="121"/>
      <c r="Q945" s="121"/>
      <c r="R945" s="120"/>
      <c r="S945" s="120"/>
      <c r="T945" s="120"/>
      <c r="U945" s="190"/>
      <c r="V945" s="190"/>
      <c r="W945" s="190"/>
      <c r="X945" s="190"/>
      <c r="Y945" s="190"/>
      <c r="Z945" s="190"/>
      <c r="AA945" s="120"/>
      <c r="AB945" s="120"/>
      <c r="AC945" s="120"/>
    </row>
    <row r="946" spans="1:29" ht="14.25" customHeight="1">
      <c r="A946" s="120"/>
      <c r="B946" s="120"/>
      <c r="C946" s="120"/>
      <c r="D946" s="121"/>
      <c r="E946" s="121"/>
      <c r="F946" s="120"/>
      <c r="G946" s="120"/>
      <c r="H946" s="121"/>
      <c r="I946" s="121"/>
      <c r="J946" s="121"/>
      <c r="K946" s="120"/>
      <c r="L946" s="120"/>
      <c r="M946" s="122"/>
      <c r="N946" s="121"/>
      <c r="O946" s="121"/>
      <c r="P946" s="121"/>
      <c r="Q946" s="121"/>
      <c r="R946" s="120"/>
      <c r="S946" s="120"/>
      <c r="T946" s="120"/>
      <c r="U946" s="190"/>
      <c r="V946" s="190"/>
      <c r="W946" s="190"/>
      <c r="X946" s="190"/>
      <c r="Y946" s="190"/>
      <c r="Z946" s="190"/>
      <c r="AA946" s="120"/>
      <c r="AB946" s="120"/>
      <c r="AC946" s="120"/>
    </row>
    <row r="947" spans="1:29" ht="14.25" customHeight="1">
      <c r="A947" s="120"/>
      <c r="B947" s="120"/>
      <c r="C947" s="120"/>
      <c r="D947" s="121"/>
      <c r="E947" s="121"/>
      <c r="F947" s="120"/>
      <c r="G947" s="120"/>
      <c r="H947" s="121"/>
      <c r="I947" s="121"/>
      <c r="J947" s="121"/>
      <c r="K947" s="120"/>
      <c r="L947" s="120"/>
      <c r="M947" s="122"/>
      <c r="N947" s="121"/>
      <c r="O947" s="121"/>
      <c r="P947" s="121"/>
      <c r="Q947" s="121"/>
      <c r="R947" s="120"/>
      <c r="S947" s="120"/>
      <c r="T947" s="120"/>
      <c r="U947" s="190"/>
      <c r="V947" s="190"/>
      <c r="W947" s="190"/>
      <c r="X947" s="190"/>
      <c r="Y947" s="190"/>
      <c r="Z947" s="190"/>
      <c r="AA947" s="120"/>
      <c r="AB947" s="120"/>
      <c r="AC947" s="120"/>
    </row>
    <row r="948" spans="1:29" ht="14.25" customHeight="1">
      <c r="A948" s="120"/>
      <c r="B948" s="120"/>
      <c r="C948" s="120"/>
      <c r="D948" s="121"/>
      <c r="E948" s="121"/>
      <c r="F948" s="120"/>
      <c r="G948" s="120"/>
      <c r="H948" s="121"/>
      <c r="I948" s="121"/>
      <c r="J948" s="121"/>
      <c r="K948" s="120"/>
      <c r="L948" s="120"/>
      <c r="M948" s="122"/>
      <c r="N948" s="121"/>
      <c r="O948" s="121"/>
      <c r="P948" s="121"/>
      <c r="Q948" s="121"/>
      <c r="R948" s="120"/>
      <c r="S948" s="120"/>
      <c r="T948" s="120"/>
      <c r="U948" s="190"/>
      <c r="V948" s="190"/>
      <c r="W948" s="190"/>
      <c r="X948" s="190"/>
      <c r="Y948" s="190"/>
      <c r="Z948" s="190"/>
      <c r="AA948" s="120"/>
      <c r="AB948" s="120"/>
      <c r="AC948" s="120"/>
    </row>
    <row r="949" spans="1:29" ht="14.25" customHeight="1">
      <c r="A949" s="120"/>
      <c r="B949" s="120"/>
      <c r="C949" s="120"/>
      <c r="D949" s="121"/>
      <c r="E949" s="121"/>
      <c r="F949" s="120"/>
      <c r="G949" s="120"/>
      <c r="H949" s="121"/>
      <c r="I949" s="121"/>
      <c r="J949" s="121"/>
      <c r="K949" s="120"/>
      <c r="L949" s="120"/>
      <c r="M949" s="122"/>
      <c r="N949" s="121"/>
      <c r="O949" s="121"/>
      <c r="P949" s="121"/>
      <c r="Q949" s="121"/>
      <c r="R949" s="120"/>
      <c r="S949" s="120"/>
      <c r="T949" s="120"/>
      <c r="U949" s="190"/>
      <c r="V949" s="190"/>
      <c r="W949" s="190"/>
      <c r="X949" s="190"/>
      <c r="Y949" s="190"/>
      <c r="Z949" s="190"/>
      <c r="AA949" s="120"/>
      <c r="AB949" s="120"/>
      <c r="AC949" s="120"/>
    </row>
    <row r="950" spans="1:29" ht="14.25" customHeight="1">
      <c r="A950" s="120"/>
      <c r="B950" s="120"/>
      <c r="C950" s="120"/>
      <c r="D950" s="121"/>
      <c r="E950" s="121"/>
      <c r="F950" s="120"/>
      <c r="G950" s="120"/>
      <c r="H950" s="121"/>
      <c r="I950" s="121"/>
      <c r="J950" s="121"/>
      <c r="K950" s="120"/>
      <c r="L950" s="120"/>
      <c r="M950" s="122"/>
      <c r="N950" s="121"/>
      <c r="O950" s="121"/>
      <c r="P950" s="121"/>
      <c r="Q950" s="121"/>
      <c r="R950" s="120"/>
      <c r="S950" s="120"/>
      <c r="T950" s="120"/>
      <c r="U950" s="190"/>
      <c r="V950" s="190"/>
      <c r="W950" s="190"/>
      <c r="X950" s="190"/>
      <c r="Y950" s="190"/>
      <c r="Z950" s="190"/>
      <c r="AA950" s="120"/>
      <c r="AB950" s="120"/>
      <c r="AC950" s="120"/>
    </row>
    <row r="951" spans="1:29" ht="14.25" customHeight="1">
      <c r="A951" s="120"/>
      <c r="B951" s="120"/>
      <c r="C951" s="120"/>
      <c r="D951" s="121"/>
      <c r="E951" s="121"/>
      <c r="F951" s="120"/>
      <c r="G951" s="120"/>
      <c r="H951" s="121"/>
      <c r="I951" s="121"/>
      <c r="J951" s="121"/>
      <c r="K951" s="120"/>
      <c r="L951" s="120"/>
      <c r="M951" s="122"/>
      <c r="N951" s="121"/>
      <c r="O951" s="121"/>
      <c r="P951" s="121"/>
      <c r="Q951" s="121"/>
      <c r="R951" s="120"/>
      <c r="S951" s="120"/>
      <c r="T951" s="120"/>
      <c r="U951" s="190"/>
      <c r="V951" s="190"/>
      <c r="W951" s="190"/>
      <c r="X951" s="190"/>
      <c r="Y951" s="190"/>
      <c r="Z951" s="190"/>
      <c r="AA951" s="120"/>
      <c r="AB951" s="120"/>
      <c r="AC951" s="120"/>
    </row>
    <row r="952" spans="1:29" ht="14.25" customHeight="1">
      <c r="A952" s="120"/>
      <c r="B952" s="120"/>
      <c r="C952" s="120"/>
      <c r="D952" s="121"/>
      <c r="E952" s="121"/>
      <c r="F952" s="120"/>
      <c r="G952" s="120"/>
      <c r="H952" s="121"/>
      <c r="I952" s="121"/>
      <c r="J952" s="121"/>
      <c r="K952" s="120"/>
      <c r="L952" s="120"/>
      <c r="M952" s="122"/>
      <c r="N952" s="121"/>
      <c r="O952" s="121"/>
      <c r="P952" s="121"/>
      <c r="Q952" s="121"/>
      <c r="R952" s="120"/>
      <c r="S952" s="120"/>
      <c r="T952" s="120"/>
      <c r="U952" s="190"/>
      <c r="V952" s="190"/>
      <c r="W952" s="190"/>
      <c r="X952" s="190"/>
      <c r="Y952" s="190"/>
      <c r="Z952" s="190"/>
      <c r="AA952" s="120"/>
      <c r="AB952" s="120"/>
      <c r="AC952" s="120"/>
    </row>
    <row r="953" spans="1:29" ht="14.25" customHeight="1">
      <c r="A953" s="120"/>
      <c r="B953" s="120"/>
      <c r="C953" s="120"/>
      <c r="D953" s="121"/>
      <c r="E953" s="121"/>
      <c r="F953" s="120"/>
      <c r="G953" s="120"/>
      <c r="H953" s="121"/>
      <c r="I953" s="121"/>
      <c r="J953" s="121"/>
      <c r="K953" s="120"/>
      <c r="L953" s="120"/>
      <c r="M953" s="122"/>
      <c r="N953" s="121"/>
      <c r="O953" s="121"/>
      <c r="P953" s="121"/>
      <c r="Q953" s="121"/>
      <c r="R953" s="120"/>
      <c r="S953" s="120"/>
      <c r="T953" s="120"/>
      <c r="U953" s="190"/>
      <c r="V953" s="190"/>
      <c r="W953" s="190"/>
      <c r="X953" s="190"/>
      <c r="Y953" s="190"/>
      <c r="Z953" s="190"/>
      <c r="AA953" s="120"/>
      <c r="AB953" s="120"/>
      <c r="AC953" s="120"/>
    </row>
    <row r="954" spans="1:29" ht="14.25" customHeight="1">
      <c r="A954" s="120"/>
      <c r="B954" s="120"/>
      <c r="C954" s="120"/>
      <c r="D954" s="121"/>
      <c r="E954" s="121"/>
      <c r="F954" s="120"/>
      <c r="G954" s="120"/>
      <c r="H954" s="121"/>
      <c r="I954" s="121"/>
      <c r="J954" s="121"/>
      <c r="K954" s="120"/>
      <c r="L954" s="120"/>
      <c r="M954" s="122"/>
      <c r="N954" s="121"/>
      <c r="O954" s="121"/>
      <c r="P954" s="121"/>
      <c r="Q954" s="121"/>
      <c r="R954" s="120"/>
      <c r="S954" s="120"/>
      <c r="T954" s="120"/>
      <c r="U954" s="190"/>
      <c r="V954" s="190"/>
      <c r="W954" s="190"/>
      <c r="X954" s="190"/>
      <c r="Y954" s="190"/>
      <c r="Z954" s="190"/>
      <c r="AA954" s="120"/>
      <c r="AB954" s="120"/>
      <c r="AC954" s="120"/>
    </row>
    <row r="955" spans="1:29" ht="14.25" customHeight="1">
      <c r="A955" s="120"/>
      <c r="B955" s="120"/>
      <c r="C955" s="120"/>
      <c r="D955" s="121"/>
      <c r="E955" s="121"/>
      <c r="F955" s="120"/>
      <c r="G955" s="120"/>
      <c r="H955" s="121"/>
      <c r="I955" s="121"/>
      <c r="J955" s="121"/>
      <c r="K955" s="120"/>
      <c r="L955" s="120"/>
      <c r="M955" s="122"/>
      <c r="N955" s="121"/>
      <c r="O955" s="121"/>
      <c r="P955" s="121"/>
      <c r="Q955" s="121"/>
      <c r="R955" s="120"/>
      <c r="S955" s="120"/>
      <c r="T955" s="120"/>
      <c r="U955" s="190"/>
      <c r="V955" s="190"/>
      <c r="W955" s="190"/>
      <c r="X955" s="190"/>
      <c r="Y955" s="190"/>
      <c r="Z955" s="190"/>
      <c r="AA955" s="120"/>
      <c r="AB955" s="120"/>
      <c r="AC955" s="120"/>
    </row>
    <row r="956" spans="1:29" ht="14.25" customHeight="1">
      <c r="A956" s="120"/>
      <c r="B956" s="120"/>
      <c r="C956" s="120"/>
      <c r="D956" s="121"/>
      <c r="E956" s="121"/>
      <c r="F956" s="120"/>
      <c r="G956" s="120"/>
      <c r="H956" s="121"/>
      <c r="I956" s="121"/>
      <c r="J956" s="121"/>
      <c r="K956" s="120"/>
      <c r="L956" s="120"/>
      <c r="M956" s="122"/>
      <c r="N956" s="121"/>
      <c r="O956" s="121"/>
      <c r="P956" s="121"/>
      <c r="Q956" s="121"/>
      <c r="R956" s="120"/>
      <c r="S956" s="120"/>
      <c r="T956" s="120"/>
      <c r="U956" s="190"/>
      <c r="V956" s="190"/>
      <c r="W956" s="190"/>
      <c r="X956" s="190"/>
      <c r="Y956" s="190"/>
      <c r="Z956" s="190"/>
      <c r="AA956" s="120"/>
      <c r="AB956" s="120"/>
      <c r="AC956" s="120"/>
    </row>
    <row r="957" spans="1:29" ht="14.25" customHeight="1">
      <c r="A957" s="120"/>
      <c r="B957" s="120"/>
      <c r="C957" s="120"/>
      <c r="D957" s="121"/>
      <c r="E957" s="121"/>
      <c r="F957" s="120"/>
      <c r="G957" s="120"/>
      <c r="H957" s="121"/>
      <c r="I957" s="121"/>
      <c r="J957" s="121"/>
      <c r="K957" s="120"/>
      <c r="L957" s="120"/>
      <c r="M957" s="122"/>
      <c r="N957" s="121"/>
      <c r="O957" s="121"/>
      <c r="P957" s="121"/>
      <c r="Q957" s="121"/>
      <c r="R957" s="120"/>
      <c r="S957" s="120"/>
      <c r="T957" s="120"/>
      <c r="U957" s="190"/>
      <c r="V957" s="190"/>
      <c r="W957" s="190"/>
      <c r="X957" s="190"/>
      <c r="Y957" s="190"/>
      <c r="Z957" s="190"/>
      <c r="AA957" s="120"/>
      <c r="AB957" s="120"/>
      <c r="AC957" s="120"/>
    </row>
    <row r="958" spans="1:29" ht="14.25" customHeight="1">
      <c r="A958" s="120"/>
      <c r="B958" s="120"/>
      <c r="C958" s="120"/>
      <c r="D958" s="121"/>
      <c r="E958" s="121"/>
      <c r="F958" s="120"/>
      <c r="G958" s="120"/>
      <c r="H958" s="121"/>
      <c r="I958" s="121"/>
      <c r="J958" s="121"/>
      <c r="K958" s="120"/>
      <c r="L958" s="120"/>
      <c r="M958" s="122"/>
      <c r="N958" s="121"/>
      <c r="O958" s="121"/>
      <c r="P958" s="121"/>
      <c r="Q958" s="121"/>
      <c r="R958" s="120"/>
      <c r="S958" s="120"/>
      <c r="T958" s="120"/>
      <c r="U958" s="190"/>
      <c r="V958" s="190"/>
      <c r="W958" s="190"/>
      <c r="X958" s="190"/>
      <c r="Y958" s="190"/>
      <c r="Z958" s="190"/>
      <c r="AA958" s="120"/>
      <c r="AB958" s="120"/>
      <c r="AC958" s="120"/>
    </row>
    <row r="959" spans="1:29" ht="14.25" customHeight="1">
      <c r="A959" s="120"/>
      <c r="B959" s="120"/>
      <c r="C959" s="120"/>
      <c r="D959" s="121"/>
      <c r="E959" s="121"/>
      <c r="F959" s="120"/>
      <c r="G959" s="120"/>
      <c r="H959" s="121"/>
      <c r="I959" s="121"/>
      <c r="J959" s="121"/>
      <c r="K959" s="120"/>
      <c r="L959" s="120"/>
      <c r="M959" s="122"/>
      <c r="N959" s="121"/>
      <c r="O959" s="121"/>
      <c r="P959" s="121"/>
      <c r="Q959" s="121"/>
      <c r="R959" s="120"/>
      <c r="S959" s="120"/>
      <c r="T959" s="120"/>
      <c r="U959" s="190"/>
      <c r="V959" s="190"/>
      <c r="W959" s="190"/>
      <c r="X959" s="190"/>
      <c r="Y959" s="190"/>
      <c r="Z959" s="190"/>
      <c r="AA959" s="120"/>
      <c r="AB959" s="120"/>
      <c r="AC959" s="120"/>
    </row>
    <row r="960" spans="1:29" ht="14.25" customHeight="1">
      <c r="A960" s="120"/>
      <c r="B960" s="120"/>
      <c r="C960" s="120"/>
      <c r="D960" s="121"/>
      <c r="E960" s="121"/>
      <c r="F960" s="120"/>
      <c r="G960" s="120"/>
      <c r="H960" s="121"/>
      <c r="I960" s="121"/>
      <c r="J960" s="121"/>
      <c r="K960" s="120"/>
      <c r="L960" s="120"/>
      <c r="M960" s="122"/>
      <c r="N960" s="121"/>
      <c r="O960" s="121"/>
      <c r="P960" s="121"/>
      <c r="Q960" s="121"/>
      <c r="R960" s="120"/>
      <c r="S960" s="120"/>
      <c r="T960" s="120"/>
      <c r="U960" s="190"/>
      <c r="V960" s="190"/>
      <c r="W960" s="190"/>
      <c r="X960" s="190"/>
      <c r="Y960" s="190"/>
      <c r="Z960" s="190"/>
      <c r="AA960" s="120"/>
      <c r="AB960" s="120"/>
      <c r="AC960" s="120"/>
    </row>
    <row r="961" spans="1:29" ht="14.25" customHeight="1">
      <c r="A961" s="120"/>
      <c r="B961" s="120"/>
      <c r="C961" s="120"/>
      <c r="D961" s="121"/>
      <c r="E961" s="121"/>
      <c r="F961" s="120"/>
      <c r="G961" s="120"/>
      <c r="H961" s="121"/>
      <c r="I961" s="121"/>
      <c r="J961" s="121"/>
      <c r="K961" s="120"/>
      <c r="L961" s="120"/>
      <c r="M961" s="122"/>
      <c r="N961" s="121"/>
      <c r="O961" s="121"/>
      <c r="P961" s="121"/>
      <c r="Q961" s="121"/>
      <c r="R961" s="120"/>
      <c r="S961" s="120"/>
      <c r="T961" s="120"/>
      <c r="U961" s="190"/>
      <c r="V961" s="190"/>
      <c r="W961" s="190"/>
      <c r="X961" s="190"/>
      <c r="Y961" s="190"/>
      <c r="Z961" s="190"/>
      <c r="AA961" s="120"/>
      <c r="AB961" s="120"/>
      <c r="AC961" s="120"/>
    </row>
    <row r="962" spans="1:29" ht="14.25" customHeight="1">
      <c r="A962" s="120"/>
      <c r="B962" s="120"/>
      <c r="C962" s="120"/>
      <c r="D962" s="121"/>
      <c r="E962" s="121"/>
      <c r="F962" s="120"/>
      <c r="G962" s="120"/>
      <c r="H962" s="121"/>
      <c r="I962" s="121"/>
      <c r="J962" s="121"/>
      <c r="K962" s="120"/>
      <c r="L962" s="120"/>
      <c r="M962" s="122"/>
      <c r="N962" s="121"/>
      <c r="O962" s="121"/>
      <c r="P962" s="121"/>
      <c r="Q962" s="121"/>
      <c r="R962" s="120"/>
      <c r="S962" s="120"/>
      <c r="T962" s="120"/>
      <c r="U962" s="190"/>
      <c r="V962" s="190"/>
      <c r="W962" s="190"/>
      <c r="X962" s="190"/>
      <c r="Y962" s="190"/>
      <c r="Z962" s="190"/>
      <c r="AA962" s="120"/>
      <c r="AB962" s="120"/>
      <c r="AC962" s="120"/>
    </row>
    <row r="963" spans="1:29" ht="14.25" customHeight="1">
      <c r="A963" s="120"/>
      <c r="B963" s="120"/>
      <c r="C963" s="120"/>
      <c r="D963" s="121"/>
      <c r="E963" s="121"/>
      <c r="F963" s="120"/>
      <c r="G963" s="120"/>
      <c r="H963" s="121"/>
      <c r="I963" s="121"/>
      <c r="J963" s="121"/>
      <c r="K963" s="120"/>
      <c r="L963" s="120"/>
      <c r="M963" s="122"/>
      <c r="N963" s="121"/>
      <c r="O963" s="121"/>
      <c r="P963" s="121"/>
      <c r="Q963" s="121"/>
      <c r="R963" s="120"/>
      <c r="S963" s="120"/>
      <c r="T963" s="120"/>
      <c r="U963" s="190"/>
      <c r="V963" s="190"/>
      <c r="W963" s="190"/>
      <c r="X963" s="190"/>
      <c r="Y963" s="190"/>
      <c r="Z963" s="190"/>
      <c r="AA963" s="120"/>
      <c r="AB963" s="120"/>
      <c r="AC963" s="120"/>
    </row>
    <row r="964" spans="1:29" ht="14.25" customHeight="1">
      <c r="A964" s="120"/>
      <c r="B964" s="120"/>
      <c r="C964" s="120"/>
      <c r="D964" s="121"/>
      <c r="E964" s="121"/>
      <c r="F964" s="120"/>
      <c r="G964" s="120"/>
      <c r="H964" s="121"/>
      <c r="I964" s="121"/>
      <c r="J964" s="121"/>
      <c r="K964" s="120"/>
      <c r="L964" s="120"/>
      <c r="M964" s="122"/>
      <c r="N964" s="121"/>
      <c r="O964" s="121"/>
      <c r="P964" s="121"/>
      <c r="Q964" s="121"/>
      <c r="R964" s="120"/>
      <c r="S964" s="120"/>
      <c r="T964" s="120"/>
      <c r="U964" s="190"/>
      <c r="V964" s="190"/>
      <c r="W964" s="190"/>
      <c r="X964" s="190"/>
      <c r="Y964" s="190"/>
      <c r="Z964" s="190"/>
      <c r="AA964" s="120"/>
      <c r="AB964" s="120"/>
      <c r="AC964" s="120"/>
    </row>
    <row r="965" spans="1:29" ht="14.25" customHeight="1">
      <c r="A965" s="120"/>
      <c r="B965" s="120"/>
      <c r="C965" s="120"/>
      <c r="D965" s="121"/>
      <c r="E965" s="121"/>
      <c r="F965" s="120"/>
      <c r="G965" s="120"/>
      <c r="H965" s="121"/>
      <c r="I965" s="121"/>
      <c r="J965" s="121"/>
      <c r="K965" s="120"/>
      <c r="L965" s="120"/>
      <c r="M965" s="122"/>
      <c r="N965" s="121"/>
      <c r="O965" s="121"/>
      <c r="P965" s="121"/>
      <c r="Q965" s="121"/>
      <c r="R965" s="120"/>
      <c r="S965" s="120"/>
      <c r="T965" s="120"/>
      <c r="U965" s="190"/>
      <c r="V965" s="190"/>
      <c r="W965" s="190"/>
      <c r="X965" s="190"/>
      <c r="Y965" s="190"/>
      <c r="Z965" s="190"/>
      <c r="AA965" s="120"/>
      <c r="AB965" s="120"/>
      <c r="AC965" s="120"/>
    </row>
    <row r="966" spans="1:29" ht="14.25" customHeight="1">
      <c r="A966" s="120"/>
      <c r="B966" s="120"/>
      <c r="C966" s="120"/>
      <c r="D966" s="121"/>
      <c r="E966" s="121"/>
      <c r="F966" s="120"/>
      <c r="G966" s="120"/>
      <c r="H966" s="121"/>
      <c r="I966" s="121"/>
      <c r="J966" s="121"/>
      <c r="K966" s="120"/>
      <c r="L966" s="120"/>
      <c r="M966" s="122"/>
      <c r="N966" s="121"/>
      <c r="O966" s="121"/>
      <c r="P966" s="121"/>
      <c r="Q966" s="121"/>
      <c r="R966" s="120"/>
      <c r="S966" s="120"/>
      <c r="T966" s="120"/>
      <c r="U966" s="190"/>
      <c r="V966" s="190"/>
      <c r="W966" s="190"/>
      <c r="X966" s="190"/>
      <c r="Y966" s="190"/>
      <c r="Z966" s="190"/>
      <c r="AA966" s="120"/>
      <c r="AB966" s="120"/>
      <c r="AC966" s="120"/>
    </row>
    <row r="967" spans="1:29" ht="14.25" customHeight="1">
      <c r="A967" s="120"/>
      <c r="B967" s="120"/>
      <c r="C967" s="120"/>
      <c r="D967" s="121"/>
      <c r="E967" s="121"/>
      <c r="F967" s="120"/>
      <c r="G967" s="120"/>
      <c r="H967" s="121"/>
      <c r="I967" s="121"/>
      <c r="J967" s="121"/>
      <c r="K967" s="120"/>
      <c r="L967" s="120"/>
      <c r="M967" s="122"/>
      <c r="N967" s="121"/>
      <c r="O967" s="121"/>
      <c r="P967" s="121"/>
      <c r="Q967" s="121"/>
      <c r="R967" s="120"/>
      <c r="S967" s="120"/>
      <c r="T967" s="120"/>
      <c r="U967" s="190"/>
      <c r="V967" s="190"/>
      <c r="W967" s="190"/>
      <c r="X967" s="190"/>
      <c r="Y967" s="190"/>
      <c r="Z967" s="190"/>
      <c r="AA967" s="120"/>
      <c r="AB967" s="120"/>
      <c r="AC967" s="120"/>
    </row>
    <row r="968" spans="1:29" ht="14.25" customHeight="1">
      <c r="A968" s="120"/>
      <c r="B968" s="120"/>
      <c r="C968" s="120"/>
      <c r="D968" s="121"/>
      <c r="E968" s="121"/>
      <c r="F968" s="120"/>
      <c r="G968" s="120"/>
      <c r="H968" s="121"/>
      <c r="I968" s="121"/>
      <c r="J968" s="121"/>
      <c r="K968" s="120"/>
      <c r="L968" s="120"/>
      <c r="M968" s="122"/>
      <c r="N968" s="121"/>
      <c r="O968" s="121"/>
      <c r="P968" s="121"/>
      <c r="Q968" s="121"/>
      <c r="R968" s="120"/>
      <c r="S968" s="120"/>
      <c r="T968" s="120"/>
      <c r="U968" s="190"/>
      <c r="V968" s="190"/>
      <c r="W968" s="190"/>
      <c r="X968" s="190"/>
      <c r="Y968" s="190"/>
      <c r="Z968" s="190"/>
      <c r="AA968" s="120"/>
      <c r="AB968" s="120"/>
      <c r="AC968" s="120"/>
    </row>
    <row r="969" spans="1:29" ht="14.25" customHeight="1">
      <c r="A969" s="120"/>
      <c r="B969" s="120"/>
      <c r="C969" s="120"/>
      <c r="D969" s="121"/>
      <c r="E969" s="121"/>
      <c r="F969" s="120"/>
      <c r="G969" s="120"/>
      <c r="H969" s="121"/>
      <c r="I969" s="121"/>
      <c r="J969" s="121"/>
      <c r="K969" s="120"/>
      <c r="L969" s="120"/>
      <c r="M969" s="122"/>
      <c r="N969" s="121"/>
      <c r="O969" s="121"/>
      <c r="P969" s="121"/>
      <c r="Q969" s="121"/>
      <c r="R969" s="120"/>
      <c r="S969" s="120"/>
      <c r="T969" s="120"/>
      <c r="U969" s="190"/>
      <c r="V969" s="190"/>
      <c r="W969" s="190"/>
      <c r="X969" s="190"/>
      <c r="Y969" s="190"/>
      <c r="Z969" s="190"/>
      <c r="AA969" s="120"/>
      <c r="AB969" s="120"/>
      <c r="AC969" s="120"/>
    </row>
    <row r="970" spans="1:29" ht="14.25" customHeight="1">
      <c r="A970" s="120"/>
      <c r="B970" s="120"/>
      <c r="C970" s="120"/>
      <c r="D970" s="121"/>
      <c r="E970" s="121"/>
      <c r="F970" s="120"/>
      <c r="G970" s="120"/>
      <c r="H970" s="121"/>
      <c r="I970" s="121"/>
      <c r="J970" s="121"/>
      <c r="K970" s="120"/>
      <c r="L970" s="120"/>
      <c r="M970" s="122"/>
      <c r="N970" s="121"/>
      <c r="O970" s="121"/>
      <c r="P970" s="121"/>
      <c r="Q970" s="121"/>
      <c r="R970" s="120"/>
      <c r="S970" s="120"/>
      <c r="T970" s="120"/>
      <c r="U970" s="190"/>
      <c r="V970" s="190"/>
      <c r="W970" s="190"/>
      <c r="X970" s="190"/>
      <c r="Y970" s="190"/>
      <c r="Z970" s="190"/>
      <c r="AA970" s="120"/>
      <c r="AB970" s="120"/>
      <c r="AC970" s="120"/>
    </row>
    <row r="971" spans="1:29" ht="14.25" customHeight="1">
      <c r="A971" s="120"/>
      <c r="B971" s="120"/>
      <c r="C971" s="120"/>
      <c r="D971" s="121"/>
      <c r="E971" s="121"/>
      <c r="F971" s="120"/>
      <c r="G971" s="120"/>
      <c r="H971" s="121"/>
      <c r="I971" s="121"/>
      <c r="J971" s="121"/>
      <c r="K971" s="120"/>
      <c r="L971" s="120"/>
      <c r="M971" s="122"/>
      <c r="N971" s="121"/>
      <c r="O971" s="121"/>
      <c r="P971" s="121"/>
      <c r="Q971" s="121"/>
      <c r="R971" s="120"/>
      <c r="S971" s="120"/>
      <c r="T971" s="120"/>
      <c r="U971" s="190"/>
      <c r="V971" s="190"/>
      <c r="W971" s="190"/>
      <c r="X971" s="190"/>
      <c r="Y971" s="190"/>
      <c r="Z971" s="190"/>
      <c r="AA971" s="120"/>
      <c r="AB971" s="120"/>
      <c r="AC971" s="120"/>
    </row>
    <row r="972" spans="1:29" ht="14.25" customHeight="1">
      <c r="A972" s="120"/>
      <c r="B972" s="120"/>
      <c r="C972" s="120"/>
      <c r="D972" s="121"/>
      <c r="E972" s="121"/>
      <c r="F972" s="120"/>
      <c r="G972" s="120"/>
      <c r="H972" s="121"/>
      <c r="I972" s="121"/>
      <c r="J972" s="121"/>
      <c r="K972" s="120"/>
      <c r="L972" s="120"/>
      <c r="M972" s="122"/>
      <c r="N972" s="121"/>
      <c r="O972" s="121"/>
      <c r="P972" s="121"/>
      <c r="Q972" s="121"/>
      <c r="R972" s="120"/>
      <c r="S972" s="120"/>
      <c r="T972" s="120"/>
      <c r="U972" s="190"/>
      <c r="V972" s="190"/>
      <c r="W972" s="190"/>
      <c r="X972" s="190"/>
      <c r="Y972" s="190"/>
      <c r="Z972" s="190"/>
      <c r="AA972" s="120"/>
      <c r="AB972" s="120"/>
      <c r="AC972" s="120"/>
    </row>
    <row r="973" spans="1:29" ht="14.25" customHeight="1">
      <c r="A973" s="120"/>
      <c r="B973" s="120"/>
      <c r="C973" s="120"/>
      <c r="D973" s="121"/>
      <c r="E973" s="121"/>
      <c r="F973" s="120"/>
      <c r="G973" s="120"/>
      <c r="H973" s="121"/>
      <c r="I973" s="121"/>
      <c r="J973" s="121"/>
      <c r="K973" s="120"/>
      <c r="L973" s="120"/>
      <c r="M973" s="122"/>
      <c r="N973" s="121"/>
      <c r="O973" s="121"/>
      <c r="P973" s="121"/>
      <c r="Q973" s="121"/>
      <c r="R973" s="120"/>
      <c r="S973" s="120"/>
      <c r="T973" s="120"/>
      <c r="U973" s="190"/>
      <c r="V973" s="190"/>
      <c r="W973" s="190"/>
      <c r="X973" s="190"/>
      <c r="Y973" s="190"/>
      <c r="Z973" s="190"/>
      <c r="AA973" s="120"/>
      <c r="AB973" s="120"/>
      <c r="AC973" s="120"/>
    </row>
    <row r="974" spans="1:29" ht="14.25" customHeight="1">
      <c r="A974" s="120"/>
      <c r="B974" s="120"/>
      <c r="C974" s="120"/>
      <c r="D974" s="121"/>
      <c r="E974" s="121"/>
      <c r="F974" s="120"/>
      <c r="G974" s="120"/>
      <c r="H974" s="121"/>
      <c r="I974" s="121"/>
      <c r="J974" s="121"/>
      <c r="K974" s="120"/>
      <c r="L974" s="120"/>
      <c r="M974" s="122"/>
      <c r="N974" s="121"/>
      <c r="O974" s="121"/>
      <c r="P974" s="121"/>
      <c r="Q974" s="121"/>
      <c r="R974" s="120"/>
      <c r="S974" s="120"/>
      <c r="T974" s="120"/>
      <c r="U974" s="190"/>
      <c r="V974" s="190"/>
      <c r="W974" s="190"/>
      <c r="X974" s="190"/>
      <c r="Y974" s="190"/>
      <c r="Z974" s="190"/>
      <c r="AA974" s="120"/>
      <c r="AB974" s="120"/>
      <c r="AC974" s="120"/>
    </row>
    <row r="975" spans="1:29" ht="14.25" customHeight="1">
      <c r="A975" s="120"/>
      <c r="B975" s="120"/>
      <c r="C975" s="120"/>
      <c r="D975" s="121"/>
      <c r="E975" s="121"/>
      <c r="F975" s="120"/>
      <c r="G975" s="120"/>
      <c r="H975" s="121"/>
      <c r="I975" s="121"/>
      <c r="J975" s="121"/>
      <c r="K975" s="120"/>
      <c r="L975" s="120"/>
      <c r="M975" s="122"/>
      <c r="N975" s="121"/>
      <c r="O975" s="121"/>
      <c r="P975" s="121"/>
      <c r="Q975" s="121"/>
      <c r="R975" s="120"/>
      <c r="S975" s="120"/>
      <c r="T975" s="120"/>
      <c r="U975" s="190"/>
      <c r="V975" s="190"/>
      <c r="W975" s="190"/>
      <c r="X975" s="190"/>
      <c r="Y975" s="190"/>
      <c r="Z975" s="190"/>
      <c r="AA975" s="120"/>
      <c r="AB975" s="120"/>
      <c r="AC975" s="120"/>
    </row>
    <row r="976" spans="1:29" ht="14.25" customHeight="1">
      <c r="A976" s="120"/>
      <c r="B976" s="120"/>
      <c r="C976" s="120"/>
      <c r="D976" s="121"/>
      <c r="E976" s="121"/>
      <c r="F976" s="120"/>
      <c r="G976" s="120"/>
      <c r="H976" s="121"/>
      <c r="I976" s="121"/>
      <c r="J976" s="121"/>
      <c r="K976" s="120"/>
      <c r="L976" s="120"/>
      <c r="M976" s="122"/>
      <c r="N976" s="121"/>
      <c r="O976" s="121"/>
      <c r="P976" s="121"/>
      <c r="Q976" s="121"/>
      <c r="R976" s="120"/>
      <c r="S976" s="120"/>
      <c r="T976" s="120"/>
      <c r="U976" s="190"/>
      <c r="V976" s="190"/>
      <c r="W976" s="190"/>
      <c r="X976" s="190"/>
      <c r="Y976" s="190"/>
      <c r="Z976" s="190"/>
      <c r="AA976" s="120"/>
      <c r="AB976" s="120"/>
      <c r="AC976" s="120"/>
    </row>
    <row r="977" spans="1:29" ht="14.25" customHeight="1">
      <c r="A977" s="120"/>
      <c r="B977" s="120"/>
      <c r="C977" s="120"/>
      <c r="D977" s="121"/>
      <c r="E977" s="121"/>
      <c r="F977" s="120"/>
      <c r="G977" s="120"/>
      <c r="H977" s="121"/>
      <c r="I977" s="121"/>
      <c r="J977" s="121"/>
      <c r="K977" s="120"/>
      <c r="L977" s="120"/>
      <c r="M977" s="122"/>
      <c r="N977" s="121"/>
      <c r="O977" s="121"/>
      <c r="P977" s="121"/>
      <c r="Q977" s="121"/>
      <c r="R977" s="120"/>
      <c r="S977" s="120"/>
      <c r="T977" s="120"/>
      <c r="U977" s="190"/>
      <c r="V977" s="190"/>
      <c r="W977" s="190"/>
      <c r="X977" s="190"/>
      <c r="Y977" s="190"/>
      <c r="Z977" s="190"/>
      <c r="AA977" s="120"/>
      <c r="AB977" s="120"/>
      <c r="AC977" s="120"/>
    </row>
    <row r="978" spans="1:29" ht="14.25" customHeight="1">
      <c r="A978" s="120"/>
      <c r="B978" s="120"/>
      <c r="C978" s="120"/>
      <c r="D978" s="121"/>
      <c r="E978" s="121"/>
      <c r="F978" s="120"/>
      <c r="G978" s="120"/>
      <c r="H978" s="121"/>
      <c r="I978" s="121"/>
      <c r="J978" s="121"/>
      <c r="K978" s="120"/>
      <c r="L978" s="120"/>
      <c r="M978" s="122"/>
      <c r="N978" s="121"/>
      <c r="O978" s="121"/>
      <c r="P978" s="121"/>
      <c r="Q978" s="121"/>
      <c r="R978" s="120"/>
      <c r="S978" s="120"/>
      <c r="T978" s="120"/>
      <c r="U978" s="190"/>
      <c r="V978" s="190"/>
      <c r="W978" s="190"/>
      <c r="X978" s="190"/>
      <c r="Y978" s="190"/>
      <c r="Z978" s="190"/>
      <c r="AA978" s="120"/>
      <c r="AB978" s="120"/>
      <c r="AC978" s="120"/>
    </row>
    <row r="979" spans="1:29" ht="14.25" customHeight="1">
      <c r="A979" s="120"/>
      <c r="B979" s="120"/>
      <c r="C979" s="120"/>
      <c r="D979" s="121"/>
      <c r="E979" s="121"/>
      <c r="F979" s="120"/>
      <c r="G979" s="120"/>
      <c r="H979" s="121"/>
      <c r="I979" s="121"/>
      <c r="J979" s="121"/>
      <c r="K979" s="120"/>
      <c r="L979" s="120"/>
      <c r="M979" s="122"/>
      <c r="N979" s="121"/>
      <c r="O979" s="121"/>
      <c r="P979" s="121"/>
      <c r="Q979" s="121"/>
      <c r="R979" s="120"/>
      <c r="S979" s="120"/>
      <c r="T979" s="120"/>
      <c r="U979" s="190"/>
      <c r="V979" s="190"/>
      <c r="W979" s="190"/>
      <c r="X979" s="190"/>
      <c r="Y979" s="190"/>
      <c r="Z979" s="190"/>
      <c r="AA979" s="120"/>
      <c r="AB979" s="120"/>
      <c r="AC979" s="120"/>
    </row>
    <row r="980" spans="1:29" ht="14.25" customHeight="1">
      <c r="A980" s="120"/>
      <c r="B980" s="120"/>
      <c r="C980" s="120"/>
      <c r="D980" s="121"/>
      <c r="E980" s="121"/>
      <c r="F980" s="120"/>
      <c r="G980" s="120"/>
      <c r="H980" s="121"/>
      <c r="I980" s="121"/>
      <c r="J980" s="121"/>
      <c r="K980" s="120"/>
      <c r="L980" s="120"/>
      <c r="M980" s="122"/>
      <c r="N980" s="121"/>
      <c r="O980" s="121"/>
      <c r="P980" s="121"/>
      <c r="Q980" s="121"/>
      <c r="R980" s="120"/>
      <c r="S980" s="120"/>
      <c r="T980" s="120"/>
      <c r="U980" s="190"/>
      <c r="V980" s="190"/>
      <c r="W980" s="190"/>
      <c r="X980" s="190"/>
      <c r="Y980" s="190"/>
      <c r="Z980" s="190"/>
      <c r="AA980" s="120"/>
      <c r="AB980" s="120"/>
      <c r="AC980" s="120"/>
    </row>
    <row r="981" spans="1:29" ht="14.25" customHeight="1">
      <c r="A981" s="120"/>
      <c r="B981" s="120"/>
      <c r="C981" s="120"/>
      <c r="D981" s="121"/>
      <c r="E981" s="121"/>
      <c r="F981" s="120"/>
      <c r="G981" s="120"/>
      <c r="H981" s="121"/>
      <c r="I981" s="121"/>
      <c r="J981" s="121"/>
      <c r="K981" s="120"/>
      <c r="L981" s="120"/>
      <c r="M981" s="122"/>
      <c r="N981" s="121"/>
      <c r="O981" s="121"/>
      <c r="P981" s="121"/>
      <c r="Q981" s="121"/>
      <c r="R981" s="120"/>
      <c r="S981" s="120"/>
      <c r="T981" s="120"/>
      <c r="U981" s="190"/>
      <c r="V981" s="190"/>
      <c r="W981" s="190"/>
      <c r="X981" s="190"/>
      <c r="Y981" s="190"/>
      <c r="Z981" s="190"/>
      <c r="AA981" s="120"/>
      <c r="AB981" s="120"/>
      <c r="AC981" s="120"/>
    </row>
    <row r="982" spans="1:29" ht="14.25" customHeight="1">
      <c r="A982" s="120"/>
      <c r="B982" s="120"/>
      <c r="C982" s="120"/>
      <c r="D982" s="121"/>
      <c r="E982" s="121"/>
      <c r="F982" s="120"/>
      <c r="G982" s="120"/>
      <c r="H982" s="121"/>
      <c r="I982" s="121"/>
      <c r="J982" s="121"/>
      <c r="K982" s="120"/>
      <c r="L982" s="120"/>
      <c r="M982" s="122"/>
      <c r="N982" s="121"/>
      <c r="O982" s="121"/>
      <c r="P982" s="121"/>
      <c r="Q982" s="121"/>
      <c r="R982" s="120"/>
      <c r="S982" s="120"/>
      <c r="T982" s="120"/>
      <c r="U982" s="190"/>
      <c r="V982" s="190"/>
      <c r="W982" s="190"/>
      <c r="X982" s="190"/>
      <c r="Y982" s="190"/>
      <c r="Z982" s="190"/>
      <c r="AA982" s="120"/>
      <c r="AB982" s="120"/>
      <c r="AC982" s="120"/>
    </row>
    <row r="983" spans="1:29" ht="14.25" customHeight="1">
      <c r="A983" s="120"/>
      <c r="B983" s="120"/>
      <c r="C983" s="120"/>
      <c r="D983" s="121"/>
      <c r="E983" s="121"/>
      <c r="F983" s="120"/>
      <c r="G983" s="120"/>
      <c r="H983" s="121"/>
      <c r="I983" s="121"/>
      <c r="J983" s="121"/>
      <c r="K983" s="120"/>
      <c r="L983" s="120"/>
      <c r="M983" s="122"/>
      <c r="N983" s="121"/>
      <c r="O983" s="121"/>
      <c r="P983" s="121"/>
      <c r="Q983" s="121"/>
      <c r="R983" s="120"/>
      <c r="S983" s="120"/>
      <c r="T983" s="120"/>
      <c r="U983" s="190"/>
      <c r="V983" s="190"/>
      <c r="W983" s="190"/>
      <c r="X983" s="190"/>
      <c r="Y983" s="190"/>
      <c r="Z983" s="190"/>
      <c r="AA983" s="120"/>
      <c r="AB983" s="120"/>
      <c r="AC983" s="120"/>
    </row>
    <row r="984" spans="1:29" ht="14.25" customHeight="1">
      <c r="A984" s="120"/>
      <c r="B984" s="120"/>
      <c r="C984" s="120"/>
      <c r="D984" s="121"/>
      <c r="E984" s="121"/>
      <c r="F984" s="120"/>
      <c r="G984" s="120"/>
      <c r="H984" s="121"/>
      <c r="I984" s="121"/>
      <c r="J984" s="121"/>
      <c r="K984" s="120"/>
      <c r="L984" s="120"/>
      <c r="M984" s="122"/>
      <c r="N984" s="121"/>
      <c r="O984" s="121"/>
      <c r="P984" s="121"/>
      <c r="Q984" s="121"/>
      <c r="R984" s="120"/>
      <c r="S984" s="120"/>
      <c r="T984" s="120"/>
      <c r="U984" s="190"/>
      <c r="V984" s="190"/>
      <c r="W984" s="190"/>
      <c r="X984" s="190"/>
      <c r="Y984" s="190"/>
      <c r="Z984" s="190"/>
      <c r="AA984" s="120"/>
      <c r="AB984" s="120"/>
      <c r="AC984" s="120"/>
    </row>
    <row r="985" spans="1:29" ht="14.25" customHeight="1">
      <c r="A985" s="120"/>
      <c r="B985" s="120"/>
      <c r="C985" s="120"/>
      <c r="D985" s="121"/>
      <c r="E985" s="121"/>
      <c r="F985" s="120"/>
      <c r="G985" s="120"/>
      <c r="H985" s="121"/>
      <c r="I985" s="121"/>
      <c r="J985" s="121"/>
      <c r="K985" s="120"/>
      <c r="L985" s="120"/>
      <c r="M985" s="122"/>
      <c r="N985" s="121"/>
      <c r="O985" s="121"/>
      <c r="P985" s="121"/>
      <c r="Q985" s="121"/>
      <c r="R985" s="120"/>
      <c r="S985" s="120"/>
      <c r="T985" s="120"/>
      <c r="U985" s="190"/>
      <c r="V985" s="190"/>
      <c r="W985" s="190"/>
      <c r="X985" s="190"/>
      <c r="Y985" s="190"/>
      <c r="Z985" s="190"/>
      <c r="AA985" s="120"/>
      <c r="AB985" s="120"/>
      <c r="AC985" s="120"/>
    </row>
    <row r="986" spans="1:29" ht="14.25" customHeight="1">
      <c r="A986" s="120"/>
      <c r="B986" s="120"/>
      <c r="C986" s="120"/>
      <c r="D986" s="121"/>
      <c r="E986" s="121"/>
      <c r="F986" s="120"/>
      <c r="G986" s="120"/>
      <c r="H986" s="121"/>
      <c r="I986" s="121"/>
      <c r="J986" s="121"/>
      <c r="K986" s="120"/>
      <c r="L986" s="120"/>
      <c r="M986" s="122"/>
      <c r="N986" s="121"/>
      <c r="O986" s="121"/>
      <c r="P986" s="121"/>
      <c r="Q986" s="121"/>
      <c r="R986" s="120"/>
      <c r="S986" s="120"/>
      <c r="T986" s="120"/>
      <c r="U986" s="190"/>
      <c r="V986" s="190"/>
      <c r="W986" s="190"/>
      <c r="X986" s="190"/>
      <c r="Y986" s="190"/>
      <c r="Z986" s="190"/>
      <c r="AA986" s="120"/>
      <c r="AB986" s="120"/>
      <c r="AC986" s="120"/>
    </row>
    <row r="987" spans="1:29" ht="14.25" customHeight="1">
      <c r="A987" s="120"/>
      <c r="B987" s="120"/>
      <c r="C987" s="120"/>
      <c r="D987" s="121"/>
      <c r="E987" s="121"/>
      <c r="F987" s="120"/>
      <c r="G987" s="120"/>
      <c r="H987" s="121"/>
      <c r="I987" s="121"/>
      <c r="J987" s="121"/>
      <c r="K987" s="120"/>
      <c r="L987" s="120"/>
      <c r="M987" s="122"/>
      <c r="N987" s="121"/>
      <c r="O987" s="121"/>
      <c r="P987" s="121"/>
      <c r="Q987" s="121"/>
      <c r="R987" s="120"/>
      <c r="S987" s="120"/>
      <c r="T987" s="120"/>
      <c r="U987" s="190"/>
      <c r="V987" s="190"/>
      <c r="W987" s="190"/>
      <c r="X987" s="190"/>
      <c r="Y987" s="190"/>
      <c r="Z987" s="190"/>
      <c r="AA987" s="120"/>
      <c r="AB987" s="120"/>
      <c r="AC987" s="120"/>
    </row>
    <row r="988" spans="1:29" ht="14.25" customHeight="1">
      <c r="A988" s="120"/>
      <c r="B988" s="120"/>
      <c r="C988" s="120"/>
      <c r="D988" s="121"/>
      <c r="E988" s="121"/>
      <c r="F988" s="120"/>
      <c r="G988" s="120"/>
      <c r="H988" s="121"/>
      <c r="I988" s="121"/>
      <c r="J988" s="121"/>
      <c r="K988" s="120"/>
      <c r="L988" s="120"/>
      <c r="M988" s="122"/>
      <c r="N988" s="121"/>
      <c r="O988" s="121"/>
      <c r="P988" s="121"/>
      <c r="Q988" s="121"/>
      <c r="R988" s="120"/>
      <c r="S988" s="120"/>
      <c r="T988" s="120"/>
      <c r="U988" s="190"/>
      <c r="V988" s="190"/>
      <c r="W988" s="190"/>
      <c r="X988" s="190"/>
      <c r="Y988" s="190"/>
      <c r="Z988" s="190"/>
      <c r="AA988" s="120"/>
      <c r="AB988" s="120"/>
      <c r="AC988" s="120"/>
    </row>
    <row r="989" spans="1:29" ht="14.25" customHeight="1">
      <c r="A989" s="120"/>
      <c r="B989" s="120"/>
      <c r="C989" s="120"/>
      <c r="D989" s="121"/>
      <c r="E989" s="121"/>
      <c r="F989" s="120"/>
      <c r="G989" s="120"/>
      <c r="H989" s="121"/>
      <c r="I989" s="121"/>
      <c r="J989" s="121"/>
      <c r="K989" s="120"/>
      <c r="L989" s="120"/>
      <c r="M989" s="122"/>
      <c r="N989" s="121"/>
      <c r="O989" s="121"/>
      <c r="P989" s="121"/>
      <c r="Q989" s="121"/>
      <c r="R989" s="120"/>
      <c r="S989" s="120"/>
      <c r="T989" s="120"/>
      <c r="U989" s="190"/>
      <c r="V989" s="190"/>
      <c r="W989" s="190"/>
      <c r="X989" s="190"/>
      <c r="Y989" s="190"/>
      <c r="Z989" s="190"/>
      <c r="AA989" s="120"/>
      <c r="AB989" s="120"/>
      <c r="AC989" s="120"/>
    </row>
    <row r="990" spans="1:29" ht="14.25" customHeight="1">
      <c r="A990" s="120"/>
      <c r="B990" s="120"/>
      <c r="C990" s="120"/>
      <c r="D990" s="121"/>
      <c r="E990" s="121"/>
      <c r="F990" s="120"/>
      <c r="G990" s="120"/>
      <c r="H990" s="121"/>
      <c r="I990" s="121"/>
      <c r="J990" s="121"/>
      <c r="K990" s="120"/>
      <c r="L990" s="120"/>
      <c r="M990" s="122"/>
      <c r="N990" s="121"/>
      <c r="O990" s="121"/>
      <c r="P990" s="121"/>
      <c r="Q990" s="121"/>
      <c r="R990" s="120"/>
      <c r="S990" s="120"/>
      <c r="T990" s="120"/>
      <c r="U990" s="190"/>
      <c r="V990" s="190"/>
      <c r="W990" s="190"/>
      <c r="X990" s="190"/>
      <c r="Y990" s="190"/>
      <c r="Z990" s="190"/>
      <c r="AA990" s="120"/>
      <c r="AB990" s="120"/>
      <c r="AC990" s="120"/>
    </row>
    <row r="991" spans="1:29" ht="14.25" customHeight="1">
      <c r="A991" s="120"/>
      <c r="B991" s="120"/>
      <c r="C991" s="120"/>
      <c r="D991" s="121"/>
      <c r="E991" s="121"/>
      <c r="F991" s="120"/>
      <c r="G991" s="120"/>
      <c r="H991" s="121"/>
      <c r="I991" s="121"/>
      <c r="J991" s="121"/>
      <c r="K991" s="120"/>
      <c r="L991" s="120"/>
      <c r="M991" s="122"/>
      <c r="N991" s="121"/>
      <c r="O991" s="121"/>
      <c r="P991" s="121"/>
      <c r="Q991" s="121"/>
      <c r="R991" s="120"/>
      <c r="S991" s="120"/>
      <c r="T991" s="120"/>
      <c r="U991" s="190"/>
      <c r="V991" s="190"/>
      <c r="W991" s="190"/>
      <c r="X991" s="190"/>
      <c r="Y991" s="190"/>
      <c r="Z991" s="190"/>
      <c r="AA991" s="120"/>
      <c r="AB991" s="120"/>
      <c r="AC991" s="120"/>
    </row>
    <row r="992" spans="1:29" ht="14.25" customHeight="1">
      <c r="A992" s="120"/>
      <c r="B992" s="120"/>
      <c r="C992" s="120"/>
      <c r="D992" s="121"/>
      <c r="E992" s="121"/>
      <c r="F992" s="120"/>
      <c r="G992" s="120"/>
      <c r="H992" s="121"/>
      <c r="I992" s="121"/>
      <c r="J992" s="121"/>
      <c r="K992" s="120"/>
      <c r="L992" s="120"/>
      <c r="M992" s="122"/>
      <c r="N992" s="121"/>
      <c r="O992" s="121"/>
      <c r="P992" s="121"/>
      <c r="Q992" s="121"/>
      <c r="R992" s="120"/>
      <c r="S992" s="120"/>
      <c r="T992" s="120"/>
      <c r="U992" s="190"/>
      <c r="V992" s="190"/>
      <c r="W992" s="190"/>
      <c r="X992" s="190"/>
      <c r="Y992" s="190"/>
      <c r="Z992" s="190"/>
      <c r="AA992" s="120"/>
      <c r="AB992" s="120"/>
      <c r="AC992" s="120"/>
    </row>
    <row r="993" spans="1:29" ht="14.25" customHeight="1">
      <c r="A993" s="120"/>
      <c r="B993" s="120"/>
      <c r="C993" s="120"/>
      <c r="D993" s="121"/>
      <c r="E993" s="121"/>
      <c r="F993" s="120"/>
      <c r="G993" s="120"/>
      <c r="H993" s="121"/>
      <c r="I993" s="121"/>
      <c r="J993" s="121"/>
      <c r="K993" s="120"/>
      <c r="L993" s="120"/>
      <c r="M993" s="122"/>
      <c r="N993" s="121"/>
      <c r="O993" s="121"/>
      <c r="P993" s="121"/>
      <c r="Q993" s="121"/>
      <c r="R993" s="120"/>
      <c r="S993" s="120"/>
      <c r="T993" s="120"/>
      <c r="U993" s="190"/>
      <c r="V993" s="190"/>
      <c r="W993" s="190"/>
      <c r="X993" s="190"/>
      <c r="Y993" s="190"/>
      <c r="Z993" s="190"/>
      <c r="AA993" s="120"/>
      <c r="AB993" s="120"/>
      <c r="AC993" s="120"/>
    </row>
    <row r="994" spans="1:29" ht="14.25" customHeight="1">
      <c r="A994" s="120"/>
      <c r="B994" s="120"/>
      <c r="C994" s="120"/>
      <c r="D994" s="121"/>
      <c r="E994" s="121"/>
      <c r="F994" s="120"/>
      <c r="G994" s="120"/>
      <c r="H994" s="121"/>
      <c r="I994" s="121"/>
      <c r="J994" s="121"/>
      <c r="K994" s="120"/>
      <c r="L994" s="120"/>
      <c r="M994" s="122"/>
      <c r="N994" s="121"/>
      <c r="O994" s="121"/>
      <c r="P994" s="121"/>
      <c r="Q994" s="121"/>
      <c r="R994" s="120"/>
      <c r="S994" s="120"/>
      <c r="T994" s="120"/>
      <c r="U994" s="190"/>
      <c r="V994" s="190"/>
      <c r="W994" s="190"/>
      <c r="X994" s="190"/>
      <c r="Y994" s="190"/>
      <c r="Z994" s="190"/>
      <c r="AA994" s="120"/>
      <c r="AB994" s="120"/>
      <c r="AC994" s="120"/>
    </row>
    <row r="995" spans="1:29" ht="14.25" customHeight="1">
      <c r="A995" s="120"/>
      <c r="B995" s="120"/>
      <c r="C995" s="120"/>
      <c r="D995" s="121"/>
      <c r="E995" s="121"/>
      <c r="F995" s="120"/>
      <c r="G995" s="120"/>
      <c r="H995" s="121"/>
      <c r="I995" s="121"/>
      <c r="J995" s="121"/>
      <c r="K995" s="120"/>
      <c r="L995" s="120"/>
      <c r="M995" s="122"/>
      <c r="N995" s="121"/>
      <c r="O995" s="121"/>
      <c r="P995" s="121"/>
      <c r="Q995" s="121"/>
      <c r="R995" s="120"/>
      <c r="S995" s="120"/>
      <c r="T995" s="120"/>
      <c r="U995" s="190"/>
      <c r="V995" s="190"/>
      <c r="W995" s="190"/>
      <c r="X995" s="190"/>
      <c r="Y995" s="190"/>
      <c r="Z995" s="190"/>
      <c r="AA995" s="120"/>
      <c r="AB995" s="120"/>
      <c r="AC995" s="120"/>
    </row>
    <row r="996" spans="1:29" ht="14.25" customHeight="1">
      <c r="A996" s="120"/>
      <c r="B996" s="120"/>
      <c r="C996" s="120"/>
      <c r="D996" s="121"/>
      <c r="E996" s="121"/>
      <c r="F996" s="120"/>
      <c r="G996" s="120"/>
      <c r="H996" s="121"/>
      <c r="I996" s="121"/>
      <c r="J996" s="121"/>
      <c r="K996" s="120"/>
      <c r="L996" s="120"/>
      <c r="M996" s="122"/>
      <c r="N996" s="121"/>
      <c r="O996" s="121"/>
      <c r="P996" s="121"/>
      <c r="Q996" s="121"/>
      <c r="R996" s="120"/>
      <c r="S996" s="120"/>
      <c r="T996" s="120"/>
      <c r="U996" s="190"/>
      <c r="V996" s="190"/>
      <c r="W996" s="190"/>
      <c r="X996" s="190"/>
      <c r="Y996" s="190"/>
      <c r="Z996" s="190"/>
      <c r="AA996" s="120"/>
      <c r="AB996" s="120"/>
      <c r="AC996" s="120"/>
    </row>
    <row r="997" spans="1:29" ht="14.25" customHeight="1">
      <c r="A997" s="120"/>
      <c r="B997" s="120"/>
      <c r="C997" s="120"/>
      <c r="D997" s="121"/>
      <c r="E997" s="121"/>
      <c r="F997" s="120"/>
      <c r="G997" s="120"/>
      <c r="H997" s="121"/>
      <c r="I997" s="121"/>
      <c r="J997" s="121"/>
      <c r="K997" s="120"/>
      <c r="L997" s="120"/>
      <c r="M997" s="122"/>
      <c r="N997" s="121"/>
      <c r="O997" s="121"/>
      <c r="P997" s="121"/>
      <c r="Q997" s="121"/>
      <c r="R997" s="120"/>
      <c r="S997" s="120"/>
      <c r="T997" s="120"/>
      <c r="U997" s="190"/>
      <c r="V997" s="190"/>
      <c r="W997" s="190"/>
      <c r="X997" s="190"/>
      <c r="Y997" s="190"/>
      <c r="Z997" s="190"/>
      <c r="AA997" s="120"/>
      <c r="AB997" s="120"/>
      <c r="AC997" s="120"/>
    </row>
    <row r="998" spans="1:29" ht="14.25" customHeight="1">
      <c r="A998" s="120"/>
      <c r="B998" s="120"/>
      <c r="C998" s="120"/>
      <c r="D998" s="121"/>
      <c r="E998" s="121"/>
      <c r="F998" s="120"/>
      <c r="G998" s="120"/>
      <c r="H998" s="121"/>
      <c r="I998" s="121"/>
      <c r="J998" s="121"/>
      <c r="K998" s="120"/>
      <c r="L998" s="120"/>
      <c r="M998" s="122"/>
      <c r="N998" s="121"/>
      <c r="O998" s="121"/>
      <c r="P998" s="121"/>
      <c r="Q998" s="121"/>
      <c r="R998" s="120"/>
      <c r="S998" s="120"/>
      <c r="T998" s="120"/>
      <c r="U998" s="190"/>
      <c r="V998" s="190"/>
      <c r="W998" s="190"/>
      <c r="X998" s="190"/>
      <c r="Y998" s="190"/>
      <c r="Z998" s="190"/>
      <c r="AA998" s="120"/>
      <c r="AB998" s="120"/>
      <c r="AC998" s="120"/>
    </row>
    <row r="999" spans="1:29" ht="14.25" customHeight="1">
      <c r="A999" s="120"/>
      <c r="B999" s="120"/>
      <c r="C999" s="120"/>
      <c r="D999" s="121"/>
      <c r="E999" s="121"/>
      <c r="F999" s="120"/>
      <c r="G999" s="120"/>
      <c r="H999" s="121"/>
      <c r="I999" s="121"/>
      <c r="J999" s="121"/>
      <c r="K999" s="120"/>
      <c r="L999" s="120"/>
      <c r="M999" s="122"/>
      <c r="N999" s="121"/>
      <c r="O999" s="121"/>
      <c r="P999" s="121"/>
      <c r="Q999" s="121"/>
      <c r="R999" s="120"/>
      <c r="S999" s="120"/>
      <c r="T999" s="120"/>
      <c r="U999" s="190"/>
      <c r="V999" s="190"/>
      <c r="W999" s="190"/>
      <c r="X999" s="190"/>
      <c r="Y999" s="190"/>
      <c r="Z999" s="190"/>
      <c r="AA999" s="120"/>
      <c r="AB999" s="120"/>
      <c r="AC999" s="120"/>
    </row>
    <row r="1000" spans="1:29" ht="14.25" customHeight="1">
      <c r="A1000" s="120"/>
      <c r="B1000" s="120"/>
      <c r="C1000" s="120"/>
      <c r="D1000" s="121"/>
      <c r="E1000" s="121"/>
      <c r="F1000" s="120"/>
      <c r="G1000" s="120"/>
      <c r="H1000" s="121"/>
      <c r="I1000" s="121"/>
      <c r="J1000" s="121"/>
      <c r="K1000" s="120"/>
      <c r="L1000" s="120"/>
      <c r="M1000" s="122"/>
      <c r="N1000" s="121"/>
      <c r="O1000" s="121"/>
      <c r="P1000" s="121"/>
      <c r="Q1000" s="121"/>
      <c r="R1000" s="120"/>
      <c r="S1000" s="120"/>
      <c r="T1000" s="120"/>
      <c r="U1000" s="190"/>
      <c r="V1000" s="190"/>
      <c r="W1000" s="190"/>
      <c r="X1000" s="190"/>
      <c r="Y1000" s="190"/>
      <c r="Z1000" s="190"/>
      <c r="AA1000" s="120"/>
      <c r="AB1000" s="120"/>
      <c r="AC1000" s="120"/>
    </row>
    <row r="1001" spans="1:29" ht="14.25" customHeight="1">
      <c r="A1001" s="120"/>
      <c r="B1001" s="120"/>
      <c r="C1001" s="120"/>
      <c r="D1001" s="121"/>
      <c r="E1001" s="121"/>
      <c r="F1001" s="120"/>
      <c r="G1001" s="120"/>
      <c r="H1001" s="121"/>
      <c r="I1001" s="121"/>
      <c r="J1001" s="121"/>
      <c r="K1001" s="120"/>
      <c r="L1001" s="120"/>
      <c r="M1001" s="122"/>
      <c r="N1001" s="121"/>
      <c r="O1001" s="121"/>
      <c r="P1001" s="121"/>
      <c r="Q1001" s="121"/>
      <c r="R1001" s="120"/>
      <c r="S1001" s="120"/>
      <c r="T1001" s="120"/>
      <c r="U1001" s="190"/>
      <c r="V1001" s="190"/>
      <c r="W1001" s="190"/>
      <c r="X1001" s="190"/>
      <c r="Y1001" s="190"/>
      <c r="Z1001" s="190"/>
      <c r="AA1001" s="120"/>
      <c r="AB1001" s="120"/>
      <c r="AC1001" s="120"/>
    </row>
  </sheetData>
  <autoFilter ref="A2:AC179" xr:uid="{93577A52-4508-4EF4-A7B6-4C7E7FD95E30}">
    <filterColumn colId="2" showButton="0"/>
    <filterColumn colId="3" showButton="0"/>
    <filterColumn colId="4" showButton="0"/>
    <filterColumn colId="5" showButton="0"/>
    <filterColumn colId="6" showButton="0"/>
    <filterColumn colId="7" showButton="0"/>
    <filterColumn colId="8" showButton="0"/>
    <filterColumn colId="9" showButton="0"/>
    <filterColumn colId="15" showButton="0"/>
    <filterColumn colId="17" showButton="0"/>
    <filterColumn colId="20" showButton="0"/>
    <filterColumn colId="21" showButton="0"/>
    <filterColumn colId="22" showButton="0"/>
    <filterColumn colId="23" showButton="0"/>
    <filterColumn colId="24" showButton="0"/>
    <filterColumn colId="26" showButton="0"/>
  </autoFilter>
  <mergeCells count="5">
    <mergeCell ref="C2:K2"/>
    <mergeCell ref="P2:Q2"/>
    <mergeCell ref="R2:S2"/>
    <mergeCell ref="U2:Z2"/>
    <mergeCell ref="AA2:AB2"/>
  </mergeCell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iconSet" priority="38" id="{8EB5BEB3-C7D9-4277-A83B-12FF1C0F79C6}">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U101:U103</xm:sqref>
        </x14:conditionalFormatting>
        <x14:conditionalFormatting xmlns:xm="http://schemas.microsoft.com/office/excel/2006/main">
          <x14:cfRule type="iconSet" priority="37" id="{1C22295B-E4BF-4DB4-9434-DB2541CBCF7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U104:U105</xm:sqref>
        </x14:conditionalFormatting>
        <x14:conditionalFormatting xmlns:xm="http://schemas.microsoft.com/office/excel/2006/main">
          <x14:cfRule type="iconSet" priority="21" id="{231DFDD6-3E82-41E6-A04A-3DED0469F9DF}">
            <x14:iconSet iconSet="3Symbols" showValue="0" custom="1">
              <x14:cfvo type="percent">
                <xm:f>0</xm:f>
              </x14:cfvo>
              <x14:cfvo type="num">
                <xm:f>0</xm:f>
              </x14:cfvo>
              <x14:cfvo type="num">
                <xm:f>1</xm:f>
              </x14:cfvo>
              <x14:cfIcon iconSet="3Symbols" iconId="0"/>
              <x14:cfIcon iconSet="3Symbols" iconId="0"/>
              <x14:cfIcon iconSet="3Symbols" iconId="2"/>
            </x14:iconSet>
          </x14:cfRule>
          <xm:sqref>U139:U140</xm:sqref>
        </x14:conditionalFormatting>
        <x14:conditionalFormatting xmlns:xm="http://schemas.microsoft.com/office/excel/2006/main">
          <x14:cfRule type="iconSet" priority="20" id="{15CB1935-F2CF-41C7-A1B1-62BBF331BE5B}">
            <x14:iconSet iconSet="3Symbols" showValue="0" custom="1">
              <x14:cfvo type="percent">
                <xm:f>0</xm:f>
              </x14:cfvo>
              <x14:cfvo type="num">
                <xm:f>0</xm:f>
              </x14:cfvo>
              <x14:cfvo type="num">
                <xm:f>1</xm:f>
              </x14:cfvo>
              <x14:cfIcon iconSet="3Symbols" iconId="0"/>
              <x14:cfIcon iconSet="3Symbols" iconId="0"/>
              <x14:cfIcon iconSet="3Symbols" iconId="2"/>
            </x14:iconSet>
          </x14:cfRule>
          <xm:sqref>U141:U144</xm:sqref>
        </x14:conditionalFormatting>
        <x14:conditionalFormatting xmlns:xm="http://schemas.microsoft.com/office/excel/2006/main">
          <x14:cfRule type="iconSet" priority="19" id="{C89941D0-D7E8-4E1F-B916-8B759886EC6F}">
            <x14:iconSet iconSet="3Symbols" showValue="0" custom="1">
              <x14:cfvo type="percent">
                <xm:f>0</xm:f>
              </x14:cfvo>
              <x14:cfvo type="num">
                <xm:f>0</xm:f>
              </x14:cfvo>
              <x14:cfvo type="num">
                <xm:f>1</xm:f>
              </x14:cfvo>
              <x14:cfIcon iconSet="3Symbols" iconId="0"/>
              <x14:cfIcon iconSet="3Symbols" iconId="0"/>
              <x14:cfIcon iconSet="3Symbols" iconId="2"/>
            </x14:iconSet>
          </x14:cfRule>
          <xm:sqref>U145:U146</xm:sqref>
        </x14:conditionalFormatting>
        <x14:conditionalFormatting xmlns:xm="http://schemas.microsoft.com/office/excel/2006/main">
          <x14:cfRule type="iconSet" priority="15" id="{B5D3C2A8-E1A8-45F8-9EA9-9E8B06C277E5}">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U163</xm:sqref>
        </x14:conditionalFormatting>
        <x14:conditionalFormatting xmlns:xm="http://schemas.microsoft.com/office/excel/2006/main">
          <x14:cfRule type="iconSet" priority="14" id="{14C1D040-F2AE-4BF6-BB04-712C8B5F9EB4}">
            <x14:iconSet iconSet="3Symbols" showValue="0" custom="1">
              <x14:cfvo type="percent">
                <xm:f>0</xm:f>
              </x14:cfvo>
              <x14:cfvo type="num">
                <xm:f>0</xm:f>
              </x14:cfvo>
              <x14:cfvo type="num">
                <xm:f>1</xm:f>
              </x14:cfvo>
              <x14:cfIcon iconSet="3Symbols" iconId="0"/>
              <x14:cfIcon iconSet="3Symbols" iconId="0"/>
              <x14:cfIcon iconSet="3Symbols" iconId="2"/>
            </x14:iconSet>
          </x14:cfRule>
          <xm:sqref>U165:U167</xm:sqref>
        </x14:conditionalFormatting>
        <x14:conditionalFormatting xmlns:xm="http://schemas.microsoft.com/office/excel/2006/main">
          <x14:cfRule type="iconSet" priority="10" id="{51B7C194-1F24-4EDD-BC61-39C086AC7ADD}">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U172:U173</xm:sqref>
        </x14:conditionalFormatting>
        <x14:conditionalFormatting xmlns:xm="http://schemas.microsoft.com/office/excel/2006/main">
          <x14:cfRule type="iconSet" priority="9" id="{985E1A86-FDD8-48FD-822F-7022AD699DEC}">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U174</xm:sqref>
        </x14:conditionalFormatting>
        <x14:conditionalFormatting xmlns:xm="http://schemas.microsoft.com/office/excel/2006/main">
          <x14:cfRule type="iconSet" priority="8" id="{49000FBB-1341-4BCF-B7FC-7BAE01635213}">
            <x14:iconSet iconSet="3Symbols" showValue="0" custom="1">
              <x14:cfvo type="percent">
                <xm:f>0</xm:f>
              </x14:cfvo>
              <x14:cfvo type="num">
                <xm:f>0</xm:f>
              </x14:cfvo>
              <x14:cfvo type="num">
                <xm:f>1</xm:f>
              </x14:cfvo>
              <x14:cfIcon iconSet="3Symbols" iconId="0"/>
              <x14:cfIcon iconSet="3Symbols" iconId="0"/>
              <x14:cfIcon iconSet="3Symbols" iconId="2"/>
            </x14:iconSet>
          </x14:cfRule>
          <xm:sqref>U175:U179</xm:sqref>
        </x14:conditionalFormatting>
        <x14:conditionalFormatting xmlns:xm="http://schemas.microsoft.com/office/excel/2006/main">
          <x14:cfRule type="iconSet" priority="50" id="{4081538A-6928-4897-82FA-C505C6BC4C22}">
            <x14:iconSet iconSet="3Symbols" showValue="0" custom="1">
              <x14:cfvo type="percent">
                <xm:f>0</xm:f>
              </x14:cfvo>
              <x14:cfvo type="num">
                <xm:f>0</xm:f>
              </x14:cfvo>
              <x14:cfvo type="num">
                <xm:f>1</xm:f>
              </x14:cfvo>
              <x14:cfIcon iconSet="3Symbols" iconId="0"/>
              <x14:cfIcon iconSet="3Symbols" iconId="0"/>
              <x14:cfIcon iconSet="3Symbols" iconId="2"/>
            </x14:iconSet>
          </x14:cfRule>
          <xm:sqref>U35:V35</xm:sqref>
        </x14:conditionalFormatting>
        <x14:conditionalFormatting xmlns:xm="http://schemas.microsoft.com/office/excel/2006/main">
          <x14:cfRule type="iconSet" priority="46" id="{6EE59B0E-DCDC-4D3B-B67D-ADAB5CD5417D}">
            <x14:iconSet iconSet="3Symbols" showValue="0" custom="1">
              <x14:cfvo type="percent">
                <xm:f>0</xm:f>
              </x14:cfvo>
              <x14:cfvo type="num">
                <xm:f>0</xm:f>
              </x14:cfvo>
              <x14:cfvo type="num">
                <xm:f>1</xm:f>
              </x14:cfvo>
              <x14:cfIcon iconSet="3Symbols" iconId="0"/>
              <x14:cfIcon iconSet="3Symbols" iconId="0"/>
              <x14:cfIcon iconSet="3Symbols" iconId="2"/>
            </x14:iconSet>
          </x14:cfRule>
          <xm:sqref>U56:V56</xm:sqref>
        </x14:conditionalFormatting>
        <x14:conditionalFormatting xmlns:xm="http://schemas.microsoft.com/office/excel/2006/main">
          <x14:cfRule type="iconSet" priority="45" id="{FF8DCBE3-7533-416E-BD80-0C21D7760C77}">
            <x14:iconSet iconSet="3Symbols" showValue="0" custom="1">
              <x14:cfvo type="percent">
                <xm:f>0</xm:f>
              </x14:cfvo>
              <x14:cfvo type="num">
                <xm:f>0</xm:f>
              </x14:cfvo>
              <x14:cfvo type="num">
                <xm:f>1</xm:f>
              </x14:cfvo>
              <x14:cfIcon iconSet="3Symbols" iconId="0"/>
              <x14:cfIcon iconSet="3Symbols" iconId="0"/>
              <x14:cfIcon iconSet="3Symbols" iconId="2"/>
            </x14:iconSet>
          </x14:cfRule>
          <xm:sqref>U76:V77</xm:sqref>
        </x14:conditionalFormatting>
        <x14:conditionalFormatting xmlns:xm="http://schemas.microsoft.com/office/excel/2006/main">
          <x14:cfRule type="iconSet" priority="44" id="{D4DD9F04-93BC-4BDB-BA79-B6FCD54D8632}">
            <x14:iconSet iconSet="3Symbols" showValue="0" custom="1">
              <x14:cfvo type="percent">
                <xm:f>0</xm:f>
              </x14:cfvo>
              <x14:cfvo type="num">
                <xm:f>0</xm:f>
              </x14:cfvo>
              <x14:cfvo type="num">
                <xm:f>1</xm:f>
              </x14:cfvo>
              <x14:cfIcon iconSet="3Symbols" iconId="0"/>
              <x14:cfIcon iconSet="3Symbols" iconId="0"/>
              <x14:cfIcon iconSet="3Symbols" iconId="2"/>
            </x14:iconSet>
          </x14:cfRule>
          <xm:sqref>U82:V82</xm:sqref>
        </x14:conditionalFormatting>
        <x14:conditionalFormatting xmlns:xm="http://schemas.microsoft.com/office/excel/2006/main">
          <x14:cfRule type="iconSet" priority="43" id="{340B3B04-90A1-4C6B-85BE-4A08EA19D32F}">
            <x14:iconSet iconSet="3Symbols" showValue="0" custom="1">
              <x14:cfvo type="percent">
                <xm:f>0</xm:f>
              </x14:cfvo>
              <x14:cfvo type="num">
                <xm:f>0</xm:f>
              </x14:cfvo>
              <x14:cfvo type="num">
                <xm:f>1</xm:f>
              </x14:cfvo>
              <x14:cfIcon iconSet="3Symbols" iconId="0"/>
              <x14:cfIcon iconSet="3Symbols" iconId="0"/>
              <x14:cfIcon iconSet="3Symbols" iconId="2"/>
            </x14:iconSet>
          </x14:cfRule>
          <xm:sqref>U84:V86</xm:sqref>
        </x14:conditionalFormatting>
        <x14:conditionalFormatting xmlns:xm="http://schemas.microsoft.com/office/excel/2006/main">
          <x14:cfRule type="iconSet" priority="42" id="{A90DCBD4-7824-42D0-92A1-EDA9273D4DDB}">
            <x14:iconSet iconSet="3Symbols" showValue="0" custom="1">
              <x14:cfvo type="percent">
                <xm:f>0</xm:f>
              </x14:cfvo>
              <x14:cfvo type="num">
                <xm:f>0</xm:f>
              </x14:cfvo>
              <x14:cfvo type="num">
                <xm:f>1</xm:f>
              </x14:cfvo>
              <x14:cfIcon iconSet="3Symbols" iconId="0"/>
              <x14:cfIcon iconSet="3Symbols" iconId="0"/>
              <x14:cfIcon iconSet="3Symbols" iconId="2"/>
            </x14:iconSet>
          </x14:cfRule>
          <xm:sqref>U87:V87</xm:sqref>
        </x14:conditionalFormatting>
        <x14:conditionalFormatting xmlns:xm="http://schemas.microsoft.com/office/excel/2006/main">
          <x14:cfRule type="iconSet" priority="41" id="{8391ADBD-F6F3-4FA7-9630-7F80FBCAC4D7}">
            <x14:iconSet iconSet="3Symbols" showValue="0" custom="1">
              <x14:cfvo type="percent">
                <xm:f>0</xm:f>
              </x14:cfvo>
              <x14:cfvo type="num">
                <xm:f>0</xm:f>
              </x14:cfvo>
              <x14:cfvo type="num">
                <xm:f>1</xm:f>
              </x14:cfvo>
              <x14:cfIcon iconSet="3Symbols" iconId="0"/>
              <x14:cfIcon iconSet="3Symbols" iconId="0"/>
              <x14:cfIcon iconSet="3Symbols" iconId="2"/>
            </x14:iconSet>
          </x14:cfRule>
          <xm:sqref>U90:V91</xm:sqref>
        </x14:conditionalFormatting>
        <x14:conditionalFormatting xmlns:xm="http://schemas.microsoft.com/office/excel/2006/main">
          <x14:cfRule type="iconSet" priority="40" id="{7D5C9D0D-A94F-46ED-A8E8-AC1B7A101667}">
            <x14:iconSet iconSet="3Symbols" showValue="0" custom="1">
              <x14:cfvo type="percent">
                <xm:f>0</xm:f>
              </x14:cfvo>
              <x14:cfvo type="num">
                <xm:f>0</xm:f>
              </x14:cfvo>
              <x14:cfvo type="num">
                <xm:f>1</xm:f>
              </x14:cfvo>
              <x14:cfIcon iconSet="3Symbols" iconId="0"/>
              <x14:cfIcon iconSet="3Symbols" iconId="0"/>
              <x14:cfIcon iconSet="3Symbols" iconId="2"/>
            </x14:iconSet>
          </x14:cfRule>
          <xm:sqref>U92:V94</xm:sqref>
        </x14:conditionalFormatting>
        <x14:conditionalFormatting xmlns:xm="http://schemas.microsoft.com/office/excel/2006/main">
          <x14:cfRule type="iconSet" priority="39" id="{21C31815-DF94-4DCD-9358-683681F8BA8D}">
            <x14:iconSet iconSet="3Symbols" showValue="0" custom="1">
              <x14:cfvo type="percent">
                <xm:f>0</xm:f>
              </x14:cfvo>
              <x14:cfvo type="num">
                <xm:f>0</xm:f>
              </x14:cfvo>
              <x14:cfvo type="num">
                <xm:f>1</xm:f>
              </x14:cfvo>
              <x14:cfIcon iconSet="3Symbols" iconId="0"/>
              <x14:cfIcon iconSet="3Symbols" iconId="0"/>
              <x14:cfIcon iconSet="3Symbols" iconId="2"/>
            </x14:iconSet>
          </x14:cfRule>
          <xm:sqref>U99:V99</xm:sqref>
        </x14:conditionalFormatting>
        <x14:conditionalFormatting xmlns:xm="http://schemas.microsoft.com/office/excel/2006/main">
          <x14:cfRule type="iconSet" priority="31" id="{35F3C736-2C86-47C9-BD68-8DFED1892AFC}">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U108:V108</xm:sqref>
        </x14:conditionalFormatting>
        <x14:conditionalFormatting xmlns:xm="http://schemas.microsoft.com/office/excel/2006/main">
          <x14:cfRule type="iconSet" priority="34" id="{2BD783CA-0741-4F7F-8B3F-98DF76C2427B}">
            <x14:iconSet iconSet="3Symbols" showValue="0" custom="1">
              <x14:cfvo type="percent">
                <xm:f>0</xm:f>
              </x14:cfvo>
              <x14:cfvo type="num">
                <xm:f>0</xm:f>
              </x14:cfvo>
              <x14:cfvo type="num">
                <xm:f>1</xm:f>
              </x14:cfvo>
              <x14:cfIcon iconSet="3Symbols" iconId="0"/>
              <x14:cfIcon iconSet="3Symbols" iconId="0"/>
              <x14:cfIcon iconSet="3Symbols" iconId="2"/>
            </x14:iconSet>
          </x14:cfRule>
          <xm:sqref>U109:V110</xm:sqref>
        </x14:conditionalFormatting>
        <x14:conditionalFormatting xmlns:xm="http://schemas.microsoft.com/office/excel/2006/main">
          <x14:cfRule type="iconSet" priority="33" id="{ECE02938-3093-4A2D-9950-962C20AB3A33}">
            <x14:iconSet iconSet="3Symbols" showValue="0" custom="1">
              <x14:cfvo type="percent">
                <xm:f>0</xm:f>
              </x14:cfvo>
              <x14:cfvo type="num">
                <xm:f>0</xm:f>
              </x14:cfvo>
              <x14:cfvo type="num">
                <xm:f>1</xm:f>
              </x14:cfvo>
              <x14:cfIcon iconSet="3Symbols" iconId="0"/>
              <x14:cfIcon iconSet="3Symbols" iconId="0"/>
              <x14:cfIcon iconSet="3Symbols" iconId="2"/>
            </x14:iconSet>
          </x14:cfRule>
          <xm:sqref>U111:V112</xm:sqref>
        </x14:conditionalFormatting>
        <x14:conditionalFormatting xmlns:xm="http://schemas.microsoft.com/office/excel/2006/main">
          <x14:cfRule type="iconSet" priority="32" id="{8E8F4393-813D-47DE-B5B3-FA7660953F4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U113:V119</xm:sqref>
        </x14:conditionalFormatting>
        <x14:conditionalFormatting xmlns:xm="http://schemas.microsoft.com/office/excel/2006/main">
          <x14:cfRule type="iconSet" priority="30" id="{FBF55D6D-271C-46D2-97E0-F32916F41C8C}">
            <x14:iconSet iconSet="3Symbols" showValue="0" custom="1">
              <x14:cfvo type="percent">
                <xm:f>0</xm:f>
              </x14:cfvo>
              <x14:cfvo type="num">
                <xm:f>0</xm:f>
              </x14:cfvo>
              <x14:cfvo type="num">
                <xm:f>1</xm:f>
              </x14:cfvo>
              <x14:cfIcon iconSet="3Symbols" iconId="0"/>
              <x14:cfIcon iconSet="3Symbols" iconId="0"/>
              <x14:cfIcon iconSet="3Symbols" iconId="2"/>
            </x14:iconSet>
          </x14:cfRule>
          <xm:sqref>U125:V125</xm:sqref>
        </x14:conditionalFormatting>
        <x14:conditionalFormatting xmlns:xm="http://schemas.microsoft.com/office/excel/2006/main">
          <x14:cfRule type="iconSet" priority="29" id="{D2D486A4-2BB6-4037-8142-4093222F09B2}">
            <x14:iconSet iconSet="3Symbols" showValue="0" custom="1">
              <x14:cfvo type="percent">
                <xm:f>0</xm:f>
              </x14:cfvo>
              <x14:cfvo type="num">
                <xm:f>0</xm:f>
              </x14:cfvo>
              <x14:cfvo type="num">
                <xm:f>1</xm:f>
              </x14:cfvo>
              <x14:cfIcon iconSet="3Symbols" iconId="0"/>
              <x14:cfIcon iconSet="3Symbols" iconId="0"/>
              <x14:cfIcon iconSet="3Symbols" iconId="2"/>
            </x14:iconSet>
          </x14:cfRule>
          <xm:sqref>U126:V128</xm:sqref>
        </x14:conditionalFormatting>
        <x14:conditionalFormatting xmlns:xm="http://schemas.microsoft.com/office/excel/2006/main">
          <x14:cfRule type="iconSet" priority="18" id="{F87B39B9-9B06-48C7-B153-8651306FED83}">
            <x14:iconSet iconSet="3Symbols" showValue="0" custom="1">
              <x14:cfvo type="percent">
                <xm:f>0</xm:f>
              </x14:cfvo>
              <x14:cfvo type="num">
                <xm:f>0</xm:f>
              </x14:cfvo>
              <x14:cfvo type="num">
                <xm:f>1</xm:f>
              </x14:cfvo>
              <x14:cfIcon iconSet="3Symbols" iconId="0"/>
              <x14:cfIcon iconSet="3Symbols" iconId="0"/>
              <x14:cfIcon iconSet="3Symbols" iconId="2"/>
            </x14:iconSet>
          </x14:cfRule>
          <xm:sqref>U152:V153</xm:sqref>
        </x14:conditionalFormatting>
        <x14:conditionalFormatting xmlns:xm="http://schemas.microsoft.com/office/excel/2006/main">
          <x14:cfRule type="iconSet" priority="17" id="{DA4215F8-217A-4D23-A6D1-57F6D6447971}">
            <x14:iconSet iconSet="3Symbols" showValue="0" custom="1">
              <x14:cfvo type="percent">
                <xm:f>0</xm:f>
              </x14:cfvo>
              <x14:cfvo type="num">
                <xm:f>0</xm:f>
              </x14:cfvo>
              <x14:cfvo type="num">
                <xm:f>1</xm:f>
              </x14:cfvo>
              <x14:cfIcon iconSet="3Symbols" iconId="0"/>
              <x14:cfIcon iconSet="3Symbols" iconId="0"/>
              <x14:cfIcon iconSet="3Symbols" iconId="2"/>
            </x14:iconSet>
          </x14:cfRule>
          <xm:sqref>U159:V161</xm:sqref>
        </x14:conditionalFormatting>
        <x14:conditionalFormatting xmlns:xm="http://schemas.microsoft.com/office/excel/2006/main">
          <x14:cfRule type="iconSet" priority="3" id="{E9F2A5B3-ECC2-4E0A-B90C-E1EF840FD304}">
            <x14:iconSet iconSet="3Symbols" showValue="0" custom="1">
              <x14:cfvo type="percent">
                <xm:f>0</xm:f>
              </x14:cfvo>
              <x14:cfvo type="num">
                <xm:f>0</xm:f>
              </x14:cfvo>
              <x14:cfvo type="num">
                <xm:f>1</xm:f>
              </x14:cfvo>
              <x14:cfIcon iconSet="3Symbols" iconId="0"/>
              <x14:cfIcon iconSet="3Symbols" iconId="0"/>
              <x14:cfIcon iconSet="3Symbols" iconId="2"/>
            </x14:iconSet>
          </x14:cfRule>
          <xm:sqref>U181:Z191</xm:sqref>
        </x14:conditionalFormatting>
        <x14:conditionalFormatting xmlns:xm="http://schemas.microsoft.com/office/excel/2006/main">
          <x14:cfRule type="iconSet" priority="4" id="{A2EF203A-5AEA-4442-A131-141280064237}">
            <x14:iconSet iconSet="3Symbols" showValue="0" custom="1">
              <x14:cfvo type="percent">
                <xm:f>0</xm:f>
              </x14:cfvo>
              <x14:cfvo type="num">
                <xm:f>0</xm:f>
              </x14:cfvo>
              <x14:cfvo type="num">
                <xm:f>1</xm:f>
              </x14:cfvo>
              <x14:cfIcon iconSet="3Symbols" iconId="0"/>
              <x14:cfIcon iconSet="3Symbols" iconId="0"/>
              <x14:cfIcon iconSet="3Symbols" iconId="2"/>
            </x14:iconSet>
          </x14:cfRule>
          <xm:sqref>U192:Z202</xm:sqref>
        </x14:conditionalFormatting>
        <x14:conditionalFormatting xmlns:xm="http://schemas.microsoft.com/office/excel/2006/main">
          <x14:cfRule type="iconSet" priority="1" id="{14BE13FD-E403-4233-8D17-2AC3753987FA}">
            <x14:iconSet iconSet="3Symbols" showValue="0" custom="1">
              <x14:cfvo type="percent">
                <xm:f>0</xm:f>
              </x14:cfvo>
              <x14:cfvo type="num">
                <xm:f>0</xm:f>
              </x14:cfvo>
              <x14:cfvo type="num">
                <xm:f>1</xm:f>
              </x14:cfvo>
              <x14:cfIcon iconSet="3Symbols" iconId="0"/>
              <x14:cfIcon iconSet="3Symbols" iconId="0"/>
              <x14:cfIcon iconSet="3Symbols" iconId="2"/>
            </x14:iconSet>
          </x14:cfRule>
          <xm:sqref>U203:Z203</xm:sqref>
        </x14:conditionalFormatting>
        <x14:conditionalFormatting xmlns:xm="http://schemas.microsoft.com/office/excel/2006/main">
          <x14:cfRule type="iconSet" priority="49" id="{55884630-0D65-496A-B853-19A1B2128E88}">
            <x14:iconSet iconSet="3Symbols" showValue="0" custom="1">
              <x14:cfvo type="percent">
                <xm:f>0</xm:f>
              </x14:cfvo>
              <x14:cfvo type="num">
                <xm:f>0</xm:f>
              </x14:cfvo>
              <x14:cfvo type="num">
                <xm:f>1</xm:f>
              </x14:cfvo>
              <x14:cfIcon iconSet="3Symbols" iconId="0"/>
              <x14:cfIcon iconSet="3Symbols" iconId="0"/>
              <x14:cfIcon iconSet="3Symbols" iconId="2"/>
            </x14:iconSet>
          </x14:cfRule>
          <xm:sqref>V48:V50</xm:sqref>
        </x14:conditionalFormatting>
        <x14:conditionalFormatting xmlns:xm="http://schemas.microsoft.com/office/excel/2006/main">
          <x14:cfRule type="iconSet" priority="48" id="{3A3D02E3-30CA-4B16-967C-1060F7633F4E}">
            <x14:iconSet iconSet="3Symbols" showValue="0" custom="1">
              <x14:cfvo type="percent">
                <xm:f>0</xm:f>
              </x14:cfvo>
              <x14:cfvo type="num">
                <xm:f>0</xm:f>
              </x14:cfvo>
              <x14:cfvo type="num">
                <xm:f>1</xm:f>
              </x14:cfvo>
              <x14:cfIcon iconSet="3Symbols" iconId="0"/>
              <x14:cfIcon iconSet="3Symbols" iconId="0"/>
              <x14:cfIcon iconSet="3Symbols" iconId="2"/>
            </x14:iconSet>
          </x14:cfRule>
          <xm:sqref>V52</xm:sqref>
        </x14:conditionalFormatting>
        <x14:conditionalFormatting xmlns:xm="http://schemas.microsoft.com/office/excel/2006/main">
          <x14:cfRule type="iconSet" priority="47" id="{40EF9E75-8E40-4964-BAF0-402E44271222}">
            <x14:iconSet iconSet="3Symbols" showValue="0" custom="1">
              <x14:cfvo type="percent">
                <xm:f>0</xm:f>
              </x14:cfvo>
              <x14:cfvo type="num">
                <xm:f>0</xm:f>
              </x14:cfvo>
              <x14:cfvo type="num">
                <xm:f>1</xm:f>
              </x14:cfvo>
              <x14:cfIcon iconSet="3Symbols" iconId="0"/>
              <x14:cfIcon iconSet="3Symbols" iconId="0"/>
              <x14:cfIcon iconSet="3Symbols" iconId="2"/>
            </x14:iconSet>
          </x14:cfRule>
          <xm:sqref>V54</xm:sqref>
        </x14:conditionalFormatting>
        <x14:conditionalFormatting xmlns:xm="http://schemas.microsoft.com/office/excel/2006/main">
          <x14:cfRule type="iconSet" priority="36" id="{B1A6CA3C-4F0E-4ADB-AAD8-B215DCBAF042}">
            <x14:iconSet iconSet="3Symbols" showValue="0" custom="1">
              <x14:cfvo type="percent">
                <xm:f>0</xm:f>
              </x14:cfvo>
              <x14:cfvo type="num">
                <xm:f>0</xm:f>
              </x14:cfvo>
              <x14:cfvo type="num">
                <xm:f>1</xm:f>
              </x14:cfvo>
              <x14:cfIcon iconSet="3Symbols" iconId="0"/>
              <x14:cfIcon iconSet="3Symbols" iconId="0"/>
              <x14:cfIcon iconSet="3Symbols" iconId="2"/>
            </x14:iconSet>
          </x14:cfRule>
          <xm:sqref>V102:V103</xm:sqref>
        </x14:conditionalFormatting>
        <x14:conditionalFormatting xmlns:xm="http://schemas.microsoft.com/office/excel/2006/main">
          <x14:cfRule type="iconSet" priority="35" id="{0EBD5EDB-4007-4F25-859D-BB6EF8C69A87}">
            <x14:iconSet iconSet="3Symbols" showValue="0" custom="1">
              <x14:cfvo type="percent">
                <xm:f>0</xm:f>
              </x14:cfvo>
              <x14:cfvo type="num">
                <xm:f>0</xm:f>
              </x14:cfvo>
              <x14:cfvo type="num">
                <xm:f>1</xm:f>
              </x14:cfvo>
              <x14:cfIcon iconSet="3Symbols" iconId="0"/>
              <x14:cfIcon iconSet="3Symbols" iconId="0"/>
              <x14:cfIcon iconSet="3Symbols" iconId="2"/>
            </x14:iconSet>
          </x14:cfRule>
          <xm:sqref>V104:V105</xm:sqref>
        </x14:conditionalFormatting>
        <x14:conditionalFormatting xmlns:xm="http://schemas.microsoft.com/office/excel/2006/main">
          <x14:cfRule type="iconSet" priority="27" id="{EEBE50A1-EE23-4806-AE59-A6F6D738F0A9}">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V130</xm:sqref>
        </x14:conditionalFormatting>
        <x14:conditionalFormatting xmlns:xm="http://schemas.microsoft.com/office/excel/2006/main">
          <x14:cfRule type="iconSet" priority="28" id="{C522D112-4BE4-4C62-AA2A-222F84CEE132}">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V131:V132</xm:sqref>
        </x14:conditionalFormatting>
        <x14:conditionalFormatting xmlns:xm="http://schemas.microsoft.com/office/excel/2006/main">
          <x14:cfRule type="iconSet" priority="23" id="{D16277B0-44C7-49BD-8E75-9A2D4A3D0573}">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V138</xm:sqref>
        </x14:conditionalFormatting>
        <x14:conditionalFormatting xmlns:xm="http://schemas.microsoft.com/office/excel/2006/main">
          <x14:cfRule type="iconSet" priority="26" id="{B67E6667-783E-4144-ADB3-CD27C913BD69}">
            <x14:iconSet iconSet="3Symbols" showValue="0" custom="1">
              <x14:cfvo type="percent">
                <xm:f>0</xm:f>
              </x14:cfvo>
              <x14:cfvo type="num">
                <xm:f>0</xm:f>
              </x14:cfvo>
              <x14:cfvo type="num">
                <xm:f>1</xm:f>
              </x14:cfvo>
              <x14:cfIcon iconSet="3Symbols" iconId="0"/>
              <x14:cfIcon iconSet="3Symbols" iconId="0"/>
              <x14:cfIcon iconSet="3Symbols" iconId="2"/>
            </x14:iconSet>
          </x14:cfRule>
          <xm:sqref>V139</xm:sqref>
        </x14:conditionalFormatting>
        <x14:conditionalFormatting xmlns:xm="http://schemas.microsoft.com/office/excel/2006/main">
          <x14:cfRule type="iconSet" priority="22" id="{AFE2517E-FCD0-40BD-B23B-D9077D4518D4}">
            <x14:iconSet iconSet="3Symbols" showValue="0" custom="1">
              <x14:cfvo type="percent">
                <xm:f>0</xm:f>
              </x14:cfvo>
              <x14:cfvo type="num">
                <xm:f>0</xm:f>
              </x14:cfvo>
              <x14:cfvo type="num">
                <xm:f>1</xm:f>
              </x14:cfvo>
              <x14:cfIcon iconSet="3Symbols" iconId="0"/>
              <x14:cfIcon iconSet="3Symbols" iconId="0"/>
              <x14:cfIcon iconSet="3Symbols" iconId="2"/>
            </x14:iconSet>
          </x14:cfRule>
          <xm:sqref>V140</xm:sqref>
        </x14:conditionalFormatting>
        <x14:conditionalFormatting xmlns:xm="http://schemas.microsoft.com/office/excel/2006/main">
          <x14:cfRule type="iconSet" priority="25" id="{07106A02-44DB-4043-89D0-0DE7ADBCE568}">
            <x14:iconSet iconSet="3Symbols" showValue="0" custom="1">
              <x14:cfvo type="percent">
                <xm:f>0</xm:f>
              </x14:cfvo>
              <x14:cfvo type="num">
                <xm:f>0</xm:f>
              </x14:cfvo>
              <x14:cfvo type="num">
                <xm:f>1</xm:f>
              </x14:cfvo>
              <x14:cfIcon iconSet="3Symbols" iconId="0"/>
              <x14:cfIcon iconSet="3Symbols" iconId="0"/>
              <x14:cfIcon iconSet="3Symbols" iconId="2"/>
            </x14:iconSet>
          </x14:cfRule>
          <xm:sqref>V141:V144</xm:sqref>
        </x14:conditionalFormatting>
        <x14:conditionalFormatting xmlns:xm="http://schemas.microsoft.com/office/excel/2006/main">
          <x14:cfRule type="iconSet" priority="24" id="{39816A8F-E83A-4D8B-8387-08C413AB8EBD}">
            <x14:iconSet iconSet="3Symbols" showValue="0" custom="1">
              <x14:cfvo type="percent">
                <xm:f>0</xm:f>
              </x14:cfvo>
              <x14:cfvo type="num">
                <xm:f>0</xm:f>
              </x14:cfvo>
              <x14:cfvo type="num">
                <xm:f>1</xm:f>
              </x14:cfvo>
              <x14:cfIcon iconSet="3Symbols" iconId="0"/>
              <x14:cfIcon iconSet="3Symbols" iconId="0"/>
              <x14:cfIcon iconSet="3Symbols" iconId="2"/>
            </x14:iconSet>
          </x14:cfRule>
          <xm:sqref>V145:V146</xm:sqref>
        </x14:conditionalFormatting>
        <x14:conditionalFormatting xmlns:xm="http://schemas.microsoft.com/office/excel/2006/main">
          <x14:cfRule type="iconSet" priority="16" id="{5764190A-2DE2-461A-B08F-A0699E0999A8}">
            <x14:iconSet iconSet="3Symbols" showValue="0" custom="1">
              <x14:cfvo type="percent">
                <xm:f>0</xm:f>
              </x14:cfvo>
              <x14:cfvo type="num">
                <xm:f>0</xm:f>
              </x14:cfvo>
              <x14:cfvo type="num">
                <xm:f>1</xm:f>
              </x14:cfvo>
              <x14:cfIcon iconSet="3Symbols" iconId="0"/>
              <x14:cfIcon iconSet="3Symbols" iconId="0"/>
              <x14:cfIcon iconSet="3Symbols" iconId="2"/>
            </x14:iconSet>
          </x14:cfRule>
          <xm:sqref>V163:V164</xm:sqref>
        </x14:conditionalFormatting>
        <x14:conditionalFormatting xmlns:xm="http://schemas.microsoft.com/office/excel/2006/main">
          <x14:cfRule type="iconSet" priority="13" id="{91022E2B-F3D4-45A2-8AF3-D6F5012CAD0E}">
            <x14:iconSet iconSet="3Symbols" showValue="0" custom="1">
              <x14:cfvo type="percent">
                <xm:f>0</xm:f>
              </x14:cfvo>
              <x14:cfvo type="num">
                <xm:f>0</xm:f>
              </x14:cfvo>
              <x14:cfvo type="num">
                <xm:f>1</xm:f>
              </x14:cfvo>
              <x14:cfIcon iconSet="3Symbols" iconId="0"/>
              <x14:cfIcon iconSet="3Symbols" iconId="0"/>
              <x14:cfIcon iconSet="3Symbols" iconId="2"/>
            </x14:iconSet>
          </x14:cfRule>
          <xm:sqref>V166:V167</xm:sqref>
        </x14:conditionalFormatting>
        <x14:conditionalFormatting xmlns:xm="http://schemas.microsoft.com/office/excel/2006/main">
          <x14:cfRule type="iconSet" priority="12" id="{B7928400-E7CD-4899-8E86-F5FC4E608928}">
            <x14:iconSet iconSet="3Symbols" showValue="0" custom="1">
              <x14:cfvo type="percent">
                <xm:f>0</xm:f>
              </x14:cfvo>
              <x14:cfvo type="num">
                <xm:f>0</xm:f>
              </x14:cfvo>
              <x14:cfvo type="num">
                <xm:f>1</xm:f>
              </x14:cfvo>
              <x14:cfIcon iconSet="3Symbols" iconId="0"/>
              <x14:cfIcon iconSet="3Symbols" iconId="0"/>
              <x14:cfIcon iconSet="3Symbols" iconId="2"/>
            </x14:iconSet>
          </x14:cfRule>
          <xm:sqref>V170</xm:sqref>
        </x14:conditionalFormatting>
        <x14:conditionalFormatting xmlns:xm="http://schemas.microsoft.com/office/excel/2006/main">
          <x14:cfRule type="iconSet" priority="11" id="{027F0D1C-7424-4BE6-B7D9-BA49804F3B7D}">
            <x14:iconSet iconSet="3Symbols" showValue="0" custom="1">
              <x14:cfvo type="percent">
                <xm:f>0</xm:f>
              </x14:cfvo>
              <x14:cfvo type="num">
                <xm:f>0</xm:f>
              </x14:cfvo>
              <x14:cfvo type="num">
                <xm:f>1</xm:f>
              </x14:cfvo>
              <x14:cfIcon iconSet="3Symbols" iconId="0"/>
              <x14:cfIcon iconSet="3Symbols" iconId="0"/>
              <x14:cfIcon iconSet="3Symbols" iconId="2"/>
            </x14:iconSet>
          </x14:cfRule>
          <xm:sqref>V171:V172</xm:sqref>
        </x14:conditionalFormatting>
        <x14:conditionalFormatting xmlns:xm="http://schemas.microsoft.com/office/excel/2006/main">
          <x14:cfRule type="iconSet" priority="7" id="{2AE533D7-18E9-41A8-A642-8668A4FABBEC}">
            <x14:iconSet iconSet="3Symbols" showValue="0" custom="1">
              <x14:cfvo type="percent">
                <xm:f>0</xm:f>
              </x14:cfvo>
              <x14:cfvo type="num">
                <xm:f>0</xm:f>
              </x14:cfvo>
              <x14:cfvo type="num">
                <xm:f>1</xm:f>
              </x14:cfvo>
              <x14:cfIcon iconSet="3Symbols" iconId="0"/>
              <x14:cfIcon iconSet="3Symbols" iconId="0"/>
              <x14:cfIcon iconSet="3Symbols" iconId="2"/>
            </x14:iconSet>
          </x14:cfRule>
          <xm:sqref>V177</xm:sqref>
        </x14:conditionalFormatting>
        <x14:conditionalFormatting xmlns:xm="http://schemas.microsoft.com/office/excel/2006/main">
          <x14:cfRule type="iconSet" priority="6" id="{906B81CC-6DC5-42E0-9A51-96FA0843E370}">
            <x14:iconSet iconSet="3Symbols" showValue="0" custom="1">
              <x14:cfvo type="percent">
                <xm:f>0</xm:f>
              </x14:cfvo>
              <x14:cfvo type="num">
                <xm:f>0</xm:f>
              </x14:cfvo>
              <x14:cfvo type="num">
                <xm:f>1</xm:f>
              </x14:cfvo>
              <x14:cfIcon iconSet="3Symbols" iconId="0"/>
              <x14:cfIcon iconSet="3Symbols" iconId="0"/>
              <x14:cfIcon iconSet="3Symbols" iconId="2"/>
            </x14:iconSet>
          </x14:cfRule>
          <xm:sqref>V179</xm:sqref>
        </x14:conditionalFormatting>
        <x14:conditionalFormatting xmlns:xm="http://schemas.microsoft.com/office/excel/2006/main">
          <x14:cfRule type="iconSet" priority="102" id="{8387D251-CDC7-469E-8A49-04F327B3EB1C}">
            <x14:iconSet iconSet="3Symbols" showValue="0" custom="1">
              <x14:cfvo type="percent">
                <xm:f>0</xm:f>
              </x14:cfvo>
              <x14:cfvo type="num">
                <xm:f>0</xm:f>
              </x14:cfvo>
              <x14:cfvo type="num">
                <xm:f>1</xm:f>
              </x14:cfvo>
              <x14:cfIcon iconSet="3Symbols" iconId="0"/>
              <x14:cfIcon iconSet="3Symbols" iconId="0"/>
              <x14:cfIcon iconSet="3Symbols" iconId="2"/>
            </x14:iconSet>
          </x14:cfRule>
          <xm:sqref>W58:W65 Y58:Z65</xm:sqref>
        </x14:conditionalFormatting>
        <x14:conditionalFormatting xmlns:xm="http://schemas.microsoft.com/office/excel/2006/main">
          <x14:cfRule type="iconSet" priority="90" id="{336EB0FA-3AF7-4A10-B4B0-EECB16DB8601}">
            <x14:iconSet iconSet="3Symbols" showValue="0" custom="1">
              <x14:cfvo type="percent">
                <xm:f>0</xm:f>
              </x14:cfvo>
              <x14:cfvo type="num">
                <xm:f>0</xm:f>
              </x14:cfvo>
              <x14:cfvo type="num">
                <xm:f>1</xm:f>
              </x14:cfvo>
              <x14:cfIcon iconSet="3Symbols" iconId="0"/>
              <x14:cfIcon iconSet="3Symbols" iconId="0"/>
              <x14:cfIcon iconSet="3Symbols" iconId="2"/>
            </x14:iconSet>
          </x14:cfRule>
          <xm:sqref>W66 Y66:Z66</xm:sqref>
        </x14:conditionalFormatting>
        <x14:conditionalFormatting xmlns:xm="http://schemas.microsoft.com/office/excel/2006/main">
          <x14:cfRule type="iconSet" priority="89" id="{56E755F4-6BCC-43A2-BD7D-861D9F5C2E68}">
            <x14:iconSet iconSet="3Symbols" showValue="0" custom="1">
              <x14:cfvo type="percent">
                <xm:f>0</xm:f>
              </x14:cfvo>
              <x14:cfvo type="num">
                <xm:f>0</xm:f>
              </x14:cfvo>
              <x14:cfvo type="num">
                <xm:f>1</xm:f>
              </x14:cfvo>
              <x14:cfIcon iconSet="3Symbols" iconId="0"/>
              <x14:cfIcon iconSet="3Symbols" iconId="0"/>
              <x14:cfIcon iconSet="3Symbols" iconId="2"/>
            </x14:iconSet>
          </x14:cfRule>
          <xm:sqref>W76:W77 Y76:Z77</xm:sqref>
        </x14:conditionalFormatting>
        <x14:conditionalFormatting xmlns:xm="http://schemas.microsoft.com/office/excel/2006/main">
          <x14:cfRule type="iconSet" priority="76" id="{06054298-3C88-4B47-8800-C2AF3E58FBDD}">
            <x14:iconSet iconSet="3Symbols" showValue="0" custom="1">
              <x14:cfvo type="percent">
                <xm:f>0</xm:f>
              </x14:cfvo>
              <x14:cfvo type="num">
                <xm:f>0</xm:f>
              </x14:cfvo>
              <x14:cfvo type="num">
                <xm:f>1</xm:f>
              </x14:cfvo>
              <x14:cfIcon iconSet="3Symbols" iconId="0"/>
              <x14:cfIcon iconSet="3Symbols" iconId="0"/>
              <x14:cfIcon iconSet="3Symbols" iconId="2"/>
            </x14:iconSet>
          </x14:cfRule>
          <xm:sqref>W141:W144 X140:Z140 Y141:Z144</xm:sqref>
        </x14:conditionalFormatting>
        <x14:conditionalFormatting xmlns:xm="http://schemas.microsoft.com/office/excel/2006/main">
          <x14:cfRule type="iconSet" priority="101" id="{A3B1778C-75E4-4CBA-97D8-FC8F39147A45}">
            <x14:iconSet iconSet="3Symbols" showValue="0" custom="1">
              <x14:cfvo type="percent">
                <xm:f>0</xm:f>
              </x14:cfvo>
              <x14:cfvo type="num">
                <xm:f>0</xm:f>
              </x14:cfvo>
              <x14:cfvo type="num">
                <xm:f>1</xm:f>
              </x14:cfvo>
              <x14:cfIcon iconSet="3Symbols" iconId="0"/>
              <x14:cfIcon iconSet="3Symbols" iconId="0"/>
              <x14:cfIcon iconSet="3Symbols" iconId="2"/>
            </x14:iconSet>
          </x14:cfRule>
          <xm:sqref>W4:Z13</xm:sqref>
        </x14:conditionalFormatting>
        <x14:conditionalFormatting xmlns:xm="http://schemas.microsoft.com/office/excel/2006/main">
          <x14:cfRule type="iconSet" priority="100" id="{5C970268-8CDB-4406-AB1A-0A672DF97A69}">
            <x14:iconSet iconSet="3Symbols" showValue="0" custom="1">
              <x14:cfvo type="percent">
                <xm:f>0</xm:f>
              </x14:cfvo>
              <x14:cfvo type="num">
                <xm:f>0</xm:f>
              </x14:cfvo>
              <x14:cfvo type="num">
                <xm:f>1</xm:f>
              </x14:cfvo>
              <x14:cfIcon iconSet="3Symbols" iconId="0"/>
              <x14:cfIcon iconSet="3Symbols" iconId="0"/>
              <x14:cfIcon iconSet="3Symbols" iconId="2"/>
            </x14:iconSet>
          </x14:cfRule>
          <xm:sqref>W14:Z21</xm:sqref>
        </x14:conditionalFormatting>
        <x14:conditionalFormatting xmlns:xm="http://schemas.microsoft.com/office/excel/2006/main">
          <x14:cfRule type="iconSet" priority="99" id="{00044BCD-FBE8-42E1-AD5D-131459613BF6}">
            <x14:iconSet iconSet="3Symbols" showValue="0" custom="1">
              <x14:cfvo type="percent">
                <xm:f>0</xm:f>
              </x14:cfvo>
              <x14:cfvo type="num">
                <xm:f>0</xm:f>
              </x14:cfvo>
              <x14:cfvo type="num">
                <xm:f>1</xm:f>
              </x14:cfvo>
              <x14:cfIcon iconSet="3Symbols" iconId="0"/>
              <x14:cfIcon iconSet="3Symbols" iconId="0"/>
              <x14:cfIcon iconSet="3Symbols" iconId="2"/>
            </x14:iconSet>
          </x14:cfRule>
          <xm:sqref>W22:Z24</xm:sqref>
        </x14:conditionalFormatting>
        <x14:conditionalFormatting xmlns:xm="http://schemas.microsoft.com/office/excel/2006/main">
          <x14:cfRule type="iconSet" priority="98" id="{EE68718F-E5D4-48C6-88A8-5042F0B811F9}">
            <x14:iconSet iconSet="3Symbols" showValue="0" custom="1">
              <x14:cfvo type="percent">
                <xm:f>0</xm:f>
              </x14:cfvo>
              <x14:cfvo type="num">
                <xm:f>0</xm:f>
              </x14:cfvo>
              <x14:cfvo type="num">
                <xm:f>1</xm:f>
              </x14:cfvo>
              <x14:cfIcon iconSet="3Symbols" iconId="0"/>
              <x14:cfIcon iconSet="3Symbols" iconId="0"/>
              <x14:cfIcon iconSet="3Symbols" iconId="2"/>
            </x14:iconSet>
          </x14:cfRule>
          <xm:sqref>W25:Z28</xm:sqref>
        </x14:conditionalFormatting>
        <x14:conditionalFormatting xmlns:xm="http://schemas.microsoft.com/office/excel/2006/main">
          <x14:cfRule type="iconSet" priority="97" id="{9C7B851D-8C33-47CC-B6FA-239A1EC78488}">
            <x14:iconSet iconSet="3Symbols" showValue="0" custom="1">
              <x14:cfvo type="percent">
                <xm:f>0</xm:f>
              </x14:cfvo>
              <x14:cfvo type="num">
                <xm:f>0</xm:f>
              </x14:cfvo>
              <x14:cfvo type="num">
                <xm:f>1</xm:f>
              </x14:cfvo>
              <x14:cfIcon iconSet="3Symbols" iconId="0"/>
              <x14:cfIcon iconSet="3Symbols" iconId="0"/>
              <x14:cfIcon iconSet="3Symbols" iconId="2"/>
            </x14:iconSet>
          </x14:cfRule>
          <xm:sqref>W29:Z34</xm:sqref>
        </x14:conditionalFormatting>
        <x14:conditionalFormatting xmlns:xm="http://schemas.microsoft.com/office/excel/2006/main">
          <x14:cfRule type="iconSet" priority="96" id="{368D9887-9470-42C8-9A6C-6320DDB2E355}">
            <x14:iconSet iconSet="3Symbols" showValue="0" custom="1">
              <x14:cfvo type="percent">
                <xm:f>0</xm:f>
              </x14:cfvo>
              <x14:cfvo type="num">
                <xm:f>0</xm:f>
              </x14:cfvo>
              <x14:cfvo type="num">
                <xm:f>1</xm:f>
              </x14:cfvo>
              <x14:cfIcon iconSet="3Symbols" iconId="0"/>
              <x14:cfIcon iconSet="3Symbols" iconId="0"/>
              <x14:cfIcon iconSet="3Symbols" iconId="2"/>
            </x14:iconSet>
          </x14:cfRule>
          <xm:sqref>W35:Z35</xm:sqref>
        </x14:conditionalFormatting>
        <x14:conditionalFormatting xmlns:xm="http://schemas.microsoft.com/office/excel/2006/main">
          <x14:cfRule type="iconSet" priority="95" id="{CD7F8B65-A957-488B-ADA3-A1B403D488AE}">
            <x14:iconSet iconSet="3Symbols" showValue="0" custom="1">
              <x14:cfvo type="percent">
                <xm:f>0</xm:f>
              </x14:cfvo>
              <x14:cfvo type="num">
                <xm:f>0</xm:f>
              </x14:cfvo>
              <x14:cfvo type="num">
                <xm:f>1</xm:f>
              </x14:cfvo>
              <x14:cfIcon iconSet="3Symbols" iconId="0"/>
              <x14:cfIcon iconSet="3Symbols" iconId="0"/>
              <x14:cfIcon iconSet="3Symbols" iconId="2"/>
            </x14:iconSet>
          </x14:cfRule>
          <xm:sqref>W36:Z41</xm:sqref>
        </x14:conditionalFormatting>
        <x14:conditionalFormatting xmlns:xm="http://schemas.microsoft.com/office/excel/2006/main">
          <x14:cfRule type="iconSet" priority="94" id="{0266E7A6-059C-44F0-9446-F07767DCF73F}">
            <x14:iconSet iconSet="3Symbols" showValue="0" custom="1">
              <x14:cfvo type="percent">
                <xm:f>0</xm:f>
              </x14:cfvo>
              <x14:cfvo type="num">
                <xm:f>0</xm:f>
              </x14:cfvo>
              <x14:cfvo type="num">
                <xm:f>1</xm:f>
              </x14:cfvo>
              <x14:cfIcon iconSet="3Symbols" iconId="0"/>
              <x14:cfIcon iconSet="3Symbols" iconId="0"/>
              <x14:cfIcon iconSet="3Symbols" iconId="2"/>
            </x14:iconSet>
          </x14:cfRule>
          <xm:sqref>W42:Z47</xm:sqref>
        </x14:conditionalFormatting>
        <x14:conditionalFormatting xmlns:xm="http://schemas.microsoft.com/office/excel/2006/main">
          <x14:cfRule type="iconSet" priority="93" id="{8767BB0A-43A9-47CD-885D-F869C6908679}">
            <x14:iconSet iconSet="3Symbols" showValue="0" custom="1">
              <x14:cfvo type="percent">
                <xm:f>0</xm:f>
              </x14:cfvo>
              <x14:cfvo type="num">
                <xm:f>0</xm:f>
              </x14:cfvo>
              <x14:cfvo type="num">
                <xm:f>1</xm:f>
              </x14:cfvo>
              <x14:cfIcon iconSet="3Symbols" iconId="0"/>
              <x14:cfIcon iconSet="3Symbols" iconId="0"/>
              <x14:cfIcon iconSet="3Symbols" iconId="2"/>
            </x14:iconSet>
          </x14:cfRule>
          <xm:sqref>W48:Z50</xm:sqref>
        </x14:conditionalFormatting>
        <x14:conditionalFormatting xmlns:xm="http://schemas.microsoft.com/office/excel/2006/main">
          <x14:cfRule type="iconSet" priority="92" id="{DFB20E64-7A39-4C88-9BEB-8489B8B833F3}">
            <x14:iconSet iconSet="3Symbols" showValue="0" custom="1">
              <x14:cfvo type="percent">
                <xm:f>0</xm:f>
              </x14:cfvo>
              <x14:cfvo type="num">
                <xm:f>0</xm:f>
              </x14:cfvo>
              <x14:cfvo type="num">
                <xm:f>1</xm:f>
              </x14:cfvo>
              <x14:cfIcon iconSet="3Symbols" iconId="0"/>
              <x14:cfIcon iconSet="3Symbols" iconId="0"/>
              <x14:cfIcon iconSet="3Symbols" iconId="2"/>
            </x14:iconSet>
          </x14:cfRule>
          <xm:sqref>W51:Z55</xm:sqref>
        </x14:conditionalFormatting>
        <x14:conditionalFormatting xmlns:xm="http://schemas.microsoft.com/office/excel/2006/main">
          <x14:cfRule type="iconSet" priority="91" id="{912B7D24-55BA-4ED0-ABBE-80D4BF548338}">
            <x14:iconSet iconSet="3Symbols" showValue="0" custom="1">
              <x14:cfvo type="percent">
                <xm:f>0</xm:f>
              </x14:cfvo>
              <x14:cfvo type="num">
                <xm:f>0</xm:f>
              </x14:cfvo>
              <x14:cfvo type="num">
                <xm:f>1</xm:f>
              </x14:cfvo>
              <x14:cfIcon iconSet="3Symbols" iconId="0"/>
              <x14:cfIcon iconSet="3Symbols" iconId="0"/>
              <x14:cfIcon iconSet="3Symbols" iconId="2"/>
            </x14:iconSet>
          </x14:cfRule>
          <xm:sqref>W56:Z56</xm:sqref>
        </x14:conditionalFormatting>
        <x14:conditionalFormatting xmlns:xm="http://schemas.microsoft.com/office/excel/2006/main">
          <x14:cfRule type="iconSet" priority="103" id="{DDFF3592-E40F-4D5C-A76F-91F3F35360E8}">
            <x14:iconSet iconSet="3Symbols" showValue="0" custom="1">
              <x14:cfvo type="percent">
                <xm:f>0</xm:f>
              </x14:cfvo>
              <x14:cfvo type="num">
                <xm:f>0</xm:f>
              </x14:cfvo>
              <x14:cfvo type="num">
                <xm:f>1</xm:f>
              </x14:cfvo>
              <x14:cfIcon iconSet="3Symbols" iconId="0"/>
              <x14:cfIcon iconSet="3Symbols" iconId="0"/>
              <x14:cfIcon iconSet="3Symbols" iconId="2"/>
            </x14:iconSet>
          </x14:cfRule>
          <xm:sqref>W67:Z75</xm:sqref>
        </x14:conditionalFormatting>
        <x14:conditionalFormatting xmlns:xm="http://schemas.microsoft.com/office/excel/2006/main">
          <x14:cfRule type="iconSet" priority="88" id="{FCA9802C-41CB-4982-8EC2-787BC39D6434}">
            <x14:iconSet iconSet="3Symbols" showValue="0" custom="1">
              <x14:cfvo type="percent">
                <xm:f>0</xm:f>
              </x14:cfvo>
              <x14:cfvo type="num">
                <xm:f>0</xm:f>
              </x14:cfvo>
              <x14:cfvo type="num">
                <xm:f>1</xm:f>
              </x14:cfvo>
              <x14:cfIcon iconSet="3Symbols" iconId="0"/>
              <x14:cfIcon iconSet="3Symbols" iconId="0"/>
              <x14:cfIcon iconSet="3Symbols" iconId="2"/>
            </x14:iconSet>
          </x14:cfRule>
          <xm:sqref>W83:Z83 W78:Z81 W82 Y82:Z82 W86 X84:Z85 Y86:Z86</xm:sqref>
        </x14:conditionalFormatting>
        <x14:conditionalFormatting xmlns:xm="http://schemas.microsoft.com/office/excel/2006/main">
          <x14:cfRule type="iconSet" priority="87" id="{99671C74-D6E5-46C8-925A-7BC88E8424C7}">
            <x14:iconSet iconSet="3Symbols" showValue="0" custom="1">
              <x14:cfvo type="percent">
                <xm:f>0</xm:f>
              </x14:cfvo>
              <x14:cfvo type="num">
                <xm:f>0</xm:f>
              </x14:cfvo>
              <x14:cfvo type="num">
                <xm:f>1</xm:f>
              </x14:cfvo>
              <x14:cfIcon iconSet="3Symbols" iconId="0"/>
              <x14:cfIcon iconSet="3Symbols" iconId="0"/>
              <x14:cfIcon iconSet="3Symbols" iconId="2"/>
            </x14:iconSet>
          </x14:cfRule>
          <xm:sqref>W88:Z89 W87 Y87:Z87 W90:W91 Y90:Z90 Z91</xm:sqref>
        </x14:conditionalFormatting>
        <x14:conditionalFormatting xmlns:xm="http://schemas.microsoft.com/office/excel/2006/main">
          <x14:cfRule type="iconSet" priority="86" id="{8A9B05DA-2151-4605-95A1-F0E33E346E1C}">
            <x14:iconSet iconSet="3Symbols" showValue="0" custom="1">
              <x14:cfvo type="percent">
                <xm:f>0</xm:f>
              </x14:cfvo>
              <x14:cfvo type="num">
                <xm:f>0</xm:f>
              </x14:cfvo>
              <x14:cfvo type="num">
                <xm:f>1</xm:f>
              </x14:cfvo>
              <x14:cfIcon iconSet="3Symbols" iconId="0"/>
              <x14:cfIcon iconSet="3Symbols" iconId="0"/>
              <x14:cfIcon iconSet="3Symbols" iconId="2"/>
            </x14:iconSet>
          </x14:cfRule>
          <xm:sqref>W95:Z98 W92:W93 Y92:Z93 W94:X94 Z94</xm:sqref>
        </x14:conditionalFormatting>
        <x14:conditionalFormatting xmlns:xm="http://schemas.microsoft.com/office/excel/2006/main">
          <x14:cfRule type="iconSet" priority="85" id="{76C27D23-A40A-4707-B30B-481A06544A1F}">
            <x14:iconSet iconSet="3Symbols" showValue="0" custom="1">
              <x14:cfvo type="percent">
                <xm:f>0</xm:f>
              </x14:cfvo>
              <x14:cfvo type="num">
                <xm:f>0</xm:f>
              </x14:cfvo>
              <x14:cfvo type="num">
                <xm:f>1</xm:f>
              </x14:cfvo>
              <x14:cfIcon iconSet="3Symbols" iconId="0"/>
              <x14:cfIcon iconSet="3Symbols" iconId="0"/>
              <x14:cfIcon iconSet="3Symbols" iconId="2"/>
            </x14:iconSet>
          </x14:cfRule>
          <xm:sqref>W100:Z101 W99 Y99:Z99 W103:Z103 X102:Z102</xm:sqref>
        </x14:conditionalFormatting>
        <x14:conditionalFormatting xmlns:xm="http://schemas.microsoft.com/office/excel/2006/main">
          <x14:cfRule type="iconSet" priority="83" id="{B1B6DAE4-88B4-475E-93E5-E88C4D3DF773}">
            <x14:iconSet iconSet="3Symbols" showValue="0" custom="1">
              <x14:cfvo type="percent">
                <xm:f>0</xm:f>
              </x14:cfvo>
              <x14:cfvo type="num">
                <xm:f>0</xm:f>
              </x14:cfvo>
              <x14:cfvo type="num">
                <xm:f>1</xm:f>
              </x14:cfvo>
              <x14:cfIcon iconSet="3Symbols" iconId="0"/>
              <x14:cfIcon iconSet="3Symbols" iconId="0"/>
              <x14:cfIcon iconSet="3Symbols" iconId="2"/>
            </x14:iconSet>
          </x14:cfRule>
          <xm:sqref>W106:Z107 W104:X105 Z104:Z105</xm:sqref>
        </x14:conditionalFormatting>
        <x14:conditionalFormatting xmlns:xm="http://schemas.microsoft.com/office/excel/2006/main">
          <x14:cfRule type="iconSet" priority="55" id="{D879907A-F715-4C15-B8AB-74CAAA49E325}">
            <x14:iconSet iconSet="3Symbols" showValue="0" custom="1">
              <x14:cfvo type="percent">
                <xm:f>0</xm:f>
              </x14:cfvo>
              <x14:cfvo type="num">
                <xm:f>0</xm:f>
              </x14:cfvo>
              <x14:cfvo type="num">
                <xm:f>1</xm:f>
              </x14:cfvo>
              <x14:cfIcon iconSet="3Symbols" iconId="0"/>
              <x14:cfIcon iconSet="3Symbols" iconId="0"/>
              <x14:cfIcon iconSet="3Symbols" iconId="2"/>
            </x14:iconSet>
          </x14:cfRule>
          <xm:sqref>W108:Z108</xm:sqref>
        </x14:conditionalFormatting>
        <x14:conditionalFormatting xmlns:xm="http://schemas.microsoft.com/office/excel/2006/main">
          <x14:cfRule type="iconSet" priority="84" id="{723921B5-EB5B-4822-85B7-54A38662E146}">
            <x14:iconSet iconSet="3Symbols" showValue="0" custom="1">
              <x14:cfvo type="percent">
                <xm:f>0</xm:f>
              </x14:cfvo>
              <x14:cfvo type="num">
                <xm:f>0</xm:f>
              </x14:cfvo>
              <x14:cfvo type="num">
                <xm:f>1</xm:f>
              </x14:cfvo>
              <x14:cfIcon iconSet="3Symbols" iconId="0"/>
              <x14:cfIcon iconSet="3Symbols" iconId="0"/>
              <x14:cfIcon iconSet="3Symbols" iconId="2"/>
            </x14:iconSet>
          </x14:cfRule>
          <xm:sqref>W109:Z110</xm:sqref>
        </x14:conditionalFormatting>
        <x14:conditionalFormatting xmlns:xm="http://schemas.microsoft.com/office/excel/2006/main">
          <x14:cfRule type="iconSet" priority="82" id="{30B48850-EA9C-44EC-8B1F-EE07FDC54271}">
            <x14:iconSet iconSet="3Symbols" showValue="0" custom="1">
              <x14:cfvo type="percent">
                <xm:f>0</xm:f>
              </x14:cfvo>
              <x14:cfvo type="num">
                <xm:f>0</xm:f>
              </x14:cfvo>
              <x14:cfvo type="num">
                <xm:f>1</xm:f>
              </x14:cfvo>
              <x14:cfIcon iconSet="3Symbols" iconId="0"/>
              <x14:cfIcon iconSet="3Symbols" iconId="0"/>
              <x14:cfIcon iconSet="3Symbols" iconId="2"/>
            </x14:iconSet>
          </x14:cfRule>
          <xm:sqref>W111:Z112</xm:sqref>
        </x14:conditionalFormatting>
        <x14:conditionalFormatting xmlns:xm="http://schemas.microsoft.com/office/excel/2006/main">
          <x14:cfRule type="iconSet" priority="81" id="{BA1884F0-4069-4240-9210-845965EC5362}">
            <x14:iconSet iconSet="3Symbols" showValue="0" custom="1">
              <x14:cfvo type="percent">
                <xm:f>0</xm:f>
              </x14:cfvo>
              <x14:cfvo type="num">
                <xm:f>0</xm:f>
              </x14:cfvo>
              <x14:cfvo type="num">
                <xm:f>1</xm:f>
              </x14:cfvo>
              <x14:cfIcon iconSet="3Symbols" iconId="0"/>
              <x14:cfIcon iconSet="3Symbols" iconId="0"/>
              <x14:cfIcon iconSet="3Symbols" iconId="2"/>
            </x14:iconSet>
          </x14:cfRule>
          <xm:sqref>W113:Z119 W121:Z123</xm:sqref>
        </x14:conditionalFormatting>
        <x14:conditionalFormatting xmlns:xm="http://schemas.microsoft.com/office/excel/2006/main">
          <x14:cfRule type="iconSet" priority="60" id="{F42CB9B1-8F92-4098-A391-D478B717E804}">
            <x14:iconSet iconSet="3Symbols" showValue="0" custom="1">
              <x14:cfvo type="percent">
                <xm:f>0</xm:f>
              </x14:cfvo>
              <x14:cfvo type="num">
                <xm:f>0</xm:f>
              </x14:cfvo>
              <x14:cfvo type="num">
                <xm:f>1</xm:f>
              </x14:cfvo>
              <x14:cfIcon iconSet="3Symbols" iconId="0"/>
              <x14:cfIcon iconSet="3Symbols" iconId="0"/>
              <x14:cfIcon iconSet="3Symbols" iconId="2"/>
            </x14:iconSet>
          </x14:cfRule>
          <xm:sqref>W120:Z120</xm:sqref>
        </x14:conditionalFormatting>
        <x14:conditionalFormatting xmlns:xm="http://schemas.microsoft.com/office/excel/2006/main">
          <x14:cfRule type="iconSet" priority="80" id="{ECD75C4F-5255-4C5C-BB91-B4D22F458914}">
            <x14:iconSet iconSet="3Symbols" showValue="0" custom="1">
              <x14:cfvo type="percent">
                <xm:f>0</xm:f>
              </x14:cfvo>
              <x14:cfvo type="num">
                <xm:f>0</xm:f>
              </x14:cfvo>
              <x14:cfvo type="num">
                <xm:f>1</xm:f>
              </x14:cfvo>
              <x14:cfIcon iconSet="3Symbols" iconId="0"/>
              <x14:cfIcon iconSet="3Symbols" iconId="0"/>
              <x14:cfIcon iconSet="3Symbols" iconId="2"/>
            </x14:iconSet>
          </x14:cfRule>
          <xm:sqref>W124:Z124 W125:Y125</xm:sqref>
        </x14:conditionalFormatting>
        <x14:conditionalFormatting xmlns:xm="http://schemas.microsoft.com/office/excel/2006/main">
          <x14:cfRule type="iconSet" priority="79" id="{2B953EF7-9545-4A3B-B0D9-1B55B9833FD7}">
            <x14:iconSet iconSet="3Symbols" showValue="0" custom="1">
              <x14:cfvo type="percent">
                <xm:f>0</xm:f>
              </x14:cfvo>
              <x14:cfvo type="num">
                <xm:f>0</xm:f>
              </x14:cfvo>
              <x14:cfvo type="num">
                <xm:f>1</xm:f>
              </x14:cfvo>
              <x14:cfIcon iconSet="3Symbols" iconId="0"/>
              <x14:cfIcon iconSet="3Symbols" iconId="0"/>
              <x14:cfIcon iconSet="3Symbols" iconId="2"/>
            </x14:iconSet>
          </x14:cfRule>
          <xm:sqref>W126:Z129</xm:sqref>
        </x14:conditionalFormatting>
        <x14:conditionalFormatting xmlns:xm="http://schemas.microsoft.com/office/excel/2006/main">
          <x14:cfRule type="iconSet" priority="62" id="{17C3AD7D-A964-4E21-BD85-20DF33842D77}">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W130:Z130</xm:sqref>
        </x14:conditionalFormatting>
        <x14:conditionalFormatting xmlns:xm="http://schemas.microsoft.com/office/excel/2006/main">
          <x14:cfRule type="iconSet" priority="78" id="{8E819783-F6E6-425D-B3C1-DB2B00B84590}">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W131:Z132</xm:sqref>
        </x14:conditionalFormatting>
        <x14:conditionalFormatting xmlns:xm="http://schemas.microsoft.com/office/excel/2006/main">
          <x14:cfRule type="iconSet" priority="58" id="{90D2DF33-85CB-449A-82EA-1E096D64599A}">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W133:Z133</xm:sqref>
        </x14:conditionalFormatting>
        <x14:conditionalFormatting xmlns:xm="http://schemas.microsoft.com/office/excel/2006/main">
          <x14:cfRule type="iconSet" priority="104" id="{948B6FCB-FDBD-4D21-A7A0-E21D349F2FCA}">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W134:Z136</xm:sqref>
        </x14:conditionalFormatting>
        <x14:conditionalFormatting xmlns:xm="http://schemas.microsoft.com/office/excel/2006/main">
          <x14:cfRule type="iconSet" priority="77" id="{96F942C7-7D68-4270-AD10-9A2247EB0A99}">
            <x14:iconSet iconSet="3Symbols" showValue="0" custom="1">
              <x14:cfvo type="percent">
                <xm:f>0</xm:f>
              </x14:cfvo>
              <x14:cfvo type="num">
                <xm:f>0</xm:f>
              </x14:cfvo>
              <x14:cfvo type="num">
                <xm:f>1</xm:f>
              </x14:cfvo>
              <x14:cfIcon iconSet="3Symbols" iconId="0"/>
              <x14:cfIcon iconSet="3Symbols" iconId="0"/>
              <x14:cfIcon iconSet="3Symbols" iconId="2"/>
            </x14:iconSet>
          </x14:cfRule>
          <xm:sqref>W137:Z137 W139:Z139</xm:sqref>
        </x14:conditionalFormatting>
        <x14:conditionalFormatting xmlns:xm="http://schemas.microsoft.com/office/excel/2006/main">
          <x14:cfRule type="iconSet" priority="75" id="{57835666-5A80-4534-B8C3-D88E903E7069}">
            <x14:iconSet iconSet="3Symbols" showValue="0" custom="1">
              <x14:cfvo type="percent">
                <xm:f>0</xm:f>
              </x14:cfvo>
              <x14:cfvo type="num">
                <xm:f>0</xm:f>
              </x14:cfvo>
              <x14:cfvo type="num">
                <xm:f>1</xm:f>
              </x14:cfvo>
              <x14:cfIcon iconSet="3Symbols" iconId="0"/>
              <x14:cfIcon iconSet="3Symbols" iconId="0"/>
              <x14:cfIcon iconSet="3Symbols" iconId="2"/>
            </x14:iconSet>
          </x14:cfRule>
          <xm:sqref>W147:Z150 W145:W146 Y145:Z146</xm:sqref>
        </x14:conditionalFormatting>
        <x14:conditionalFormatting xmlns:xm="http://schemas.microsoft.com/office/excel/2006/main">
          <x14:cfRule type="iconSet" priority="74" id="{6CBAEEDF-B3D5-4816-959A-8721919FDA68}">
            <x14:iconSet iconSet="3Symbols" showValue="0" custom="1">
              <x14:cfvo type="percent">
                <xm:f>0</xm:f>
              </x14:cfvo>
              <x14:cfvo type="num">
                <xm:f>0</xm:f>
              </x14:cfvo>
              <x14:cfvo type="num">
                <xm:f>1</xm:f>
              </x14:cfvo>
              <x14:cfIcon iconSet="3Symbols" iconId="0"/>
              <x14:cfIcon iconSet="3Symbols" iconId="0"/>
              <x14:cfIcon iconSet="3Symbols" iconId="2"/>
            </x14:iconSet>
          </x14:cfRule>
          <xm:sqref>W151:Z152 W154:Z157 W153 Y153:Z153</xm:sqref>
        </x14:conditionalFormatting>
        <x14:conditionalFormatting xmlns:xm="http://schemas.microsoft.com/office/excel/2006/main">
          <x14:cfRule type="iconSet" priority="72" id="{9B6911C3-3983-45DC-8DE4-767E6E7A093C}">
            <x14:iconSet iconSet="3Symbols" showValue="0" custom="1">
              <x14:cfvo type="percent">
                <xm:f>0</xm:f>
              </x14:cfvo>
              <x14:cfvo type="num">
                <xm:f>0</xm:f>
              </x14:cfvo>
              <x14:cfvo type="num">
                <xm:f>1</xm:f>
              </x14:cfvo>
              <x14:cfIcon iconSet="3Symbols" iconId="0"/>
              <x14:cfIcon iconSet="3Symbols" iconId="0"/>
              <x14:cfIcon iconSet="3Symbols" iconId="2"/>
            </x14:iconSet>
          </x14:cfRule>
          <xm:sqref>W158:Z158 W160:X161 Z160:Z161 W159 Y159:Z159</xm:sqref>
        </x14:conditionalFormatting>
        <x14:conditionalFormatting xmlns:xm="http://schemas.microsoft.com/office/excel/2006/main">
          <x14:cfRule type="iconSet" priority="71" id="{E25D3510-C02C-43AC-B818-4F10E9049A13}">
            <x14:iconSet iconSet="3Symbols" showValue="0" custom="1">
              <x14:cfvo type="percent">
                <xm:f>0</xm:f>
              </x14:cfvo>
              <x14:cfvo type="num">
                <xm:f>0</xm:f>
              </x14:cfvo>
              <x14:cfvo type="num">
                <xm:f>1</xm:f>
              </x14:cfvo>
              <x14:cfIcon iconSet="3Symbols" iconId="0"/>
              <x14:cfIcon iconSet="3Symbols" iconId="0"/>
              <x14:cfIcon iconSet="3Symbols" iconId="2"/>
            </x14:iconSet>
          </x14:cfRule>
          <xm:sqref>W162:Z162 W163:Y163</xm:sqref>
        </x14:conditionalFormatting>
        <x14:conditionalFormatting xmlns:xm="http://schemas.microsoft.com/office/excel/2006/main">
          <x14:cfRule type="iconSet" priority="70" id="{1ABD9E8A-E275-450D-B1F6-0F014FCF3551}">
            <x14:iconSet iconSet="3Symbols" showValue="0" custom="1">
              <x14:cfvo type="percent">
                <xm:f>0</xm:f>
              </x14:cfvo>
              <x14:cfvo type="num">
                <xm:f>0</xm:f>
              </x14:cfvo>
              <x14:cfvo type="num">
                <xm:f>1</xm:f>
              </x14:cfvo>
              <x14:cfIcon iconSet="3Symbols" iconId="0"/>
              <x14:cfIcon iconSet="3Symbols" iconId="0"/>
              <x14:cfIcon iconSet="3Symbols" iconId="2"/>
            </x14:iconSet>
          </x14:cfRule>
          <xm:sqref>W164:Z165</xm:sqref>
        </x14:conditionalFormatting>
        <x14:conditionalFormatting xmlns:xm="http://schemas.microsoft.com/office/excel/2006/main">
          <x14:cfRule type="iconSet" priority="69" id="{F64715A8-FE15-4404-A781-B3CF2E8DA37E}">
            <x14:iconSet iconSet="3Symbols" showValue="0" custom="1">
              <x14:cfvo type="percent">
                <xm:f>0</xm:f>
              </x14:cfvo>
              <x14:cfvo type="num">
                <xm:f>0</xm:f>
              </x14:cfvo>
              <x14:cfvo type="num">
                <xm:f>1</xm:f>
              </x14:cfvo>
              <x14:cfIcon iconSet="3Symbols" iconId="0"/>
              <x14:cfIcon iconSet="3Symbols" iconId="0"/>
              <x14:cfIcon iconSet="3Symbols" iconId="2"/>
            </x14:iconSet>
          </x14:cfRule>
          <xm:sqref>W168:Z170 W167 Y167:Z167</xm:sqref>
        </x14:conditionalFormatting>
        <x14:conditionalFormatting xmlns:xm="http://schemas.microsoft.com/office/excel/2006/main">
          <x14:cfRule type="iconSet" priority="68" id="{DBC26E33-6616-49A6-8954-C5EDC5597A1E}">
            <x14:iconSet iconSet="3Symbols" showValue="0" custom="1">
              <x14:cfvo type="percent">
                <xm:f>0</xm:f>
              </x14:cfvo>
              <x14:cfvo type="num">
                <xm:f>0</xm:f>
              </x14:cfvo>
              <x14:cfvo type="num">
                <xm:f>1</xm:f>
              </x14:cfvo>
              <x14:cfIcon iconSet="3Symbols" iconId="0"/>
              <x14:cfIcon iconSet="3Symbols" iconId="0"/>
              <x14:cfIcon iconSet="3Symbols" iconId="2"/>
            </x14:iconSet>
          </x14:cfRule>
          <xm:sqref>W171:Z171 W173:Z173 X172:Z172</xm:sqref>
        </x14:conditionalFormatting>
        <x14:conditionalFormatting xmlns:xm="http://schemas.microsoft.com/office/excel/2006/main">
          <x14:cfRule type="iconSet" priority="67" id="{C3BDD3D8-7BCB-4E50-8F88-2CA62F87B82F}">
            <x14:iconSet iconSet="3Symbols" showValue="0" custom="1">
              <x14:cfvo type="percent">
                <xm:f>0</xm:f>
              </x14:cfvo>
              <x14:cfvo type="num">
                <xm:f>0</xm:f>
              </x14:cfvo>
              <x14:cfvo type="num">
                <xm:f>1</xm:f>
              </x14:cfvo>
              <x14:cfIcon iconSet="3Symbols" iconId="0"/>
              <x14:cfIcon iconSet="3Symbols" iconId="0"/>
              <x14:cfIcon iconSet="3Symbols" iconId="2"/>
            </x14:iconSet>
          </x14:cfRule>
          <xm:sqref>W174:Z174</xm:sqref>
        </x14:conditionalFormatting>
        <x14:conditionalFormatting xmlns:xm="http://schemas.microsoft.com/office/excel/2006/main">
          <x14:cfRule type="iconSet" priority="66" id="{816AC408-437E-4FAF-9156-83BB88337426}">
            <x14:iconSet iconSet="3Symbols" showValue="0" custom="1">
              <x14:cfvo type="percent">
                <xm:f>0</xm:f>
              </x14:cfvo>
              <x14:cfvo type="num">
                <xm:f>0</xm:f>
              </x14:cfvo>
              <x14:cfvo type="num">
                <xm:f>1</xm:f>
              </x14:cfvo>
              <x14:cfIcon iconSet="3Symbols" iconId="0"/>
              <x14:cfIcon iconSet="3Symbols" iconId="0"/>
              <x14:cfIcon iconSet="3Symbols" iconId="2"/>
            </x14:iconSet>
          </x14:cfRule>
          <xm:sqref>W175:Z179</xm:sqref>
        </x14:conditionalFormatting>
        <x14:conditionalFormatting xmlns:xm="http://schemas.microsoft.com/office/excel/2006/main">
          <x14:cfRule type="iconSet" priority="56" id="{DB85C27A-498A-4B60-90FB-E4FDAC1C683B}">
            <x14:iconSet iconSet="3Symbols" showValue="0" custom="1">
              <x14:cfvo type="percent">
                <xm:f>0</xm:f>
              </x14:cfvo>
              <x14:cfvo type="num">
                <xm:f>0</xm:f>
              </x14:cfvo>
              <x14:cfvo type="num">
                <xm:f>1</xm:f>
              </x14:cfvo>
              <x14:cfIcon iconSet="3Symbols" iconId="0"/>
              <x14:cfIcon iconSet="3Symbols" iconId="0"/>
              <x14:cfIcon iconSet="3Symbols" iconId="2"/>
            </x14:iconSet>
          </x14:cfRule>
          <xm:sqref>W57:AB57</xm:sqref>
        </x14:conditionalFormatting>
        <x14:conditionalFormatting xmlns:xm="http://schemas.microsoft.com/office/excel/2006/main">
          <x14:cfRule type="iconSet" priority="52" id="{23C845D0-1AB7-477F-B23C-57A6A54AA8C5}">
            <x14:iconSet iconSet="3Symbols" showValue="0" custom="1">
              <x14:cfvo type="percent">
                <xm:f>0</xm:f>
              </x14:cfvo>
              <x14:cfvo type="num">
                <xm:f>0</xm:f>
              </x14:cfvo>
              <x14:cfvo type="num">
                <xm:f>1</xm:f>
              </x14:cfvo>
              <x14:cfIcon iconSet="3Symbols" iconId="0"/>
              <x14:cfIcon iconSet="3Symbols" iconId="0"/>
              <x14:cfIcon iconSet="3Symbols" iconId="2"/>
            </x14:iconSet>
          </x14:cfRule>
          <xm:sqref>X58:X66</xm:sqref>
        </x14:conditionalFormatting>
        <x14:conditionalFormatting xmlns:xm="http://schemas.microsoft.com/office/excel/2006/main">
          <x14:cfRule type="iconSet" priority="51" id="{50EEFC77-B827-4F9E-AD78-ADB0A0767061}">
            <x14:iconSet iconSet="3Symbols" showValue="0" custom="1">
              <x14:cfvo type="percent">
                <xm:f>0</xm:f>
              </x14:cfvo>
              <x14:cfvo type="num">
                <xm:f>0</xm:f>
              </x14:cfvo>
              <x14:cfvo type="num">
                <xm:f>1</xm:f>
              </x14:cfvo>
              <x14:cfIcon iconSet="3Symbols" iconId="0"/>
              <x14:cfIcon iconSet="3Symbols" iconId="0"/>
              <x14:cfIcon iconSet="3Symbols" iconId="2"/>
            </x14:iconSet>
          </x14:cfRule>
          <xm:sqref>X76:X77</xm:sqref>
        </x14:conditionalFormatting>
        <x14:conditionalFormatting xmlns:xm="http://schemas.microsoft.com/office/excel/2006/main">
          <x14:cfRule type="iconSet" priority="53" id="{57891C81-64A6-4CCE-918B-59FADFA68934}">
            <x14:iconSet iconSet="3Symbols" showValue="0" custom="1">
              <x14:cfvo type="percent">
                <xm:f>0</xm:f>
              </x14:cfvo>
              <x14:cfvo type="num">
                <xm:f>0</xm:f>
              </x14:cfvo>
              <x14:cfvo type="num">
                <xm:f>1</xm:f>
              </x14:cfvo>
              <x14:cfIcon iconSet="3Symbols" iconId="0"/>
              <x14:cfIcon iconSet="3Symbols" iconId="0"/>
              <x14:cfIcon iconSet="3Symbols" iconId="2"/>
            </x14:iconSet>
          </x14:cfRule>
          <xm:sqref>X82</xm:sqref>
        </x14:conditionalFormatting>
        <x14:conditionalFormatting xmlns:xm="http://schemas.microsoft.com/office/excel/2006/main">
          <x14:cfRule type="iconSet" priority="54" id="{9A6F251F-80A9-484E-A66F-B494F0ABE1FB}">
            <x14:iconSet iconSet="3Symbols" showValue="0" custom="1">
              <x14:cfvo type="percent">
                <xm:f>0</xm:f>
              </x14:cfvo>
              <x14:cfvo type="num">
                <xm:f>0</xm:f>
              </x14:cfvo>
              <x14:cfvo type="num">
                <xm:f>1</xm:f>
              </x14:cfvo>
              <x14:cfIcon iconSet="3Symbols" iconId="0"/>
              <x14:cfIcon iconSet="3Symbols" iconId="0"/>
              <x14:cfIcon iconSet="3Symbols" iconId="2"/>
            </x14:iconSet>
          </x14:cfRule>
          <xm:sqref>X138</xm:sqref>
        </x14:conditionalFormatting>
        <x14:conditionalFormatting xmlns:xm="http://schemas.microsoft.com/office/excel/2006/main">
          <x14:cfRule type="iconSet" priority="73" id="{0AFBCF35-31AE-4E11-A645-8BE4D7D1C647}">
            <x14:iconSet iconSet="3Symbols" showValue="0" custom="1">
              <x14:cfvo type="percent">
                <xm:f>0</xm:f>
              </x14:cfvo>
              <x14:cfvo type="num">
                <xm:f>0</xm:f>
              </x14:cfvo>
              <x14:cfvo type="num">
                <xm:f>1</xm:f>
              </x14:cfvo>
              <x14:cfIcon iconSet="3Symbols" iconId="0"/>
              <x14:cfIcon iconSet="3Symbols" iconId="0"/>
              <x14:cfIcon iconSet="3Symbols" iconId="2"/>
            </x14:iconSet>
          </x14:cfRule>
          <xm:sqref>X166:Z166</xm:sqref>
        </x14:conditionalFormatting>
        <x14:conditionalFormatting xmlns:xm="http://schemas.microsoft.com/office/excel/2006/main">
          <x14:cfRule type="iconSet" priority="63" id="{25B37E23-68DC-40A1-ACC0-BFA87534E0E2}">
            <x14:iconSet iconSet="3Symbols" showValue="0" custom="1">
              <x14:cfvo type="percent">
                <xm:f>0</xm:f>
              </x14:cfvo>
              <x14:cfvo type="num">
                <xm:f>0</xm:f>
              </x14:cfvo>
              <x14:cfvo type="num">
                <xm:f>1</xm:f>
              </x14:cfvo>
              <x14:cfIcon iconSet="3Symbols" iconId="0"/>
              <x14:cfIcon iconSet="3Symbols" iconId="0"/>
              <x14:cfIcon iconSet="3Symbols" iconId="2"/>
            </x14:iconSet>
          </x14:cfRule>
          <xm:sqref>Z138:AA138</xm:sqref>
        </x14:conditionalFormatting>
        <x14:conditionalFormatting xmlns:xm="http://schemas.microsoft.com/office/excel/2006/main">
          <x14:cfRule type="iconSet" priority="59" id="{89705E33-C3BE-4313-B5A8-DC0EEE62BD53}">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AA120:AB120</xm:sqref>
        </x14:conditionalFormatting>
        <x14:conditionalFormatting xmlns:xm="http://schemas.microsoft.com/office/excel/2006/main">
          <x14:cfRule type="iconSet" priority="61" id="{5455318B-911F-4966-B063-F9DE4610988E}">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AA130:AB130</xm:sqref>
        </x14:conditionalFormatting>
        <x14:conditionalFormatting xmlns:xm="http://schemas.microsoft.com/office/excel/2006/main">
          <x14:cfRule type="iconSet" priority="65" id="{C45B5EF2-B91D-43E1-93D3-493DB96B6123}">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AA131:AB132 AA121:AB129 AA134:AB137 AA4:AB56 AA58:AB119 AA139:AB179</xm:sqref>
        </x14:conditionalFormatting>
        <x14:conditionalFormatting xmlns:xm="http://schemas.microsoft.com/office/excel/2006/main">
          <x14:cfRule type="iconSet" priority="57" id="{C3B19E78-83EA-4CAE-9E66-4D5362070BE0}">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AA133:AB133</xm:sqref>
        </x14:conditionalFormatting>
        <x14:conditionalFormatting xmlns:xm="http://schemas.microsoft.com/office/excel/2006/main">
          <x14:cfRule type="iconSet" priority="5" id="{274A9EE2-845A-4A3C-B29C-C250C7DCA947}">
            <x14:iconSet iconSet="3Symbols" showValue="0" custom="1">
              <x14:cfvo type="percent">
                <xm:f>0</xm:f>
              </x14:cfvo>
              <x14:cfvo type="num">
                <xm:f>0</xm:f>
              </x14:cfvo>
              <x14:cfvo type="num">
                <xm:f>1</xm:f>
              </x14:cfvo>
              <x14:cfIcon iconSet="3Symbols" iconId="0"/>
              <x14:cfIcon iconSet="3Symbols" iconId="0"/>
              <x14:cfIcon iconSet="3Symbols" iconId="2"/>
            </x14:iconSet>
          </x14:cfRule>
          <xm:sqref>AA181:AB202</xm:sqref>
        </x14:conditionalFormatting>
        <x14:conditionalFormatting xmlns:xm="http://schemas.microsoft.com/office/excel/2006/main">
          <x14:cfRule type="iconSet" priority="2" id="{0C5D1F9B-CD47-48DD-95BD-860B848FE9D0}">
            <x14:iconSet iconSet="3Symbols" showValue="0" custom="1">
              <x14:cfvo type="percent">
                <xm:f>0</xm:f>
              </x14:cfvo>
              <x14:cfvo type="num">
                <xm:f>0</xm:f>
              </x14:cfvo>
              <x14:cfvo type="num">
                <xm:f>1</xm:f>
              </x14:cfvo>
              <x14:cfIcon iconSet="3Symbols" iconId="0"/>
              <x14:cfIcon iconSet="3Symbols" iconId="0"/>
              <x14:cfIcon iconSet="3Symbols" iconId="2"/>
            </x14:iconSet>
          </x14:cfRule>
          <xm:sqref>AA203:AB203</xm:sqref>
        </x14:conditionalFormatting>
        <x14:conditionalFormatting xmlns:xm="http://schemas.microsoft.com/office/excel/2006/main">
          <x14:cfRule type="iconSet" priority="64" id="{D113F890-F1BF-4913-8E2D-D8642C53D708}">
            <x14:iconSet iconSet="3Symbols" showValue="0" custom="1">
              <x14:cfvo type="percent">
                <xm:f>0</xm:f>
              </x14:cfvo>
              <x14:cfvo type="num">
                <xm:f>0</xm:f>
              </x14:cfvo>
              <x14:cfvo type="num">
                <xm:f>1</xm:f>
              </x14:cfvo>
              <x14:cfIcon iconSet="3Symbols" iconId="0"/>
              <x14:cfIcon iconSet="3Symbols" iconId="0"/>
              <x14:cfIcon iconSet="3Symbols" iconId="2"/>
            </x14:iconSet>
          </x14:cfRule>
          <xm:sqref>AB138 W138 Y138</xm:sqref>
        </x14:conditionalFormatting>
      </x14:conditionalFormatting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1EAEF-35DF-4DA1-98E3-5F3396226BC1}">
  <dimension ref="A1:E38"/>
  <sheetViews>
    <sheetView workbookViewId="0">
      <selection activeCell="M26" sqref="M26"/>
    </sheetView>
  </sheetViews>
  <sheetFormatPr baseColWidth="10" defaultRowHeight="14.5"/>
  <cols>
    <col min="1" max="3" width="10.90625" style="191"/>
    <col min="4" max="5" width="11.08984375" bestFit="1" customWidth="1"/>
  </cols>
  <sheetData>
    <row r="1" spans="1:5">
      <c r="A1" s="191" t="s">
        <v>4028</v>
      </c>
      <c r="B1" s="191" t="s">
        <v>4029</v>
      </c>
      <c r="C1" s="191" t="s">
        <v>4030</v>
      </c>
      <c r="D1" t="s">
        <v>4031</v>
      </c>
      <c r="E1" s="191" t="s">
        <v>4032</v>
      </c>
    </row>
    <row r="2" spans="1:5">
      <c r="A2" s="192">
        <v>5</v>
      </c>
      <c r="B2" s="192">
        <v>5</v>
      </c>
      <c r="C2" s="192">
        <v>5</v>
      </c>
      <c r="D2" t="b">
        <f>+B2=A2</f>
        <v>1</v>
      </c>
      <c r="E2" t="b">
        <f>+A2=C2</f>
        <v>1</v>
      </c>
    </row>
    <row r="3" spans="1:5">
      <c r="A3" s="192">
        <v>12</v>
      </c>
      <c r="B3" s="192">
        <v>12</v>
      </c>
      <c r="C3" s="192">
        <v>12</v>
      </c>
      <c r="D3" t="b">
        <f t="shared" ref="D3:D38" si="0">+B3=A3</f>
        <v>1</v>
      </c>
      <c r="E3" t="b">
        <f t="shared" ref="E3:E38" si="1">+A3=C3</f>
        <v>1</v>
      </c>
    </row>
    <row r="4" spans="1:5">
      <c r="A4" s="192">
        <v>15</v>
      </c>
      <c r="B4" s="192">
        <v>15</v>
      </c>
      <c r="C4" s="192">
        <v>15</v>
      </c>
      <c r="D4" t="b">
        <f t="shared" si="0"/>
        <v>1</v>
      </c>
      <c r="E4" t="b">
        <f t="shared" si="1"/>
        <v>1</v>
      </c>
    </row>
    <row r="5" spans="1:5">
      <c r="A5" s="192">
        <v>17</v>
      </c>
      <c r="B5" s="192">
        <v>17</v>
      </c>
      <c r="C5" s="192">
        <v>17</v>
      </c>
      <c r="D5" t="b">
        <f t="shared" si="0"/>
        <v>1</v>
      </c>
      <c r="E5" t="b">
        <f t="shared" si="1"/>
        <v>1</v>
      </c>
    </row>
    <row r="6" spans="1:5">
      <c r="A6" s="192">
        <v>32</v>
      </c>
      <c r="B6" s="192">
        <v>32</v>
      </c>
      <c r="C6" s="192">
        <v>32</v>
      </c>
      <c r="D6" t="b">
        <f t="shared" si="0"/>
        <v>1</v>
      </c>
      <c r="E6" t="b">
        <f t="shared" si="1"/>
        <v>1</v>
      </c>
    </row>
    <row r="7" spans="1:5">
      <c r="A7" s="192">
        <v>54</v>
      </c>
      <c r="B7" s="192">
        <v>54</v>
      </c>
      <c r="C7" s="192">
        <v>54</v>
      </c>
      <c r="D7" t="b">
        <f t="shared" si="0"/>
        <v>1</v>
      </c>
      <c r="E7" t="b">
        <f t="shared" si="1"/>
        <v>1</v>
      </c>
    </row>
    <row r="8" spans="1:5">
      <c r="A8" s="192">
        <v>55</v>
      </c>
      <c r="B8" s="192">
        <v>55</v>
      </c>
      <c r="C8" s="192">
        <v>55</v>
      </c>
      <c r="D8" t="b">
        <f t="shared" si="0"/>
        <v>1</v>
      </c>
      <c r="E8" t="b">
        <f t="shared" si="1"/>
        <v>1</v>
      </c>
    </row>
    <row r="9" spans="1:5">
      <c r="A9" s="192">
        <v>56</v>
      </c>
      <c r="B9" s="192">
        <v>56</v>
      </c>
      <c r="C9" s="192">
        <v>56</v>
      </c>
      <c r="D9" t="b">
        <f t="shared" si="0"/>
        <v>1</v>
      </c>
      <c r="E9" t="b">
        <f t="shared" si="1"/>
        <v>1</v>
      </c>
    </row>
    <row r="10" spans="1:5">
      <c r="A10" s="192">
        <v>57</v>
      </c>
      <c r="B10" s="192">
        <v>57</v>
      </c>
      <c r="C10" s="192">
        <v>57</v>
      </c>
      <c r="D10" t="b">
        <f t="shared" si="0"/>
        <v>1</v>
      </c>
      <c r="E10" t="b">
        <f t="shared" si="1"/>
        <v>1</v>
      </c>
    </row>
    <row r="11" spans="1:5">
      <c r="A11" s="192">
        <v>58</v>
      </c>
      <c r="B11" s="192">
        <v>58</v>
      </c>
      <c r="C11" s="192">
        <v>58</v>
      </c>
      <c r="D11" t="b">
        <f t="shared" si="0"/>
        <v>1</v>
      </c>
      <c r="E11" t="b">
        <f t="shared" si="1"/>
        <v>1</v>
      </c>
    </row>
    <row r="12" spans="1:5">
      <c r="A12" s="192">
        <v>59</v>
      </c>
      <c r="B12" s="192">
        <v>59</v>
      </c>
      <c r="C12" s="192">
        <v>59</v>
      </c>
      <c r="D12" t="b">
        <f t="shared" si="0"/>
        <v>1</v>
      </c>
      <c r="E12" t="b">
        <f t="shared" si="1"/>
        <v>1</v>
      </c>
    </row>
    <row r="13" spans="1:5">
      <c r="A13" s="192">
        <v>60</v>
      </c>
      <c r="B13" s="192">
        <v>60</v>
      </c>
      <c r="C13" s="192">
        <v>60</v>
      </c>
      <c r="D13" t="b">
        <f t="shared" si="0"/>
        <v>1</v>
      </c>
      <c r="E13" t="b">
        <f t="shared" si="1"/>
        <v>1</v>
      </c>
    </row>
    <row r="14" spans="1:5">
      <c r="A14" s="192">
        <v>61</v>
      </c>
      <c r="B14" s="192">
        <v>61</v>
      </c>
      <c r="C14" s="192">
        <v>61</v>
      </c>
      <c r="D14" t="b">
        <f t="shared" si="0"/>
        <v>1</v>
      </c>
      <c r="E14" t="b">
        <f t="shared" si="1"/>
        <v>1</v>
      </c>
    </row>
    <row r="15" spans="1:5">
      <c r="A15" s="192">
        <v>62</v>
      </c>
      <c r="B15" s="192">
        <v>62</v>
      </c>
      <c r="C15" s="192">
        <v>62</v>
      </c>
      <c r="D15" t="b">
        <f t="shared" si="0"/>
        <v>1</v>
      </c>
      <c r="E15" t="b">
        <f t="shared" si="1"/>
        <v>1</v>
      </c>
    </row>
    <row r="16" spans="1:5">
      <c r="A16" s="192">
        <v>63</v>
      </c>
      <c r="B16" s="192">
        <v>63</v>
      </c>
      <c r="C16" s="192">
        <v>63</v>
      </c>
      <c r="D16" t="b">
        <f t="shared" si="0"/>
        <v>1</v>
      </c>
      <c r="E16" t="b">
        <f t="shared" si="1"/>
        <v>1</v>
      </c>
    </row>
    <row r="17" spans="1:5">
      <c r="A17" s="192">
        <v>64</v>
      </c>
      <c r="B17" s="192">
        <v>64</v>
      </c>
      <c r="C17" s="192">
        <v>64</v>
      </c>
      <c r="D17" t="b">
        <f t="shared" si="0"/>
        <v>1</v>
      </c>
      <c r="E17" t="b">
        <f t="shared" si="1"/>
        <v>1</v>
      </c>
    </row>
    <row r="18" spans="1:5">
      <c r="A18" s="192">
        <v>65</v>
      </c>
      <c r="B18" s="192">
        <v>65</v>
      </c>
      <c r="C18" s="192">
        <v>65</v>
      </c>
      <c r="D18" t="b">
        <f t="shared" si="0"/>
        <v>1</v>
      </c>
      <c r="E18" t="b">
        <f t="shared" si="1"/>
        <v>1</v>
      </c>
    </row>
    <row r="19" spans="1:5">
      <c r="A19" s="192">
        <v>66</v>
      </c>
      <c r="B19" s="192">
        <v>66</v>
      </c>
      <c r="C19" s="192">
        <v>66</v>
      </c>
      <c r="D19" t="b">
        <f t="shared" si="0"/>
        <v>1</v>
      </c>
      <c r="E19" t="b">
        <f t="shared" si="1"/>
        <v>1</v>
      </c>
    </row>
    <row r="20" spans="1:5">
      <c r="A20" s="192">
        <v>67</v>
      </c>
      <c r="B20" s="192">
        <v>67</v>
      </c>
      <c r="C20" s="192">
        <v>67</v>
      </c>
      <c r="D20" t="b">
        <f t="shared" si="0"/>
        <v>1</v>
      </c>
      <c r="E20" t="b">
        <f t="shared" si="1"/>
        <v>1</v>
      </c>
    </row>
    <row r="21" spans="1:5">
      <c r="A21" s="192">
        <v>68</v>
      </c>
      <c r="B21" s="192">
        <v>68</v>
      </c>
      <c r="C21" s="192">
        <v>68</v>
      </c>
      <c r="D21" t="b">
        <f t="shared" si="0"/>
        <v>1</v>
      </c>
      <c r="E21" t="b">
        <f t="shared" si="1"/>
        <v>1</v>
      </c>
    </row>
    <row r="22" spans="1:5">
      <c r="A22" s="192">
        <v>69</v>
      </c>
      <c r="B22" s="192">
        <v>69</v>
      </c>
      <c r="C22" s="192">
        <v>69</v>
      </c>
      <c r="D22" t="b">
        <f t="shared" si="0"/>
        <v>1</v>
      </c>
      <c r="E22" t="b">
        <f t="shared" si="1"/>
        <v>1</v>
      </c>
    </row>
    <row r="23" spans="1:5">
      <c r="A23" s="192">
        <v>70</v>
      </c>
      <c r="B23" s="192">
        <v>70</v>
      </c>
      <c r="C23" s="192">
        <v>70</v>
      </c>
      <c r="D23" t="b">
        <f t="shared" si="0"/>
        <v>1</v>
      </c>
      <c r="E23" t="b">
        <f t="shared" si="1"/>
        <v>1</v>
      </c>
    </row>
    <row r="24" spans="1:5">
      <c r="A24" s="192">
        <v>71</v>
      </c>
      <c r="B24" s="192">
        <v>71</v>
      </c>
      <c r="C24" s="192">
        <v>71</v>
      </c>
      <c r="D24" t="b">
        <f t="shared" si="0"/>
        <v>1</v>
      </c>
      <c r="E24" t="b">
        <f t="shared" si="1"/>
        <v>1</v>
      </c>
    </row>
    <row r="25" spans="1:5">
      <c r="A25" s="192">
        <v>72</v>
      </c>
      <c r="B25" s="192">
        <v>72</v>
      </c>
      <c r="C25" s="192">
        <v>72</v>
      </c>
      <c r="D25" t="b">
        <f t="shared" si="0"/>
        <v>1</v>
      </c>
      <c r="E25" t="b">
        <f t="shared" si="1"/>
        <v>1</v>
      </c>
    </row>
    <row r="26" spans="1:5">
      <c r="A26" s="192">
        <v>85</v>
      </c>
      <c r="B26" s="192">
        <v>85</v>
      </c>
      <c r="C26" s="192">
        <v>85</v>
      </c>
      <c r="D26" t="b">
        <f t="shared" si="0"/>
        <v>1</v>
      </c>
      <c r="E26" t="b">
        <f t="shared" si="1"/>
        <v>1</v>
      </c>
    </row>
    <row r="27" spans="1:5">
      <c r="A27" s="192">
        <v>98</v>
      </c>
      <c r="B27" s="192">
        <v>98</v>
      </c>
      <c r="C27" s="192">
        <v>98</v>
      </c>
      <c r="D27" t="b">
        <f t="shared" si="0"/>
        <v>1</v>
      </c>
      <c r="E27" t="b">
        <f t="shared" si="1"/>
        <v>1</v>
      </c>
    </row>
    <row r="28" spans="1:5">
      <c r="A28" s="192">
        <v>106</v>
      </c>
      <c r="B28" s="192">
        <v>106</v>
      </c>
      <c r="C28" s="192">
        <v>106</v>
      </c>
      <c r="D28" t="b">
        <f t="shared" si="0"/>
        <v>1</v>
      </c>
      <c r="E28" t="b">
        <f t="shared" si="1"/>
        <v>1</v>
      </c>
    </row>
    <row r="29" spans="1:5">
      <c r="A29" s="192">
        <v>110</v>
      </c>
      <c r="B29" s="192">
        <v>110</v>
      </c>
      <c r="C29" s="192">
        <v>110</v>
      </c>
      <c r="D29" t="b">
        <f t="shared" si="0"/>
        <v>1</v>
      </c>
      <c r="E29" t="b">
        <f t="shared" si="1"/>
        <v>1</v>
      </c>
    </row>
    <row r="30" spans="1:5">
      <c r="A30" s="192">
        <v>114</v>
      </c>
      <c r="B30" s="192">
        <v>114</v>
      </c>
      <c r="C30" s="192">
        <v>114</v>
      </c>
      <c r="D30" t="b">
        <f t="shared" si="0"/>
        <v>1</v>
      </c>
      <c r="E30" t="b">
        <f t="shared" si="1"/>
        <v>1</v>
      </c>
    </row>
    <row r="31" spans="1:5">
      <c r="A31" s="192">
        <v>117</v>
      </c>
      <c r="B31" s="192">
        <v>117</v>
      </c>
      <c r="C31" s="192">
        <v>117</v>
      </c>
      <c r="D31" t="b">
        <f t="shared" si="0"/>
        <v>1</v>
      </c>
      <c r="E31" t="b">
        <f t="shared" si="1"/>
        <v>1</v>
      </c>
    </row>
    <row r="32" spans="1:5">
      <c r="A32" s="192">
        <v>124</v>
      </c>
      <c r="B32" s="192">
        <v>124</v>
      </c>
      <c r="C32" s="192">
        <v>124</v>
      </c>
      <c r="D32" t="b">
        <f t="shared" si="0"/>
        <v>1</v>
      </c>
      <c r="E32" t="b">
        <f t="shared" si="1"/>
        <v>1</v>
      </c>
    </row>
    <row r="33" spans="1:5">
      <c r="A33" s="192">
        <v>160</v>
      </c>
      <c r="B33" s="192">
        <v>160</v>
      </c>
      <c r="C33" s="192">
        <v>160</v>
      </c>
      <c r="D33" t="b">
        <f t="shared" si="0"/>
        <v>1</v>
      </c>
      <c r="E33" t="b">
        <f t="shared" si="1"/>
        <v>1</v>
      </c>
    </row>
    <row r="34" spans="1:5">
      <c r="A34" s="192">
        <v>170</v>
      </c>
      <c r="B34" s="192">
        <v>170</v>
      </c>
      <c r="C34" s="192">
        <v>170</v>
      </c>
      <c r="D34" t="b">
        <f t="shared" si="0"/>
        <v>1</v>
      </c>
      <c r="E34" t="b">
        <f t="shared" si="1"/>
        <v>1</v>
      </c>
    </row>
    <row r="35" spans="1:5">
      <c r="A35" s="192">
        <v>176</v>
      </c>
      <c r="B35" s="192">
        <v>176</v>
      </c>
      <c r="C35" s="192">
        <v>176</v>
      </c>
      <c r="D35" t="b">
        <f t="shared" si="0"/>
        <v>1</v>
      </c>
      <c r="E35" t="b">
        <f t="shared" si="1"/>
        <v>1</v>
      </c>
    </row>
    <row r="36" spans="1:5">
      <c r="A36" s="192">
        <v>183</v>
      </c>
      <c r="B36" s="192">
        <v>183</v>
      </c>
      <c r="C36" s="192">
        <v>183</v>
      </c>
      <c r="D36" t="b">
        <f t="shared" si="0"/>
        <v>1</v>
      </c>
      <c r="E36" t="b">
        <f t="shared" si="1"/>
        <v>1</v>
      </c>
    </row>
    <row r="37" spans="1:5">
      <c r="A37" s="192">
        <v>194</v>
      </c>
      <c r="B37" s="192">
        <v>194</v>
      </c>
      <c r="C37" s="192">
        <v>194</v>
      </c>
      <c r="D37" t="b">
        <f t="shared" si="0"/>
        <v>1</v>
      </c>
      <c r="E37" t="b">
        <f t="shared" si="1"/>
        <v>1</v>
      </c>
    </row>
    <row r="38" spans="1:5">
      <c r="A38" s="192">
        <v>199</v>
      </c>
      <c r="B38" s="192">
        <v>199</v>
      </c>
      <c r="C38" s="192">
        <v>199</v>
      </c>
      <c r="D38" t="b">
        <f t="shared" si="0"/>
        <v>1</v>
      </c>
      <c r="E38" t="b">
        <f t="shared" si="1"/>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ENG</vt:lpstr>
      <vt:lpstr>ESP</vt:lpstr>
      <vt:lpstr>PT</vt:lpstr>
      <vt:lpstr>CHECK</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Jaime Badia Chinarro</dc:creator>
  <cp:lastModifiedBy>Jaime Badia Chinarro  </cp:lastModifiedBy>
  <dcterms:created xsi:type="dcterms:W3CDTF">2026-02-18T11:16:51Z</dcterms:created>
  <dcterms:modified xsi:type="dcterms:W3CDTF">2026-02-18T12:06:09Z</dcterms:modified>
</cp:coreProperties>
</file>